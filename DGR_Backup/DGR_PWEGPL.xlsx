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13"/>
  <workbookPr codeName="ThisWorkbook" hidePivotFieldList="1"/>
  <mc:AlternateContent xmlns:mc="http://schemas.openxmlformats.org/markup-compatibility/2006">
    <mc:Choice Requires="x15">
      <x15ac:absPath xmlns:x15ac="http://schemas.microsoft.com/office/spreadsheetml/2010/11/ac" url="D:\Nilesh\OneDrive - O2 Power Private Limited\D Drive\O2 DGR\"/>
    </mc:Choice>
  </mc:AlternateContent>
  <xr:revisionPtr revIDLastSave="1" documentId="13_ncr:1_{40439FE1-A9B7-413E-BAED-76D7E0F0CBB2}" xr6:coauthVersionLast="47" xr6:coauthVersionMax="47" xr10:uidLastSave="{94F0CF1C-92E7-49E4-A587-7237BD394F9F}"/>
  <bookViews>
    <workbookView xWindow="-120" yWindow="-120" windowWidth="20730" windowHeight="11040" tabRatio="826" activeTab="5"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771"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0" i="14" l="1"/>
  <c r="A181" i="14"/>
  <c r="A182" i="14"/>
  <c r="A183" i="14"/>
  <c r="A184" i="14"/>
  <c r="AA1011" i="23"/>
  <c r="AA1012" i="23"/>
  <c r="AA1013" i="23"/>
  <c r="AA1014" i="23"/>
  <c r="AA1015" i="23"/>
  <c r="AA1016" i="23"/>
  <c r="AA1017" i="23"/>
  <c r="CR117" i="1"/>
  <c r="CS117" i="1"/>
  <c r="DA117" i="1" s="1"/>
  <c r="CT117" i="1"/>
  <c r="CU117" i="1"/>
  <c r="CV117" i="1"/>
  <c r="CW117" i="1"/>
  <c r="CX117" i="1"/>
  <c r="CZ117" i="1"/>
  <c r="A1011" i="23"/>
  <c r="A1012" i="23"/>
  <c r="A1013" i="23"/>
  <c r="A1014" i="23"/>
  <c r="A1015" i="23"/>
  <c r="A1016" i="23"/>
  <c r="A1017" i="23"/>
  <c r="L1017" i="23"/>
  <c r="L1016" i="23"/>
  <c r="L1015" i="23"/>
  <c r="L1014" i="23"/>
  <c r="L1013" i="23"/>
  <c r="I1017" i="23"/>
  <c r="H1017" i="23"/>
  <c r="I1016" i="23"/>
  <c r="H1016" i="23"/>
  <c r="I1015" i="23"/>
  <c r="H1015" i="23"/>
  <c r="I1014" i="23"/>
  <c r="H1014" i="23"/>
  <c r="I1013" i="23"/>
  <c r="H1013" i="23"/>
  <c r="B1017" i="23"/>
  <c r="C1017" i="23"/>
  <c r="E1017" i="23"/>
  <c r="J1017" i="23"/>
  <c r="R1017" i="23"/>
  <c r="S1017" i="23"/>
  <c r="T1017" i="23"/>
  <c r="W1017" i="23" s="1"/>
  <c r="T1012" i="23"/>
  <c r="W1012" i="23" s="1"/>
  <c r="S1012" i="23"/>
  <c r="R1012" i="23"/>
  <c r="L1012" i="23"/>
  <c r="J1012" i="23"/>
  <c r="I1012" i="23"/>
  <c r="H1012" i="23"/>
  <c r="T1011" i="23"/>
  <c r="W1011" i="23" s="1"/>
  <c r="S1011" i="23"/>
  <c r="R1011" i="23"/>
  <c r="L1011" i="23"/>
  <c r="J1011" i="23"/>
  <c r="I1011" i="23"/>
  <c r="H1011" i="23"/>
  <c r="L1010" i="23"/>
  <c r="B1012" i="23"/>
  <c r="B1013" i="23"/>
  <c r="B1014" i="23"/>
  <c r="B1015" i="23"/>
  <c r="B1016" i="23"/>
  <c r="C1012" i="23"/>
  <c r="C1013" i="23"/>
  <c r="C1014" i="23"/>
  <c r="C1015" i="23"/>
  <c r="C1016" i="23"/>
  <c r="E1012" i="23"/>
  <c r="E1013" i="23"/>
  <c r="E1014" i="23"/>
  <c r="E1015" i="23"/>
  <c r="E1016" i="23"/>
  <c r="J1013" i="23"/>
  <c r="J1014" i="23"/>
  <c r="J1015" i="23"/>
  <c r="J1016" i="23"/>
  <c r="R1013" i="23"/>
  <c r="R1014" i="23"/>
  <c r="R1015" i="23"/>
  <c r="R1016" i="23"/>
  <c r="S1013" i="23"/>
  <c r="S1014" i="23"/>
  <c r="S1015" i="23"/>
  <c r="S1016" i="23"/>
  <c r="T1013" i="23"/>
  <c r="W1013" i="23" s="1"/>
  <c r="T1014" i="23"/>
  <c r="T1015" i="23"/>
  <c r="T1016" i="23"/>
  <c r="W1014" i="23"/>
  <c r="W1015" i="23"/>
  <c r="W1016" i="23"/>
  <c r="B1011" i="23"/>
  <c r="C1011" i="23"/>
  <c r="E1011" i="23"/>
  <c r="A175" i="14"/>
  <c r="A176" i="14"/>
  <c r="A177" i="14"/>
  <c r="A178" i="14"/>
  <c r="A179" i="14"/>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A57" i="24"/>
  <c r="B57" i="24"/>
  <c r="C57" i="24"/>
  <c r="E57" i="24"/>
  <c r="J57" i="24"/>
  <c r="O57" i="24"/>
  <c r="P57" i="24"/>
  <c r="Q57" i="24"/>
  <c r="I1010" i="23"/>
  <c r="H1010" i="23"/>
  <c r="I1009" i="23"/>
  <c r="H1009" i="23"/>
  <c r="I1008" i="23"/>
  <c r="H1008" i="23"/>
  <c r="T1007" i="23"/>
  <c r="S1007" i="23"/>
  <c r="R1007" i="23"/>
  <c r="L1007" i="23"/>
  <c r="J1007" i="23"/>
  <c r="I1007" i="23"/>
  <c r="H1007" i="23"/>
  <c r="T1006" i="23"/>
  <c r="S1006" i="23"/>
  <c r="R1006" i="23"/>
  <c r="L1006" i="23"/>
  <c r="J1006" i="23"/>
  <c r="I1006" i="23"/>
  <c r="H1006" i="23"/>
  <c r="L1005" i="23"/>
  <c r="L1008" i="23"/>
  <c r="L1009" i="23"/>
  <c r="B1007" i="23"/>
  <c r="B1008" i="23"/>
  <c r="B1009" i="23"/>
  <c r="B1010" i="23"/>
  <c r="C1007" i="23"/>
  <c r="C1008" i="23"/>
  <c r="C1009" i="23"/>
  <c r="C1010" i="23"/>
  <c r="E1007" i="23"/>
  <c r="E1008" i="23"/>
  <c r="E1009" i="23"/>
  <c r="E1010" i="23"/>
  <c r="J1008" i="23"/>
  <c r="J1009" i="23"/>
  <c r="J1010" i="23"/>
  <c r="R1008" i="23"/>
  <c r="R1009" i="23"/>
  <c r="R1010" i="23"/>
  <c r="S1008" i="23"/>
  <c r="S1009" i="23"/>
  <c r="S1010" i="23"/>
  <c r="T1008" i="23"/>
  <c r="T1009" i="23"/>
  <c r="T1010" i="23"/>
  <c r="B1006" i="23"/>
  <c r="C1006" i="23"/>
  <c r="E1006" i="23"/>
  <c r="I1005" i="23"/>
  <c r="H1005" i="23"/>
  <c r="B1005" i="23"/>
  <c r="C1005" i="23"/>
  <c r="E1005" i="23"/>
  <c r="J1005" i="23"/>
  <c r="R1005" i="23"/>
  <c r="S1005" i="23"/>
  <c r="T1005" i="23"/>
  <c r="A174" i="14"/>
  <c r="A172" i="14"/>
  <c r="A173" i="14" s="1"/>
  <c r="A158" i="14"/>
  <c r="A159" i="14" s="1"/>
  <c r="A160" i="14" s="1"/>
  <c r="A161" i="14" s="1"/>
  <c r="A162" i="14" s="1"/>
  <c r="A163" i="14" s="1"/>
  <c r="A164" i="14" s="1"/>
  <c r="A165" i="14" s="1"/>
  <c r="A166" i="14" s="1"/>
  <c r="A167" i="14" s="1"/>
  <c r="A168" i="14" s="1"/>
  <c r="A169" i="14" s="1"/>
  <c r="A170" i="14" s="1"/>
  <c r="A171" i="14" s="1"/>
  <c r="T1004" i="23"/>
  <c r="S1004" i="23"/>
  <c r="R1004" i="23"/>
  <c r="T1003" i="23"/>
  <c r="S1003" i="23"/>
  <c r="R1003" i="23"/>
  <c r="T1002" i="23"/>
  <c r="S1002" i="23"/>
  <c r="R1002" i="23"/>
  <c r="T1001" i="23"/>
  <c r="S1001" i="23"/>
  <c r="R1001" i="23"/>
  <c r="T1000" i="23"/>
  <c r="S1000" i="23"/>
  <c r="R1000" i="23"/>
  <c r="T999" i="23"/>
  <c r="S999" i="23"/>
  <c r="R999" i="23"/>
  <c r="T998" i="23"/>
  <c r="S998" i="23"/>
  <c r="R998" i="23"/>
  <c r="T997" i="23"/>
  <c r="S997" i="23"/>
  <c r="R997" i="23"/>
  <c r="T996" i="23"/>
  <c r="S996" i="23"/>
  <c r="R996" i="23"/>
  <c r="T995" i="23"/>
  <c r="S995" i="23"/>
  <c r="R995" i="23"/>
  <c r="T994" i="23"/>
  <c r="AA994" i="23" s="1"/>
  <c r="S994" i="23"/>
  <c r="R994" i="23"/>
  <c r="T993" i="23"/>
  <c r="AA993" i="23" s="1"/>
  <c r="S993" i="23"/>
  <c r="R993" i="23"/>
  <c r="L1004" i="23"/>
  <c r="L1003" i="23"/>
  <c r="L1002" i="23"/>
  <c r="L1001" i="23"/>
  <c r="L1000" i="23"/>
  <c r="L999" i="23"/>
  <c r="L998" i="23"/>
  <c r="L997" i="23"/>
  <c r="L996" i="23"/>
  <c r="L995" i="23"/>
  <c r="L994" i="23"/>
  <c r="L993" i="23"/>
  <c r="I1004" i="23"/>
  <c r="H1004" i="23"/>
  <c r="B1004" i="23"/>
  <c r="C1004" i="23"/>
  <c r="E1004" i="23"/>
  <c r="J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B1003" i="23"/>
  <c r="C1003" i="23"/>
  <c r="E1003" i="23"/>
  <c r="J1003" i="23"/>
  <c r="B1002" i="23"/>
  <c r="C1002" i="23"/>
  <c r="E1002" i="23"/>
  <c r="J1002" i="23"/>
  <c r="B998" i="23"/>
  <c r="B999" i="23"/>
  <c r="B1000" i="23"/>
  <c r="B1001" i="23"/>
  <c r="C998" i="23"/>
  <c r="C999" i="23"/>
  <c r="C1000" i="23"/>
  <c r="C1001" i="23"/>
  <c r="E998" i="23"/>
  <c r="E999" i="23"/>
  <c r="E1000" i="23"/>
  <c r="E1001" i="23"/>
  <c r="J998" i="23"/>
  <c r="J999" i="23"/>
  <c r="J1000" i="23"/>
  <c r="J1001" i="23"/>
  <c r="T992" i="23"/>
  <c r="S992" i="23"/>
  <c r="R992" i="23"/>
  <c r="L992" i="23"/>
  <c r="J992" i="23"/>
  <c r="I992" i="23"/>
  <c r="H992" i="23"/>
  <c r="T991" i="23"/>
  <c r="S991" i="23"/>
  <c r="R991" i="23"/>
  <c r="L991" i="23"/>
  <c r="J991" i="23"/>
  <c r="I991" i="23"/>
  <c r="H991" i="23"/>
  <c r="B992" i="23"/>
  <c r="B993" i="23"/>
  <c r="B994" i="23"/>
  <c r="B995" i="23"/>
  <c r="B996" i="23"/>
  <c r="B997" i="23"/>
  <c r="C992" i="23"/>
  <c r="C993" i="23"/>
  <c r="C994" i="23"/>
  <c r="C995" i="23"/>
  <c r="C996" i="23"/>
  <c r="C997" i="23"/>
  <c r="E992" i="23"/>
  <c r="E993" i="23"/>
  <c r="E994" i="23"/>
  <c r="E995" i="23"/>
  <c r="E996" i="23"/>
  <c r="E997" i="23"/>
  <c r="J993" i="23"/>
  <c r="J994" i="23"/>
  <c r="J995" i="23"/>
  <c r="J996" i="23"/>
  <c r="J997" i="23"/>
  <c r="W994" i="23"/>
  <c r="W993" i="23"/>
  <c r="B991" i="23"/>
  <c r="C991" i="23"/>
  <c r="E991" i="23"/>
  <c r="L985" i="23"/>
  <c r="L986" i="23"/>
  <c r="L987" i="23"/>
  <c r="L988" i="23"/>
  <c r="L989" i="23"/>
  <c r="L990" i="23"/>
  <c r="A153" i="14"/>
  <c r="A154" i="14"/>
  <c r="A155" i="14"/>
  <c r="A156" i="14"/>
  <c r="A157" i="14"/>
  <c r="A56" i="24"/>
  <c r="B56" i="24"/>
  <c r="C56" i="24"/>
  <c r="E56" i="24"/>
  <c r="J56" i="24"/>
  <c r="T56" i="24" s="1"/>
  <c r="O56" i="24"/>
  <c r="P56" i="24"/>
  <c r="Q56" i="24"/>
  <c r="T985" i="23"/>
  <c r="AA985" i="23" s="1"/>
  <c r="T986" i="23"/>
  <c r="AA986" i="23" s="1"/>
  <c r="T987" i="23"/>
  <c r="T988" i="23"/>
  <c r="T989" i="23"/>
  <c r="AA989" i="23" s="1"/>
  <c r="T990" i="23"/>
  <c r="S985" i="23"/>
  <c r="S986" i="23"/>
  <c r="S987" i="23"/>
  <c r="S988" i="23"/>
  <c r="S989" i="23"/>
  <c r="S990" i="23"/>
  <c r="R985" i="23"/>
  <c r="R986" i="23"/>
  <c r="R987" i="23"/>
  <c r="R988" i="23"/>
  <c r="R989" i="23"/>
  <c r="R990" i="23"/>
  <c r="J985" i="23"/>
  <c r="J986" i="23"/>
  <c r="J987" i="23"/>
  <c r="J988" i="23"/>
  <c r="J989" i="23"/>
  <c r="J990" i="23"/>
  <c r="I985" i="23"/>
  <c r="I986" i="23"/>
  <c r="I987" i="23"/>
  <c r="I988" i="23"/>
  <c r="I989" i="23"/>
  <c r="I990" i="23"/>
  <c r="H985" i="23"/>
  <c r="H986" i="23"/>
  <c r="H987" i="23"/>
  <c r="H988" i="23"/>
  <c r="H989" i="23"/>
  <c r="H990" i="23"/>
  <c r="B990" i="23"/>
  <c r="C990" i="23"/>
  <c r="E990" i="23"/>
  <c r="B989" i="23"/>
  <c r="C989" i="23"/>
  <c r="E989" i="23"/>
  <c r="W989" i="23"/>
  <c r="B988" i="23"/>
  <c r="C988" i="23"/>
  <c r="E988" i="23"/>
  <c r="B987" i="23"/>
  <c r="C987" i="23"/>
  <c r="E987" i="23"/>
  <c r="B986" i="23"/>
  <c r="C986" i="23"/>
  <c r="E986" i="23"/>
  <c r="W986" i="23"/>
  <c r="B985" i="23"/>
  <c r="C985" i="23"/>
  <c r="E985" i="23"/>
  <c r="W985"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L977" i="23"/>
  <c r="L978" i="23"/>
  <c r="L979" i="23"/>
  <c r="L980" i="23"/>
  <c r="L981" i="23"/>
  <c r="L982" i="23"/>
  <c r="L983" i="23"/>
  <c r="L984" i="23"/>
  <c r="I980" i="23"/>
  <c r="I981" i="23"/>
  <c r="I982" i="23"/>
  <c r="I983" i="23"/>
  <c r="I984" i="23"/>
  <c r="H980" i="23"/>
  <c r="H981" i="23"/>
  <c r="H982" i="23"/>
  <c r="H983" i="23"/>
  <c r="H984" i="23"/>
  <c r="R974" i="23"/>
  <c r="S974" i="23"/>
  <c r="T974" i="23"/>
  <c r="R975" i="23"/>
  <c r="S975" i="23"/>
  <c r="T975" i="23"/>
  <c r="R976" i="23"/>
  <c r="S976" i="23"/>
  <c r="T976" i="23"/>
  <c r="R977" i="23"/>
  <c r="S977" i="23"/>
  <c r="T977" i="23"/>
  <c r="R978" i="23"/>
  <c r="S978" i="23"/>
  <c r="T978" i="23"/>
  <c r="R979" i="23"/>
  <c r="S979" i="23"/>
  <c r="T979" i="23"/>
  <c r="R980" i="23"/>
  <c r="S980" i="23"/>
  <c r="T980" i="23"/>
  <c r="R981" i="23"/>
  <c r="S981" i="23"/>
  <c r="T981" i="23"/>
  <c r="R982" i="23"/>
  <c r="S982" i="23"/>
  <c r="T982" i="23"/>
  <c r="R983" i="23"/>
  <c r="S983" i="23"/>
  <c r="T983" i="23"/>
  <c r="R984" i="23"/>
  <c r="S984" i="23"/>
  <c r="T984" i="23"/>
  <c r="B984" i="23"/>
  <c r="C984" i="23"/>
  <c r="E984" i="23"/>
  <c r="B983" i="23"/>
  <c r="C983" i="23"/>
  <c r="E983" i="23"/>
  <c r="B982" i="23"/>
  <c r="C982" i="23"/>
  <c r="E982" i="23"/>
  <c r="B981" i="23"/>
  <c r="C981" i="23"/>
  <c r="E981" i="23"/>
  <c r="B980" i="23"/>
  <c r="C980" i="23"/>
  <c r="E980" i="23"/>
  <c r="I979" i="23"/>
  <c r="H979" i="23"/>
  <c r="B979" i="23"/>
  <c r="C979" i="23"/>
  <c r="E979" i="23"/>
  <c r="I978" i="23"/>
  <c r="H978" i="23"/>
  <c r="B978" i="23"/>
  <c r="C978" i="23"/>
  <c r="E978" i="23"/>
  <c r="L976" i="23"/>
  <c r="L975" i="23"/>
  <c r="L974" i="23"/>
  <c r="I977" i="23"/>
  <c r="H977" i="23"/>
  <c r="I976" i="23"/>
  <c r="H976" i="23"/>
  <c r="I975" i="23"/>
  <c r="H975" i="23"/>
  <c r="I974" i="23"/>
  <c r="H974" i="23"/>
  <c r="B975" i="23"/>
  <c r="B976" i="23"/>
  <c r="B977" i="23"/>
  <c r="C975" i="23"/>
  <c r="C976" i="23"/>
  <c r="C977" i="23"/>
  <c r="E975" i="23"/>
  <c r="E976" i="23"/>
  <c r="E977" i="23"/>
  <c r="T973" i="23"/>
  <c r="S973" i="23"/>
  <c r="R973" i="23"/>
  <c r="L973" i="23"/>
  <c r="I973" i="23"/>
  <c r="H973" i="23"/>
  <c r="T972" i="23"/>
  <c r="S972" i="23"/>
  <c r="R972" i="23"/>
  <c r="L972" i="23"/>
  <c r="I972" i="23"/>
  <c r="H972" i="23"/>
  <c r="T971" i="23"/>
  <c r="S971" i="23"/>
  <c r="R971" i="23"/>
  <c r="L971" i="23"/>
  <c r="I971" i="23"/>
  <c r="H971" i="23"/>
  <c r="B973" i="23"/>
  <c r="B974" i="23"/>
  <c r="C973" i="23"/>
  <c r="C974" i="23"/>
  <c r="E973" i="23"/>
  <c r="E974" i="23"/>
  <c r="B971" i="23"/>
  <c r="B972" i="23"/>
  <c r="C971" i="23"/>
  <c r="C972" i="23"/>
  <c r="E971" i="23"/>
  <c r="E972" i="23"/>
  <c r="R967" i="23"/>
  <c r="S967" i="23"/>
  <c r="T967" i="23"/>
  <c r="AA967" i="23" s="1"/>
  <c r="R968" i="23"/>
  <c r="S968" i="23"/>
  <c r="T968" i="23"/>
  <c r="AA968" i="23" s="1"/>
  <c r="R969" i="23"/>
  <c r="S969" i="23"/>
  <c r="T969" i="23"/>
  <c r="AA969" i="23" s="1"/>
  <c r="R970" i="23"/>
  <c r="S970" i="23"/>
  <c r="T970" i="23"/>
  <c r="AA970" i="23" s="1"/>
  <c r="L967" i="23"/>
  <c r="L968" i="23"/>
  <c r="L969" i="23"/>
  <c r="L970" i="23"/>
  <c r="H970" i="23"/>
  <c r="H969" i="23"/>
  <c r="H968" i="23"/>
  <c r="I970" i="23"/>
  <c r="I969" i="23"/>
  <c r="I968" i="23"/>
  <c r="I967" i="23"/>
  <c r="H967" i="23"/>
  <c r="B970" i="23"/>
  <c r="C970" i="23"/>
  <c r="E970" i="23"/>
  <c r="W970" i="23"/>
  <c r="B969" i="23"/>
  <c r="C969" i="23"/>
  <c r="E969" i="23"/>
  <c r="W969" i="23"/>
  <c r="B968" i="23"/>
  <c r="C968" i="23"/>
  <c r="E968" i="23"/>
  <c r="W968" i="23"/>
  <c r="B967" i="23"/>
  <c r="C967" i="23"/>
  <c r="E967" i="23"/>
  <c r="W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R961" i="23"/>
  <c r="S961" i="23"/>
  <c r="T961" i="23"/>
  <c r="R962" i="23"/>
  <c r="S962" i="23"/>
  <c r="T962" i="23"/>
  <c r="R963" i="23"/>
  <c r="S963" i="23"/>
  <c r="T963" i="23"/>
  <c r="R964" i="23"/>
  <c r="S964" i="23"/>
  <c r="T964" i="23"/>
  <c r="R965" i="23"/>
  <c r="S965" i="23"/>
  <c r="T965" i="23"/>
  <c r="R966" i="23"/>
  <c r="S966" i="23"/>
  <c r="T966" i="23"/>
  <c r="AA966" i="23" s="1"/>
  <c r="L961" i="23"/>
  <c r="L962" i="23"/>
  <c r="L963" i="23"/>
  <c r="L964" i="23"/>
  <c r="L965" i="23"/>
  <c r="L966" i="23"/>
  <c r="W966" i="23"/>
  <c r="I966" i="23"/>
  <c r="H966" i="23"/>
  <c r="I965" i="23"/>
  <c r="H965" i="23"/>
  <c r="I964" i="23"/>
  <c r="H964" i="23"/>
  <c r="I961" i="23"/>
  <c r="I962" i="23"/>
  <c r="I963" i="23"/>
  <c r="H963" i="23"/>
  <c r="H962" i="23"/>
  <c r="H961" i="23"/>
  <c r="B966" i="23"/>
  <c r="C966" i="23"/>
  <c r="E966" i="23"/>
  <c r="B965" i="23"/>
  <c r="C965" i="23"/>
  <c r="E965" i="23"/>
  <c r="B964" i="23"/>
  <c r="C964" i="23"/>
  <c r="E964" i="23"/>
  <c r="B963" i="23"/>
  <c r="C963" i="23"/>
  <c r="E963" i="23"/>
  <c r="B962" i="23"/>
  <c r="C962" i="23"/>
  <c r="E962" i="23"/>
  <c r="B961" i="23"/>
  <c r="C961" i="23"/>
  <c r="E961" i="23"/>
  <c r="B2" i="12"/>
  <c r="CX109" i="1"/>
  <c r="I960" i="23"/>
  <c r="H960" i="23"/>
  <c r="B960" i="23"/>
  <c r="C960" i="23"/>
  <c r="E960" i="23"/>
  <c r="L960" i="23"/>
  <c r="R960" i="23"/>
  <c r="S960" i="23"/>
  <c r="T960" i="23"/>
  <c r="W960" i="23" s="1"/>
  <c r="I959" i="23"/>
  <c r="H959" i="23"/>
  <c r="T958" i="23"/>
  <c r="AA958" i="23" s="1"/>
  <c r="S958" i="23"/>
  <c r="R958" i="23"/>
  <c r="L958" i="23"/>
  <c r="J958" i="23"/>
  <c r="I958" i="23"/>
  <c r="H958" i="23"/>
  <c r="T957" i="23"/>
  <c r="AA957" i="23" s="1"/>
  <c r="S957" i="23"/>
  <c r="R957" i="23"/>
  <c r="L957" i="23"/>
  <c r="J957" i="23"/>
  <c r="I957" i="23"/>
  <c r="H957" i="23"/>
  <c r="T956" i="23"/>
  <c r="AA956" i="23" s="1"/>
  <c r="S956" i="23"/>
  <c r="R956" i="23"/>
  <c r="L956" i="23"/>
  <c r="J956" i="23"/>
  <c r="I956" i="23"/>
  <c r="H956" i="23"/>
  <c r="B957" i="23"/>
  <c r="B958" i="23"/>
  <c r="B959" i="23"/>
  <c r="C957" i="23"/>
  <c r="C958" i="23"/>
  <c r="C959" i="23"/>
  <c r="E957" i="23"/>
  <c r="E958" i="23"/>
  <c r="E959" i="23"/>
  <c r="J959" i="23"/>
  <c r="L959" i="23"/>
  <c r="R959" i="23"/>
  <c r="S959" i="23"/>
  <c r="T959" i="23"/>
  <c r="W959" i="23" s="1"/>
  <c r="B956" i="23"/>
  <c r="C956" i="23"/>
  <c r="E956" i="23"/>
  <c r="I955" i="23"/>
  <c r="H955" i="23"/>
  <c r="B955" i="23"/>
  <c r="C955" i="23"/>
  <c r="E955" i="23"/>
  <c r="J955" i="23"/>
  <c r="L955" i="23"/>
  <c r="R955" i="23"/>
  <c r="S955" i="23"/>
  <c r="T955" i="23"/>
  <c r="I954" i="23"/>
  <c r="H954" i="23"/>
  <c r="T953" i="23"/>
  <c r="AA953" i="23" s="1"/>
  <c r="S953" i="23"/>
  <c r="R953" i="23"/>
  <c r="L953" i="23"/>
  <c r="J953" i="23"/>
  <c r="I953" i="23"/>
  <c r="H953" i="23"/>
  <c r="T952" i="23"/>
  <c r="AA952" i="23" s="1"/>
  <c r="S952" i="23"/>
  <c r="R952" i="23"/>
  <c r="L952" i="23"/>
  <c r="J952" i="23"/>
  <c r="I952" i="23"/>
  <c r="H952" i="23"/>
  <c r="T951" i="23"/>
  <c r="AA951" i="23" s="1"/>
  <c r="S951" i="23"/>
  <c r="R951" i="23"/>
  <c r="L951" i="23"/>
  <c r="J951" i="23"/>
  <c r="I951" i="23"/>
  <c r="H951" i="23"/>
  <c r="B952" i="23"/>
  <c r="B953" i="23"/>
  <c r="B954" i="23"/>
  <c r="C952" i="23"/>
  <c r="C953" i="23"/>
  <c r="C954" i="23"/>
  <c r="E952" i="23"/>
  <c r="E953" i="23"/>
  <c r="E954" i="23"/>
  <c r="J954" i="23"/>
  <c r="L954" i="23"/>
  <c r="R954" i="23"/>
  <c r="S954" i="23"/>
  <c r="T954" i="23"/>
  <c r="B951" i="23"/>
  <c r="C951" i="23"/>
  <c r="E951" i="23"/>
  <c r="H946" i="23"/>
  <c r="I946" i="23"/>
  <c r="H947" i="23"/>
  <c r="I947" i="23"/>
  <c r="H948" i="23"/>
  <c r="I948" i="23"/>
  <c r="H949" i="23"/>
  <c r="I949" i="23"/>
  <c r="H950" i="23"/>
  <c r="I950" i="23"/>
  <c r="I942" i="23"/>
  <c r="I943" i="23"/>
  <c r="I944" i="23"/>
  <c r="I945" i="23"/>
  <c r="H943" i="23"/>
  <c r="H944" i="23"/>
  <c r="H945" i="23"/>
  <c r="B950" i="23"/>
  <c r="C950" i="23"/>
  <c r="E950" i="23"/>
  <c r="J950" i="23"/>
  <c r="L950" i="23"/>
  <c r="R950" i="23"/>
  <c r="S950" i="23"/>
  <c r="T950" i="23"/>
  <c r="AA950" i="23" s="1"/>
  <c r="B949" i="23"/>
  <c r="C949" i="23"/>
  <c r="E949" i="23"/>
  <c r="J949" i="23"/>
  <c r="L949" i="23"/>
  <c r="R949" i="23"/>
  <c r="S949" i="23"/>
  <c r="T949" i="23"/>
  <c r="B948" i="23"/>
  <c r="C948" i="23"/>
  <c r="E948" i="23"/>
  <c r="J948" i="23"/>
  <c r="L948" i="23"/>
  <c r="R948" i="23"/>
  <c r="S948" i="23"/>
  <c r="T948" i="23"/>
  <c r="B947" i="23"/>
  <c r="C947" i="23"/>
  <c r="E947" i="23"/>
  <c r="J947" i="23"/>
  <c r="L947" i="23"/>
  <c r="R947" i="23"/>
  <c r="S947" i="23"/>
  <c r="T947" i="23"/>
  <c r="AA947" i="23" s="1"/>
  <c r="B946" i="23"/>
  <c r="C946" i="23"/>
  <c r="E946" i="23"/>
  <c r="J946" i="23"/>
  <c r="L946" i="23"/>
  <c r="R946" i="23"/>
  <c r="S946" i="23"/>
  <c r="T946" i="23"/>
  <c r="AA946" i="23" s="1"/>
  <c r="B55" i="24"/>
  <c r="C55" i="24"/>
  <c r="E55" i="24"/>
  <c r="J55" i="24"/>
  <c r="O55" i="24"/>
  <c r="P55" i="24"/>
  <c r="Q55" i="24"/>
  <c r="H942" i="23"/>
  <c r="H941" i="23"/>
  <c r="I941" i="23"/>
  <c r="B945" i="23"/>
  <c r="C945" i="23"/>
  <c r="E945" i="23"/>
  <c r="J945" i="23"/>
  <c r="L945" i="23"/>
  <c r="R945" i="23"/>
  <c r="S945" i="23"/>
  <c r="T945" i="23"/>
  <c r="B944" i="23"/>
  <c r="C944" i="23"/>
  <c r="E944" i="23"/>
  <c r="J944" i="23"/>
  <c r="L944" i="23"/>
  <c r="R944" i="23"/>
  <c r="S944" i="23"/>
  <c r="T944" i="23"/>
  <c r="AA944" i="23" s="1"/>
  <c r="B943" i="23"/>
  <c r="C943" i="23"/>
  <c r="E943" i="23"/>
  <c r="J943" i="23"/>
  <c r="L943" i="23"/>
  <c r="R943" i="23"/>
  <c r="S943" i="23"/>
  <c r="T943" i="23"/>
  <c r="B942" i="23"/>
  <c r="C942" i="23"/>
  <c r="E942" i="23"/>
  <c r="J942" i="23"/>
  <c r="L942" i="23"/>
  <c r="R942" i="23"/>
  <c r="S942" i="23"/>
  <c r="T942" i="23"/>
  <c r="B941" i="23"/>
  <c r="C941" i="23"/>
  <c r="E941" i="23"/>
  <c r="J941" i="23"/>
  <c r="L941" i="23"/>
  <c r="R941" i="23"/>
  <c r="S941" i="23"/>
  <c r="T941" i="23"/>
  <c r="B54" i="24"/>
  <c r="C54" i="24"/>
  <c r="E54" i="24"/>
  <c r="J54" i="24"/>
  <c r="O54" i="24"/>
  <c r="P54" i="24"/>
  <c r="Q54" i="24"/>
  <c r="I940" i="23"/>
  <c r="H940" i="23"/>
  <c r="I939" i="23"/>
  <c r="H939" i="23"/>
  <c r="I938" i="23"/>
  <c r="H938" i="23"/>
  <c r="I937" i="23"/>
  <c r="H937" i="23"/>
  <c r="B940" i="23"/>
  <c r="C940" i="23"/>
  <c r="E940" i="23"/>
  <c r="J940" i="23"/>
  <c r="L940" i="23"/>
  <c r="R940" i="23"/>
  <c r="S940" i="23"/>
  <c r="T940" i="23"/>
  <c r="B939" i="23"/>
  <c r="C939" i="23"/>
  <c r="E939" i="23"/>
  <c r="J939" i="23"/>
  <c r="L939" i="23"/>
  <c r="R939" i="23"/>
  <c r="S939" i="23"/>
  <c r="T939" i="23"/>
  <c r="B938" i="23"/>
  <c r="C938" i="23"/>
  <c r="E938" i="23"/>
  <c r="J938" i="23"/>
  <c r="L938" i="23"/>
  <c r="R938" i="23"/>
  <c r="S938" i="23"/>
  <c r="T938" i="23"/>
  <c r="B937" i="23"/>
  <c r="C937" i="23"/>
  <c r="E937" i="23"/>
  <c r="J937" i="23"/>
  <c r="L937" i="23"/>
  <c r="R937" i="23"/>
  <c r="S937" i="23"/>
  <c r="T937" i="23"/>
  <c r="I936" i="23"/>
  <c r="H936" i="23"/>
  <c r="B936" i="23"/>
  <c r="C936" i="23"/>
  <c r="E936" i="23"/>
  <c r="J936" i="23"/>
  <c r="L936" i="23"/>
  <c r="R936" i="23"/>
  <c r="S936" i="23"/>
  <c r="T936" i="23"/>
  <c r="H935" i="23"/>
  <c r="I935" i="23"/>
  <c r="B935" i="23"/>
  <c r="C935" i="23"/>
  <c r="E935" i="23"/>
  <c r="J935" i="23"/>
  <c r="L935" i="23"/>
  <c r="R935" i="23"/>
  <c r="S935" i="23"/>
  <c r="T935" i="23"/>
  <c r="I934" i="23"/>
  <c r="H934" i="23"/>
  <c r="I933" i="23"/>
  <c r="H933" i="23"/>
  <c r="I932" i="23"/>
  <c r="H932" i="23"/>
  <c r="B934" i="23"/>
  <c r="C934" i="23"/>
  <c r="E934" i="23"/>
  <c r="J934" i="23"/>
  <c r="L934" i="23"/>
  <c r="R934" i="23"/>
  <c r="S934" i="23"/>
  <c r="T934" i="23"/>
  <c r="AA934" i="23" s="1"/>
  <c r="B933" i="23"/>
  <c r="C933" i="23"/>
  <c r="E933" i="23"/>
  <c r="J933" i="23"/>
  <c r="L933" i="23"/>
  <c r="R933" i="23"/>
  <c r="S933" i="23"/>
  <c r="T933" i="23"/>
  <c r="AA933" i="23" s="1"/>
  <c r="B932" i="23"/>
  <c r="C932" i="23"/>
  <c r="E932" i="23"/>
  <c r="J932" i="23"/>
  <c r="L932" i="23"/>
  <c r="R932" i="23"/>
  <c r="S932" i="23"/>
  <c r="T932" i="23"/>
  <c r="AA932" i="23" s="1"/>
  <c r="CR103" i="1"/>
  <c r="CR104" i="1"/>
  <c r="CR105" i="1"/>
  <c r="CR106" i="1"/>
  <c r="CR107" i="1"/>
  <c r="CR108" i="1"/>
  <c r="B53" i="24"/>
  <c r="C53" i="24"/>
  <c r="E53" i="24"/>
  <c r="J53" i="24"/>
  <c r="O53" i="24"/>
  <c r="P53" i="24"/>
  <c r="Q53" i="24"/>
  <c r="B52" i="24"/>
  <c r="C52" i="24"/>
  <c r="E52" i="24"/>
  <c r="J52" i="24"/>
  <c r="O52" i="24"/>
  <c r="P52" i="24"/>
  <c r="Q52" i="24"/>
  <c r="I931" i="23"/>
  <c r="H931" i="23"/>
  <c r="I930" i="23"/>
  <c r="H930" i="23"/>
  <c r="T929" i="23"/>
  <c r="AA929" i="23" s="1"/>
  <c r="S929" i="23"/>
  <c r="R929" i="23"/>
  <c r="L929" i="23"/>
  <c r="J929" i="23"/>
  <c r="I929" i="23"/>
  <c r="H929" i="23"/>
  <c r="T928" i="23"/>
  <c r="S928" i="23"/>
  <c r="R928" i="23"/>
  <c r="L928" i="23"/>
  <c r="J928" i="23"/>
  <c r="I928" i="23"/>
  <c r="H928" i="23"/>
  <c r="T927" i="23"/>
  <c r="S927" i="23"/>
  <c r="R927" i="23"/>
  <c r="L927" i="23"/>
  <c r="J927" i="23"/>
  <c r="I927" i="23"/>
  <c r="H927" i="23"/>
  <c r="B928" i="23"/>
  <c r="B929" i="23"/>
  <c r="B930" i="23"/>
  <c r="B931" i="23"/>
  <c r="C928" i="23"/>
  <c r="C929" i="23"/>
  <c r="C930" i="23"/>
  <c r="C931" i="23"/>
  <c r="E928" i="23"/>
  <c r="E929" i="23"/>
  <c r="E930" i="23"/>
  <c r="E931" i="23"/>
  <c r="J930" i="23"/>
  <c r="J931" i="23"/>
  <c r="L930" i="23"/>
  <c r="L931" i="23"/>
  <c r="R930" i="23"/>
  <c r="R931" i="23"/>
  <c r="S930" i="23"/>
  <c r="S931" i="23"/>
  <c r="T930" i="23"/>
  <c r="AA930" i="23" s="1"/>
  <c r="T931" i="23"/>
  <c r="B927" i="23"/>
  <c r="C927" i="23"/>
  <c r="E927" i="23"/>
  <c r="CR102" i="1"/>
  <c r="I926" i="23"/>
  <c r="H926" i="23"/>
  <c r="B926" i="23"/>
  <c r="C926" i="23"/>
  <c r="E926" i="23"/>
  <c r="J926" i="23"/>
  <c r="L926" i="23"/>
  <c r="R926" i="23"/>
  <c r="S926" i="23"/>
  <c r="T926" i="23"/>
  <c r="I925" i="23"/>
  <c r="H925" i="23"/>
  <c r="I924" i="23"/>
  <c r="H924" i="23"/>
  <c r="L923" i="23"/>
  <c r="J923" i="23"/>
  <c r="I923" i="23"/>
  <c r="H923" i="23"/>
  <c r="L922" i="23"/>
  <c r="J922" i="23"/>
  <c r="I922" i="23"/>
  <c r="H922" i="23"/>
  <c r="L921" i="23"/>
  <c r="J921" i="23"/>
  <c r="I921" i="23"/>
  <c r="H921" i="23"/>
  <c r="B925" i="23"/>
  <c r="C925" i="23"/>
  <c r="E925" i="23"/>
  <c r="J925" i="23"/>
  <c r="L925" i="23"/>
  <c r="R925" i="23"/>
  <c r="S925" i="23"/>
  <c r="T925" i="23"/>
  <c r="B924" i="23"/>
  <c r="C924" i="23"/>
  <c r="E924" i="23"/>
  <c r="J924" i="23"/>
  <c r="L924" i="23"/>
  <c r="R924" i="23"/>
  <c r="S924" i="23"/>
  <c r="T924" i="23"/>
  <c r="B923" i="23"/>
  <c r="C923" i="23"/>
  <c r="E923" i="23"/>
  <c r="R923" i="23"/>
  <c r="S923" i="23"/>
  <c r="T923" i="23"/>
  <c r="B921" i="23"/>
  <c r="B922" i="23"/>
  <c r="C921" i="23"/>
  <c r="C922" i="23"/>
  <c r="E921" i="23"/>
  <c r="E922" i="23"/>
  <c r="R921" i="23"/>
  <c r="R922" i="23"/>
  <c r="S921" i="23"/>
  <c r="S922" i="23"/>
  <c r="T921" i="23"/>
  <c r="AA921" i="23" s="1"/>
  <c r="T922" i="23"/>
  <c r="I920" i="23"/>
  <c r="H920" i="23"/>
  <c r="I919" i="23"/>
  <c r="H919" i="23"/>
  <c r="B920" i="23"/>
  <c r="C920" i="23"/>
  <c r="E920" i="23"/>
  <c r="J920" i="23"/>
  <c r="L920" i="23"/>
  <c r="R920" i="23"/>
  <c r="S920" i="23"/>
  <c r="T920" i="23"/>
  <c r="B919" i="23"/>
  <c r="C919" i="23"/>
  <c r="E919" i="23"/>
  <c r="J919" i="23"/>
  <c r="L919" i="23"/>
  <c r="R919" i="23"/>
  <c r="S919" i="23"/>
  <c r="T919" i="23"/>
  <c r="I918" i="23"/>
  <c r="H918" i="23"/>
  <c r="T917" i="23"/>
  <c r="S917" i="23"/>
  <c r="R917" i="23"/>
  <c r="L917" i="23"/>
  <c r="J917" i="23"/>
  <c r="I917" i="23"/>
  <c r="H917" i="23"/>
  <c r="T916" i="23"/>
  <c r="S916" i="23"/>
  <c r="R916" i="23"/>
  <c r="L916" i="23"/>
  <c r="J916" i="23"/>
  <c r="I916" i="23"/>
  <c r="H916" i="23"/>
  <c r="T915" i="23"/>
  <c r="S915" i="23"/>
  <c r="R915" i="23"/>
  <c r="L915" i="23"/>
  <c r="J915" i="23"/>
  <c r="I915" i="23"/>
  <c r="H915" i="23"/>
  <c r="B916" i="23"/>
  <c r="B917" i="23"/>
  <c r="B918" i="23"/>
  <c r="C916" i="23"/>
  <c r="C917" i="23"/>
  <c r="C918" i="23"/>
  <c r="E916" i="23"/>
  <c r="E917" i="23"/>
  <c r="E918" i="23"/>
  <c r="J918" i="23"/>
  <c r="L918" i="23"/>
  <c r="R918" i="23"/>
  <c r="S918" i="23"/>
  <c r="T918" i="23"/>
  <c r="B915" i="23"/>
  <c r="C915" i="23"/>
  <c r="E915" i="23"/>
  <c r="CF100" i="1"/>
  <c r="CG100" i="1"/>
  <c r="I914" i="23"/>
  <c r="H914" i="23"/>
  <c r="T913" i="23"/>
  <c r="S913" i="23"/>
  <c r="R913" i="23"/>
  <c r="L913" i="23"/>
  <c r="J913" i="23"/>
  <c r="I913" i="23"/>
  <c r="H913" i="23"/>
  <c r="T912" i="23"/>
  <c r="S912" i="23"/>
  <c r="R912" i="23"/>
  <c r="L912" i="23"/>
  <c r="J912" i="23"/>
  <c r="I912" i="23"/>
  <c r="H912" i="23"/>
  <c r="T911" i="23"/>
  <c r="S911" i="23"/>
  <c r="R911" i="23"/>
  <c r="L911" i="23"/>
  <c r="J911" i="23"/>
  <c r="I911" i="23"/>
  <c r="H911" i="23"/>
  <c r="B912" i="23"/>
  <c r="B913" i="23"/>
  <c r="B914" i="23"/>
  <c r="C912" i="23"/>
  <c r="C913" i="23"/>
  <c r="C914" i="23"/>
  <c r="E912" i="23"/>
  <c r="E913" i="23"/>
  <c r="E914" i="23"/>
  <c r="J914" i="23"/>
  <c r="L914" i="23"/>
  <c r="R914" i="23"/>
  <c r="S914" i="23"/>
  <c r="T914" i="23"/>
  <c r="B911" i="23"/>
  <c r="C911" i="23"/>
  <c r="E911" i="23"/>
  <c r="H910" i="23"/>
  <c r="I910" i="23"/>
  <c r="J910" i="23"/>
  <c r="L910" i="23"/>
  <c r="R910" i="23"/>
  <c r="S910" i="23"/>
  <c r="T910" i="23"/>
  <c r="R680" i="23"/>
  <c r="S680" i="23"/>
  <c r="T680" i="23"/>
  <c r="R681" i="23"/>
  <c r="S681" i="23"/>
  <c r="T681" i="23"/>
  <c r="R682" i="23"/>
  <c r="S682" i="23"/>
  <c r="T682" i="23"/>
  <c r="R683" i="23"/>
  <c r="S683" i="23"/>
  <c r="T683" i="23"/>
  <c r="B910" i="23"/>
  <c r="C910" i="23"/>
  <c r="E910" i="23"/>
  <c r="I909" i="23"/>
  <c r="H909" i="23"/>
  <c r="B909" i="23"/>
  <c r="C909" i="23"/>
  <c r="E909" i="23"/>
  <c r="J909" i="23"/>
  <c r="L909" i="23"/>
  <c r="R909" i="23"/>
  <c r="S909" i="23"/>
  <c r="T909" i="23"/>
  <c r="I908" i="23"/>
  <c r="H908" i="23"/>
  <c r="T907" i="23"/>
  <c r="S907" i="23"/>
  <c r="R907" i="23"/>
  <c r="L907" i="23"/>
  <c r="J907" i="23"/>
  <c r="I907" i="23"/>
  <c r="H907" i="23"/>
  <c r="T906" i="23"/>
  <c r="S906" i="23"/>
  <c r="R906" i="23"/>
  <c r="L906" i="23"/>
  <c r="J906" i="23"/>
  <c r="I906" i="23"/>
  <c r="H906" i="23"/>
  <c r="T905" i="23"/>
  <c r="S905" i="23"/>
  <c r="R905" i="23"/>
  <c r="L905" i="23"/>
  <c r="J905" i="23"/>
  <c r="I905" i="23"/>
  <c r="H905" i="23"/>
  <c r="B906" i="23"/>
  <c r="B907" i="23"/>
  <c r="B908" i="23"/>
  <c r="C906" i="23"/>
  <c r="C907" i="23"/>
  <c r="C908" i="23"/>
  <c r="E906" i="23"/>
  <c r="E907" i="23"/>
  <c r="E908" i="23"/>
  <c r="J908" i="23"/>
  <c r="L908" i="23"/>
  <c r="R908" i="23"/>
  <c r="S908" i="23"/>
  <c r="T908" i="23"/>
  <c r="B905" i="23"/>
  <c r="C905" i="23"/>
  <c r="E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R904" i="23"/>
  <c r="T900" i="23"/>
  <c r="T901" i="23"/>
  <c r="T902" i="23"/>
  <c r="T903" i="23"/>
  <c r="T904" i="23"/>
  <c r="S900" i="23"/>
  <c r="S901" i="23"/>
  <c r="S902" i="23"/>
  <c r="S903" i="23"/>
  <c r="S904" i="23"/>
  <c r="R900" i="23"/>
  <c r="R901" i="23"/>
  <c r="R902" i="23"/>
  <c r="R903" i="23"/>
  <c r="H903" i="23"/>
  <c r="I903" i="23"/>
  <c r="H904" i="23"/>
  <c r="I904" i="23"/>
  <c r="I902" i="23"/>
  <c r="H902" i="23"/>
  <c r="I901" i="23"/>
  <c r="H901" i="23"/>
  <c r="I900" i="23"/>
  <c r="H900" i="23"/>
  <c r="B901" i="23"/>
  <c r="B902" i="23"/>
  <c r="B903" i="23"/>
  <c r="B904" i="23"/>
  <c r="C901" i="23"/>
  <c r="C902" i="23"/>
  <c r="C903" i="23"/>
  <c r="C904" i="23"/>
  <c r="E901" i="23"/>
  <c r="E902" i="23"/>
  <c r="E903" i="23"/>
  <c r="E904" i="23"/>
  <c r="J901" i="23"/>
  <c r="J902" i="23"/>
  <c r="J903" i="23"/>
  <c r="J904" i="23"/>
  <c r="L901" i="23"/>
  <c r="L902" i="23"/>
  <c r="L903" i="23"/>
  <c r="L904" i="23"/>
  <c r="B900" i="23"/>
  <c r="C900" i="23"/>
  <c r="E900" i="23"/>
  <c r="J900" i="23"/>
  <c r="L900" i="23"/>
  <c r="H899" i="23"/>
  <c r="I899" i="23"/>
  <c r="B899" i="23"/>
  <c r="C899" i="23"/>
  <c r="E899" i="23"/>
  <c r="J899" i="23"/>
  <c r="L899" i="23"/>
  <c r="R899" i="23"/>
  <c r="S899" i="23"/>
  <c r="T899" i="23"/>
  <c r="H898" i="23"/>
  <c r="I898" i="23"/>
  <c r="B898" i="23"/>
  <c r="C898" i="23"/>
  <c r="E898" i="23"/>
  <c r="J898" i="23"/>
  <c r="L898" i="23"/>
  <c r="R898" i="23"/>
  <c r="S898" i="23"/>
  <c r="T898" i="23"/>
  <c r="H897" i="23"/>
  <c r="I897" i="23"/>
  <c r="H895" i="23"/>
  <c r="I895" i="23"/>
  <c r="H896" i="23"/>
  <c r="I896" i="23"/>
  <c r="I894" i="23"/>
  <c r="H894" i="23"/>
  <c r="I893" i="23"/>
  <c r="H893" i="23"/>
  <c r="I892" i="23"/>
  <c r="H892" i="23"/>
  <c r="B893" i="23"/>
  <c r="B894" i="23"/>
  <c r="B895" i="23"/>
  <c r="B896" i="23"/>
  <c r="B897" i="23"/>
  <c r="C893" i="23"/>
  <c r="C894" i="23"/>
  <c r="C895" i="23"/>
  <c r="C896" i="23"/>
  <c r="C897" i="23"/>
  <c r="E893" i="23"/>
  <c r="E894" i="23"/>
  <c r="E895" i="23"/>
  <c r="E896" i="23"/>
  <c r="E897" i="23"/>
  <c r="J893" i="23"/>
  <c r="J894" i="23"/>
  <c r="J895" i="23"/>
  <c r="J896" i="23"/>
  <c r="J897" i="23"/>
  <c r="L893" i="23"/>
  <c r="L894" i="23"/>
  <c r="L895" i="23"/>
  <c r="L896" i="23"/>
  <c r="L897" i="23"/>
  <c r="R893" i="23"/>
  <c r="R894" i="23"/>
  <c r="R895" i="23"/>
  <c r="R896" i="23"/>
  <c r="R897" i="23"/>
  <c r="S893" i="23"/>
  <c r="S894" i="23"/>
  <c r="S895" i="23"/>
  <c r="S896" i="23"/>
  <c r="S897" i="23"/>
  <c r="T893" i="23"/>
  <c r="T894" i="23"/>
  <c r="T895" i="23"/>
  <c r="T896" i="23"/>
  <c r="T897" i="23"/>
  <c r="AA897" i="23" s="1"/>
  <c r="B892" i="23"/>
  <c r="C892" i="23"/>
  <c r="E892" i="23"/>
  <c r="J892" i="23"/>
  <c r="L892" i="23"/>
  <c r="R892" i="23"/>
  <c r="S892" i="23"/>
  <c r="T892" i="23"/>
  <c r="H891" i="23"/>
  <c r="I891" i="23"/>
  <c r="B891" i="23"/>
  <c r="C891" i="23"/>
  <c r="E891" i="23"/>
  <c r="J891" i="23"/>
  <c r="L891" i="23"/>
  <c r="R891" i="23"/>
  <c r="S891" i="23"/>
  <c r="T891" i="23"/>
  <c r="AA891" i="23" s="1"/>
  <c r="H890" i="23"/>
  <c r="I890" i="23"/>
  <c r="B890" i="23"/>
  <c r="C890" i="23"/>
  <c r="E890" i="23"/>
  <c r="J890" i="23"/>
  <c r="L890" i="23"/>
  <c r="R890" i="23"/>
  <c r="S890" i="23"/>
  <c r="T890" i="23"/>
  <c r="H889" i="23"/>
  <c r="I889" i="23"/>
  <c r="B889" i="23"/>
  <c r="C889" i="23"/>
  <c r="E889" i="23"/>
  <c r="J889" i="23"/>
  <c r="L889" i="23"/>
  <c r="R889" i="23"/>
  <c r="S889" i="23"/>
  <c r="T889" i="23"/>
  <c r="H887" i="23"/>
  <c r="H888" i="23"/>
  <c r="H884" i="23"/>
  <c r="I884" i="23"/>
  <c r="H885" i="23"/>
  <c r="I885" i="23"/>
  <c r="H886" i="23"/>
  <c r="I886" i="23"/>
  <c r="I887" i="23"/>
  <c r="I888" i="23"/>
  <c r="B885" i="23"/>
  <c r="B886" i="23"/>
  <c r="B887" i="23"/>
  <c r="B888" i="23"/>
  <c r="C885" i="23"/>
  <c r="C886" i="23"/>
  <c r="C887" i="23"/>
  <c r="C888" i="23"/>
  <c r="E885" i="23"/>
  <c r="E886" i="23"/>
  <c r="E887" i="23"/>
  <c r="E888" i="23"/>
  <c r="J885" i="23"/>
  <c r="J886" i="23"/>
  <c r="J887" i="23"/>
  <c r="J888" i="23"/>
  <c r="L885" i="23"/>
  <c r="L886" i="23"/>
  <c r="L887" i="23"/>
  <c r="L888" i="23"/>
  <c r="R885" i="23"/>
  <c r="R886" i="23"/>
  <c r="R887" i="23"/>
  <c r="R888" i="23"/>
  <c r="S885" i="23"/>
  <c r="S886" i="23"/>
  <c r="S887" i="23"/>
  <c r="S888" i="23"/>
  <c r="T885" i="23"/>
  <c r="T886" i="23"/>
  <c r="T887" i="23"/>
  <c r="T888" i="23"/>
  <c r="B884" i="23"/>
  <c r="C884" i="23"/>
  <c r="E884" i="23"/>
  <c r="J884" i="23"/>
  <c r="L884" i="23"/>
  <c r="R884" i="23"/>
  <c r="S884" i="23"/>
  <c r="T884" i="23"/>
  <c r="H883" i="23"/>
  <c r="I883" i="23"/>
  <c r="B883" i="23"/>
  <c r="C883" i="23"/>
  <c r="E883" i="23"/>
  <c r="J883" i="23"/>
  <c r="L883" i="23"/>
  <c r="R883" i="23"/>
  <c r="S883" i="23"/>
  <c r="T883" i="23"/>
  <c r="H882" i="23"/>
  <c r="I882" i="23"/>
  <c r="T879" i="23"/>
  <c r="S879" i="23"/>
  <c r="R879" i="23"/>
  <c r="L879" i="23"/>
  <c r="J879" i="23"/>
  <c r="J880" i="23"/>
  <c r="L880" i="23"/>
  <c r="R880" i="23"/>
  <c r="S880" i="23"/>
  <c r="T880" i="23"/>
  <c r="J881" i="23"/>
  <c r="L881" i="23"/>
  <c r="R881" i="23"/>
  <c r="S881" i="23"/>
  <c r="T881" i="23"/>
  <c r="J882" i="23"/>
  <c r="L882" i="23"/>
  <c r="R882" i="23"/>
  <c r="S882" i="23"/>
  <c r="T882" i="23"/>
  <c r="H879" i="23"/>
  <c r="I879" i="23"/>
  <c r="H880" i="23"/>
  <c r="I880" i="23"/>
  <c r="H881" i="23"/>
  <c r="I881" i="23"/>
  <c r="C879" i="23"/>
  <c r="E879" i="23"/>
  <c r="B879" i="23"/>
  <c r="B880" i="23"/>
  <c r="B881" i="23"/>
  <c r="B882" i="23"/>
  <c r="C880" i="23"/>
  <c r="C881" i="23"/>
  <c r="C882" i="23"/>
  <c r="E880" i="23"/>
  <c r="E881" i="23"/>
  <c r="E882" i="23"/>
  <c r="R877" i="23"/>
  <c r="H878" i="23"/>
  <c r="I878" i="23"/>
  <c r="B878" i="23"/>
  <c r="C878" i="23"/>
  <c r="E878" i="23"/>
  <c r="J878" i="23"/>
  <c r="L878" i="23"/>
  <c r="R878" i="23"/>
  <c r="S878" i="23"/>
  <c r="T878" i="23"/>
  <c r="H876" i="23"/>
  <c r="I876" i="23"/>
  <c r="H877" i="23"/>
  <c r="I877" i="23"/>
  <c r="H875" i="23"/>
  <c r="I875" i="23"/>
  <c r="B875" i="23"/>
  <c r="B876" i="23"/>
  <c r="B877" i="23"/>
  <c r="C875" i="23"/>
  <c r="C876" i="23"/>
  <c r="C877" i="23"/>
  <c r="E875" i="23"/>
  <c r="E876" i="23"/>
  <c r="E877" i="23"/>
  <c r="J875" i="23"/>
  <c r="J876" i="23"/>
  <c r="J877" i="23"/>
  <c r="L875" i="23"/>
  <c r="L876" i="23"/>
  <c r="L877" i="23"/>
  <c r="R875" i="23"/>
  <c r="R876" i="23"/>
  <c r="S875" i="23"/>
  <c r="S876" i="23"/>
  <c r="S877" i="23"/>
  <c r="T875" i="23"/>
  <c r="T876" i="23"/>
  <c r="T877" i="23"/>
  <c r="R870" i="23"/>
  <c r="S870" i="23"/>
  <c r="T870" i="23"/>
  <c r="R871" i="23"/>
  <c r="S871" i="23"/>
  <c r="T871" i="23"/>
  <c r="R872" i="23"/>
  <c r="S872" i="23"/>
  <c r="T872" i="23"/>
  <c r="R873" i="23"/>
  <c r="S873" i="23"/>
  <c r="T873" i="23"/>
  <c r="R874" i="23"/>
  <c r="S874" i="23"/>
  <c r="T874" i="23"/>
  <c r="L874" i="23"/>
  <c r="H873" i="23"/>
  <c r="H874" i="23"/>
  <c r="I874" i="23"/>
  <c r="J870" i="23"/>
  <c r="J871" i="23"/>
  <c r="J872" i="23"/>
  <c r="J873" i="23"/>
  <c r="J874" i="23"/>
  <c r="L870" i="23"/>
  <c r="L871" i="23"/>
  <c r="L872" i="23"/>
  <c r="L873" i="23"/>
  <c r="I873" i="23"/>
  <c r="I872" i="23"/>
  <c r="H872" i="23"/>
  <c r="I871" i="23"/>
  <c r="H871" i="23"/>
  <c r="I870" i="23"/>
  <c r="H870" i="23"/>
  <c r="B870" i="23"/>
  <c r="C870" i="23"/>
  <c r="E870" i="23"/>
  <c r="B871" i="23"/>
  <c r="C871" i="23"/>
  <c r="E871" i="23"/>
  <c r="B872" i="23"/>
  <c r="C872" i="23"/>
  <c r="E872" i="23"/>
  <c r="B873" i="23"/>
  <c r="C873" i="23"/>
  <c r="E873" i="23"/>
  <c r="B874" i="23"/>
  <c r="C874" i="23"/>
  <c r="E874" i="23"/>
  <c r="B51" i="24"/>
  <c r="C51" i="24"/>
  <c r="E51" i="24"/>
  <c r="J51" i="24"/>
  <c r="O51" i="24"/>
  <c r="P51" i="24"/>
  <c r="Q51" i="24"/>
  <c r="B50" i="24"/>
  <c r="C50" i="24"/>
  <c r="E50" i="24"/>
  <c r="J50" i="24"/>
  <c r="O50" i="24"/>
  <c r="P50" i="24"/>
  <c r="Q50" i="24"/>
  <c r="L867" i="23"/>
  <c r="L868" i="23"/>
  <c r="L869" i="23"/>
  <c r="H867" i="23"/>
  <c r="I867" i="23"/>
  <c r="H868" i="23"/>
  <c r="I868" i="23"/>
  <c r="H869" i="23"/>
  <c r="I869" i="23"/>
  <c r="B868" i="23"/>
  <c r="B869" i="23"/>
  <c r="C868" i="23"/>
  <c r="C869" i="23"/>
  <c r="E868" i="23"/>
  <c r="E869" i="23"/>
  <c r="J868" i="23"/>
  <c r="J869" i="23"/>
  <c r="R868" i="23"/>
  <c r="R869" i="23"/>
  <c r="S868" i="23"/>
  <c r="S869" i="23"/>
  <c r="T868" i="23"/>
  <c r="T869" i="23"/>
  <c r="I866" i="23"/>
  <c r="H866" i="23"/>
  <c r="I865" i="23"/>
  <c r="H865" i="23"/>
  <c r="I864" i="23"/>
  <c r="H864" i="23"/>
  <c r="B865" i="23"/>
  <c r="B866" i="23"/>
  <c r="B867" i="23"/>
  <c r="C865" i="23"/>
  <c r="C866" i="23"/>
  <c r="C867" i="23"/>
  <c r="E865" i="23"/>
  <c r="E866" i="23"/>
  <c r="E867" i="23"/>
  <c r="J865" i="23"/>
  <c r="J866" i="23"/>
  <c r="J867" i="23"/>
  <c r="L865" i="23"/>
  <c r="L866" i="23"/>
  <c r="R865" i="23"/>
  <c r="R866" i="23"/>
  <c r="R867" i="23"/>
  <c r="S865" i="23"/>
  <c r="S866" i="23"/>
  <c r="S867" i="23"/>
  <c r="T865" i="23"/>
  <c r="T866" i="23"/>
  <c r="T867" i="23"/>
  <c r="B864" i="23"/>
  <c r="C864" i="23"/>
  <c r="E864" i="23"/>
  <c r="J864" i="23"/>
  <c r="L864" i="23"/>
  <c r="R864" i="23"/>
  <c r="S864" i="23"/>
  <c r="T864" i="23"/>
  <c r="L859" i="23"/>
  <c r="L860" i="23"/>
  <c r="L861" i="23"/>
  <c r="L862" i="23"/>
  <c r="L863"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I863" i="23"/>
  <c r="H863" i="23"/>
  <c r="I862" i="23"/>
  <c r="H862" i="23"/>
  <c r="I861" i="23"/>
  <c r="H861" i="23"/>
  <c r="I860" i="23"/>
  <c r="H860" i="23"/>
  <c r="I859" i="23"/>
  <c r="H859" i="23"/>
  <c r="B859" i="23"/>
  <c r="B860" i="23"/>
  <c r="B861" i="23"/>
  <c r="B862" i="23"/>
  <c r="B863" i="23"/>
  <c r="C863" i="23"/>
  <c r="C862" i="23"/>
  <c r="C861" i="23"/>
  <c r="C860" i="23"/>
  <c r="C859" i="23"/>
  <c r="J849" i="23"/>
  <c r="J850" i="23"/>
  <c r="J851" i="23"/>
  <c r="J852" i="23"/>
  <c r="J853" i="23"/>
  <c r="J854" i="23"/>
  <c r="J855" i="23"/>
  <c r="J856" i="23"/>
  <c r="J857" i="23"/>
  <c r="J858" i="23"/>
  <c r="J859" i="23"/>
  <c r="J860" i="23"/>
  <c r="J861" i="23"/>
  <c r="J862" i="23"/>
  <c r="J863" i="23"/>
  <c r="H849" i="23"/>
  <c r="I849" i="23"/>
  <c r="H850" i="23"/>
  <c r="I850" i="23"/>
  <c r="H851" i="23"/>
  <c r="I851" i="23"/>
  <c r="H852" i="23"/>
  <c r="I852" i="23"/>
  <c r="H853" i="23"/>
  <c r="I853" i="23"/>
  <c r="H854" i="23"/>
  <c r="I854" i="23"/>
  <c r="H855" i="23"/>
  <c r="I855" i="23"/>
  <c r="H856" i="23"/>
  <c r="I856" i="23"/>
  <c r="H857" i="23"/>
  <c r="I857" i="23"/>
  <c r="H858" i="23"/>
  <c r="I858" i="23"/>
  <c r="B849" i="23"/>
  <c r="B850" i="23"/>
  <c r="B851" i="23"/>
  <c r="B852" i="23"/>
  <c r="B853" i="23"/>
  <c r="B854" i="23"/>
  <c r="B855" i="23"/>
  <c r="B856" i="23"/>
  <c r="B857" i="23"/>
  <c r="B858" i="23"/>
  <c r="C849" i="23"/>
  <c r="C850" i="23"/>
  <c r="C851" i="23"/>
  <c r="C852" i="23"/>
  <c r="C853" i="23"/>
  <c r="C854" i="23"/>
  <c r="C855" i="23"/>
  <c r="C856" i="23"/>
  <c r="C857" i="23"/>
  <c r="C858" i="23"/>
  <c r="E849" i="23"/>
  <c r="E850" i="23"/>
  <c r="E851" i="23"/>
  <c r="E852" i="23"/>
  <c r="E853" i="23"/>
  <c r="E854" i="23"/>
  <c r="E855" i="23"/>
  <c r="E856" i="23"/>
  <c r="E857" i="23"/>
  <c r="E858" i="23"/>
  <c r="E859" i="23"/>
  <c r="E860" i="23"/>
  <c r="E861" i="23"/>
  <c r="E862" i="23"/>
  <c r="E863" i="23"/>
  <c r="R849" i="23"/>
  <c r="R850" i="23"/>
  <c r="R851" i="23"/>
  <c r="R852" i="23"/>
  <c r="R853" i="23"/>
  <c r="R854" i="23"/>
  <c r="R855" i="23"/>
  <c r="R856" i="23"/>
  <c r="R857" i="23"/>
  <c r="R858" i="23"/>
  <c r="R859" i="23"/>
  <c r="R860" i="23"/>
  <c r="R861" i="23"/>
  <c r="R862" i="23"/>
  <c r="R863" i="23"/>
  <c r="S849" i="23"/>
  <c r="S850" i="23"/>
  <c r="S851" i="23"/>
  <c r="S852" i="23"/>
  <c r="S853" i="23"/>
  <c r="S854" i="23"/>
  <c r="S855" i="23"/>
  <c r="S856" i="23"/>
  <c r="S857" i="23"/>
  <c r="S858" i="23"/>
  <c r="S859" i="23"/>
  <c r="S860" i="23"/>
  <c r="S861" i="23"/>
  <c r="S862" i="23"/>
  <c r="S863" i="23"/>
  <c r="T849" i="23"/>
  <c r="T850" i="23"/>
  <c r="T851" i="23"/>
  <c r="T852" i="23"/>
  <c r="T853" i="23"/>
  <c r="T854" i="23"/>
  <c r="T855" i="23"/>
  <c r="T856" i="23"/>
  <c r="T857" i="23"/>
  <c r="T858" i="23"/>
  <c r="T859" i="23"/>
  <c r="T860" i="23"/>
  <c r="T861" i="23"/>
  <c r="T862" i="23"/>
  <c r="T863" i="23"/>
  <c r="CG91" i="1"/>
  <c r="CF91" i="1"/>
  <c r="W1007" i="23" l="1"/>
  <c r="AA1007" i="23"/>
  <c r="W1006" i="23"/>
  <c r="AA1006" i="23"/>
  <c r="W1008" i="23"/>
  <c r="AA1008" i="23"/>
  <c r="W1009" i="23"/>
  <c r="AA1009" i="23"/>
  <c r="W1010" i="23"/>
  <c r="AA1010" i="23"/>
  <c r="AA1004" i="23"/>
  <c r="W1004" i="23"/>
  <c r="AA1003" i="23"/>
  <c r="W1003" i="23"/>
  <c r="AA1002" i="23"/>
  <c r="W1002" i="23"/>
  <c r="AA1001" i="23"/>
  <c r="W1001" i="23"/>
  <c r="AA1000" i="23"/>
  <c r="W1000" i="23"/>
  <c r="AA999" i="23"/>
  <c r="W999" i="23"/>
  <c r="AA998" i="23"/>
  <c r="W998" i="23"/>
  <c r="AA997" i="23"/>
  <c r="W997" i="23"/>
  <c r="AA996" i="23"/>
  <c r="W996" i="23"/>
  <c r="AA995" i="23"/>
  <c r="W995" i="23"/>
  <c r="T57" i="24"/>
  <c r="AA980" i="23"/>
  <c r="W980" i="23"/>
  <c r="AA981" i="23"/>
  <c r="W981" i="23"/>
  <c r="AA982" i="23"/>
  <c r="W982" i="23"/>
  <c r="AA984" i="23"/>
  <c r="W984" i="23"/>
  <c r="W1005" i="23"/>
  <c r="AA1005" i="23"/>
  <c r="W992" i="23"/>
  <c r="AA992" i="23"/>
  <c r="W991" i="23"/>
  <c r="AA991" i="23"/>
  <c r="W988" i="23"/>
  <c r="AA988" i="23"/>
  <c r="W990" i="23"/>
  <c r="AA990" i="23"/>
  <c r="AA963" i="23"/>
  <c r="W963" i="23"/>
  <c r="AA965" i="23"/>
  <c r="W965" i="23"/>
  <c r="W987" i="23"/>
  <c r="AA987" i="23"/>
  <c r="AA961" i="23"/>
  <c r="W961" i="23"/>
  <c r="AA962" i="23"/>
  <c r="W962" i="23"/>
  <c r="AA978" i="23"/>
  <c r="W978" i="23"/>
  <c r="W983" i="23"/>
  <c r="AA983" i="23"/>
  <c r="W974" i="23"/>
  <c r="AA974" i="23"/>
  <c r="W979" i="23"/>
  <c r="AA979" i="23"/>
  <c r="W975" i="23"/>
  <c r="AA975" i="23"/>
  <c r="W976" i="23"/>
  <c r="AA976" i="23"/>
  <c r="W977" i="23"/>
  <c r="AA977" i="23"/>
  <c r="W973" i="23"/>
  <c r="AA973" i="23"/>
  <c r="W972" i="23"/>
  <c r="AA972" i="23"/>
  <c r="W971" i="23"/>
  <c r="AA971" i="23"/>
  <c r="W964" i="23"/>
  <c r="AA964" i="23"/>
  <c r="AA928" i="23"/>
  <c r="W928" i="23"/>
  <c r="W953" i="23"/>
  <c r="W957" i="23"/>
  <c r="W929" i="23"/>
  <c r="W952" i="23"/>
  <c r="W934" i="23"/>
  <c r="W944" i="23"/>
  <c r="W946" i="23"/>
  <c r="W951" i="23"/>
  <c r="W958" i="23"/>
  <c r="W933" i="23"/>
  <c r="W921" i="23"/>
  <c r="W947" i="23"/>
  <c r="W956" i="23"/>
  <c r="W950" i="23"/>
  <c r="AA960" i="23"/>
  <c r="AA959" i="23"/>
  <c r="W932" i="23"/>
  <c r="W930" i="23"/>
  <c r="AA927" i="23"/>
  <c r="W927" i="23"/>
  <c r="AA945" i="23"/>
  <c r="W945" i="23"/>
  <c r="AA943" i="23"/>
  <c r="W943" i="23"/>
  <c r="AA938" i="23"/>
  <c r="W938" i="23"/>
  <c r="AA900" i="23"/>
  <c r="W900" i="23"/>
  <c r="AA902" i="23"/>
  <c r="W902" i="23"/>
  <c r="AA903" i="23"/>
  <c r="W903" i="23"/>
  <c r="AA904" i="23"/>
  <c r="W904" i="23"/>
  <c r="AA939" i="23"/>
  <c r="W939" i="23"/>
  <c r="W955" i="23"/>
  <c r="AA955" i="23"/>
  <c r="W954" i="23"/>
  <c r="AA954" i="23"/>
  <c r="AA937" i="23"/>
  <c r="W937" i="23"/>
  <c r="W949" i="23"/>
  <c r="AA949" i="23"/>
  <c r="W948" i="23"/>
  <c r="AA948" i="23"/>
  <c r="W942" i="23"/>
  <c r="AA942" i="23"/>
  <c r="T55" i="24"/>
  <c r="AA925" i="23"/>
  <c r="W925" i="23"/>
  <c r="AA893" i="23"/>
  <c r="W893" i="23"/>
  <c r="AA894" i="23"/>
  <c r="W894" i="23"/>
  <c r="AA896" i="23"/>
  <c r="W896" i="23"/>
  <c r="W941" i="23"/>
  <c r="AA941" i="23"/>
  <c r="W940" i="23"/>
  <c r="AA940" i="23"/>
  <c r="AA913" i="23"/>
  <c r="W913" i="23"/>
  <c r="AA912" i="23"/>
  <c r="W912" i="23"/>
  <c r="AA911" i="23"/>
  <c r="W911" i="23"/>
  <c r="T54" i="24"/>
  <c r="AA866" i="23"/>
  <c r="W866" i="23"/>
  <c r="W936" i="23"/>
  <c r="AA936" i="23"/>
  <c r="W935" i="23"/>
  <c r="AA935" i="23"/>
  <c r="AA924" i="23"/>
  <c r="W924" i="23"/>
  <c r="AA923" i="23"/>
  <c r="W923" i="23"/>
  <c r="AA920" i="23"/>
  <c r="W920" i="23"/>
  <c r="AA919" i="23"/>
  <c r="W919" i="23"/>
  <c r="W931" i="23"/>
  <c r="AA931" i="23"/>
  <c r="T53" i="24"/>
  <c r="T52" i="24"/>
  <c r="AA907" i="23"/>
  <c r="W907" i="23"/>
  <c r="AA906" i="23"/>
  <c r="W906" i="23"/>
  <c r="AA905" i="23"/>
  <c r="W905" i="23"/>
  <c r="AA908" i="23"/>
  <c r="W908" i="23"/>
  <c r="AA867" i="23"/>
  <c r="W867" i="23"/>
  <c r="W922" i="23"/>
  <c r="AA922" i="23"/>
  <c r="W926" i="23"/>
  <c r="AA926" i="23"/>
  <c r="W917" i="23"/>
  <c r="AA917" i="23"/>
  <c r="W916" i="23"/>
  <c r="AA916" i="23"/>
  <c r="W915" i="23"/>
  <c r="AA915" i="23"/>
  <c r="W918" i="23"/>
  <c r="AA918" i="23"/>
  <c r="AA898" i="23"/>
  <c r="W898" i="23"/>
  <c r="W914" i="23"/>
  <c r="AA914" i="23"/>
  <c r="W910" i="23"/>
  <c r="AA910" i="23"/>
  <c r="W909" i="23"/>
  <c r="AA909" i="23"/>
  <c r="AA892" i="23"/>
  <c r="W892" i="23"/>
  <c r="W901" i="23"/>
  <c r="AA901" i="23"/>
  <c r="AA881" i="23"/>
  <c r="W881" i="23"/>
  <c r="AA889" i="23"/>
  <c r="W889" i="23"/>
  <c r="AA885" i="23"/>
  <c r="W885" i="23"/>
  <c r="AA886" i="23"/>
  <c r="W886" i="23"/>
  <c r="AA888" i="23"/>
  <c r="W888" i="23"/>
  <c r="AA899" i="23"/>
  <c r="W899" i="23"/>
  <c r="W895" i="23"/>
  <c r="AA895" i="23"/>
  <c r="W897" i="23"/>
  <c r="W891" i="23"/>
  <c r="W890" i="23"/>
  <c r="AA890" i="23"/>
  <c r="W887" i="23"/>
  <c r="AA887" i="23"/>
  <c r="W884" i="23"/>
  <c r="AA884" i="23"/>
  <c r="AA849" i="23"/>
  <c r="W849" i="23"/>
  <c r="AA850" i="23"/>
  <c r="W850" i="23"/>
  <c r="AA851" i="23"/>
  <c r="W851" i="23"/>
  <c r="AA852" i="23"/>
  <c r="W852" i="23"/>
  <c r="AA853" i="23"/>
  <c r="W853" i="23"/>
  <c r="AA854" i="23"/>
  <c r="W854" i="23"/>
  <c r="AA855" i="23"/>
  <c r="W855" i="23"/>
  <c r="AA856" i="23"/>
  <c r="W856" i="23"/>
  <c r="AA857" i="23"/>
  <c r="W857" i="23"/>
  <c r="AA858" i="23"/>
  <c r="W858" i="23"/>
  <c r="AA859" i="23"/>
  <c r="W859" i="23"/>
  <c r="AA860" i="23"/>
  <c r="W860" i="23"/>
  <c r="AA861" i="23"/>
  <c r="W861" i="23"/>
  <c r="AA862" i="23"/>
  <c r="W862" i="23"/>
  <c r="AA863" i="23"/>
  <c r="W863" i="23"/>
  <c r="W883" i="23"/>
  <c r="AA883" i="23"/>
  <c r="W879" i="23"/>
  <c r="AA879" i="23"/>
  <c r="W880" i="23"/>
  <c r="AA880" i="23"/>
  <c r="AA882" i="23"/>
  <c r="W882" i="23"/>
  <c r="W878" i="23"/>
  <c r="AA878" i="23"/>
  <c r="AA865" i="23"/>
  <c r="W865" i="23"/>
  <c r="AA877" i="23"/>
  <c r="W877" i="23"/>
  <c r="W875" i="23"/>
  <c r="AA875" i="23"/>
  <c r="W876" i="23"/>
  <c r="AA876" i="23"/>
  <c r="AA870" i="23"/>
  <c r="W870" i="23"/>
  <c r="AA871" i="23"/>
  <c r="W871" i="23"/>
  <c r="AA872" i="23"/>
  <c r="W872" i="23"/>
  <c r="AA873" i="23"/>
  <c r="W873" i="23"/>
  <c r="W874" i="23"/>
  <c r="AA874" i="23"/>
  <c r="W868" i="23"/>
  <c r="AA868" i="23"/>
  <c r="W869" i="23"/>
  <c r="AA869" i="23"/>
  <c r="T50" i="24"/>
  <c r="T51" i="24"/>
  <c r="AA864" i="23"/>
  <c r="W864" i="23"/>
  <c r="R828" i="23"/>
  <c r="S828" i="23"/>
  <c r="T828" i="23"/>
  <c r="AA828" i="23" s="1"/>
  <c r="R829" i="23"/>
  <c r="S829" i="23"/>
  <c r="T829" i="23"/>
  <c r="AA829" i="23" s="1"/>
  <c r="R830" i="23"/>
  <c r="S830" i="23"/>
  <c r="T830" i="23"/>
  <c r="AA830" i="23" s="1"/>
  <c r="R831" i="23"/>
  <c r="S831" i="23"/>
  <c r="T831" i="23"/>
  <c r="W831" i="23" s="1"/>
  <c r="R832" i="23"/>
  <c r="S832" i="23"/>
  <c r="T832" i="23"/>
  <c r="W832" i="23" s="1"/>
  <c r="R833" i="23"/>
  <c r="S833" i="23"/>
  <c r="T833" i="23"/>
  <c r="W833" i="23" s="1"/>
  <c r="R834" i="23"/>
  <c r="S834" i="23"/>
  <c r="T834" i="23"/>
  <c r="W834" i="23" s="1"/>
  <c r="R835" i="23"/>
  <c r="S835" i="23"/>
  <c r="T835" i="23"/>
  <c r="W835" i="23" s="1"/>
  <c r="R836" i="23"/>
  <c r="S836" i="23"/>
  <c r="T836" i="23"/>
  <c r="AA836" i="23" s="1"/>
  <c r="R837" i="23"/>
  <c r="S837" i="23"/>
  <c r="T837" i="23"/>
  <c r="AA837" i="23" s="1"/>
  <c r="R838" i="23"/>
  <c r="S838" i="23"/>
  <c r="T838" i="23"/>
  <c r="W838" i="23" s="1"/>
  <c r="R839" i="23"/>
  <c r="S839" i="23"/>
  <c r="T839" i="23"/>
  <c r="W839" i="23" s="1"/>
  <c r="R840" i="23"/>
  <c r="S840" i="23"/>
  <c r="T840" i="23"/>
  <c r="AA840" i="23" s="1"/>
  <c r="R841" i="23"/>
  <c r="S841" i="23"/>
  <c r="T841" i="23"/>
  <c r="AA841" i="23" s="1"/>
  <c r="R842" i="23"/>
  <c r="S842" i="23"/>
  <c r="T842" i="23"/>
  <c r="AA842" i="23" s="1"/>
  <c r="R843" i="23"/>
  <c r="S843" i="23"/>
  <c r="T843" i="23"/>
  <c r="W843" i="23" s="1"/>
  <c r="R844" i="23"/>
  <c r="S844" i="23"/>
  <c r="T844" i="23"/>
  <c r="W844" i="23" s="1"/>
  <c r="R845" i="23"/>
  <c r="S845" i="23"/>
  <c r="T845" i="23"/>
  <c r="W845" i="23" s="1"/>
  <c r="R846" i="23"/>
  <c r="S846" i="23"/>
  <c r="T846" i="23"/>
  <c r="W846" i="23" s="1"/>
  <c r="R847" i="23"/>
  <c r="S847" i="23"/>
  <c r="T847" i="23"/>
  <c r="W847" i="23" s="1"/>
  <c r="R848" i="23"/>
  <c r="S848" i="23"/>
  <c r="T848" i="23"/>
  <c r="AA848" i="23" s="1"/>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B828" i="23"/>
  <c r="B829" i="23"/>
  <c r="B830" i="23"/>
  <c r="B831" i="23"/>
  <c r="B832" i="23"/>
  <c r="B833" i="23"/>
  <c r="B834" i="23"/>
  <c r="B835" i="23"/>
  <c r="B836" i="23"/>
  <c r="B837" i="23"/>
  <c r="B838" i="23"/>
  <c r="B839" i="23"/>
  <c r="B840" i="23"/>
  <c r="B841" i="23"/>
  <c r="B842" i="23"/>
  <c r="B843" i="23"/>
  <c r="B844" i="23"/>
  <c r="B845" i="23"/>
  <c r="B846" i="23"/>
  <c r="B847" i="23"/>
  <c r="B848" i="23"/>
  <c r="C828" i="23"/>
  <c r="C829" i="23"/>
  <c r="C830" i="23"/>
  <c r="C831" i="23"/>
  <c r="C832" i="23"/>
  <c r="C833" i="23"/>
  <c r="C834" i="23"/>
  <c r="C835" i="23"/>
  <c r="C836" i="23"/>
  <c r="C837" i="23"/>
  <c r="C838" i="23"/>
  <c r="C839" i="23"/>
  <c r="C840" i="23"/>
  <c r="C841" i="23"/>
  <c r="C842" i="23"/>
  <c r="C843" i="23"/>
  <c r="C844" i="23"/>
  <c r="C845" i="23"/>
  <c r="C846" i="23"/>
  <c r="C847" i="23"/>
  <c r="C848" i="23"/>
  <c r="E828" i="23"/>
  <c r="E829" i="23"/>
  <c r="E830" i="23"/>
  <c r="E831" i="23"/>
  <c r="E832" i="23"/>
  <c r="E833" i="23"/>
  <c r="E834" i="23"/>
  <c r="E835" i="23"/>
  <c r="E836" i="23"/>
  <c r="E837" i="23"/>
  <c r="E838" i="23"/>
  <c r="E839" i="23"/>
  <c r="E840" i="23"/>
  <c r="E841" i="23"/>
  <c r="E842" i="23"/>
  <c r="E843" i="23"/>
  <c r="E844" i="23"/>
  <c r="E845" i="23"/>
  <c r="E846" i="23"/>
  <c r="E847" i="23"/>
  <c r="E848"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W830" i="23"/>
  <c r="W828" i="23"/>
  <c r="AA846" i="23"/>
  <c r="W842" i="23"/>
  <c r="AA839" i="23"/>
  <c r="W840" i="23"/>
  <c r="AA835" i="23"/>
  <c r="AA834" i="23"/>
  <c r="W837" i="23"/>
  <c r="W848" i="23"/>
  <c r="W836" i="23"/>
  <c r="AA845" i="23"/>
  <c r="AA833" i="23"/>
  <c r="W829" i="23"/>
  <c r="AA844" i="23"/>
  <c r="AA832" i="23"/>
  <c r="AA843" i="23"/>
  <c r="AA831" i="23"/>
  <c r="W84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W680" i="23"/>
  <c r="W681" i="23"/>
  <c r="W682" i="23"/>
  <c r="W683" i="23"/>
  <c r="T684" i="23"/>
  <c r="T685" i="23"/>
  <c r="W685" i="23" s="1"/>
  <c r="T686" i="23"/>
  <c r="W686" i="23" s="1"/>
  <c r="T687" i="23"/>
  <c r="T688" i="23"/>
  <c r="W688" i="23" s="1"/>
  <c r="T689" i="23"/>
  <c r="T690" i="23"/>
  <c r="W690" i="23" s="1"/>
  <c r="T691" i="23"/>
  <c r="W691" i="23" s="1"/>
  <c r="T692" i="23"/>
  <c r="T693" i="23"/>
  <c r="W693" i="23" s="1"/>
  <c r="T694" i="23"/>
  <c r="W694" i="23" s="1"/>
  <c r="T695" i="23"/>
  <c r="T696" i="23"/>
  <c r="W696" i="23" s="1"/>
  <c r="T697" i="23"/>
  <c r="T698" i="23"/>
  <c r="W698" i="23" s="1"/>
  <c r="T699" i="23"/>
  <c r="T700" i="23"/>
  <c r="T701" i="23"/>
  <c r="W701" i="23" s="1"/>
  <c r="T702" i="23"/>
  <c r="W702" i="23" s="1"/>
  <c r="T703" i="23"/>
  <c r="W703" i="23" s="1"/>
  <c r="T704" i="23"/>
  <c r="W704" i="23" s="1"/>
  <c r="T705" i="23"/>
  <c r="T706" i="23"/>
  <c r="T707" i="23"/>
  <c r="T708" i="23"/>
  <c r="W708" i="23" s="1"/>
  <c r="T709" i="23"/>
  <c r="T710" i="23"/>
  <c r="W710" i="23" s="1"/>
  <c r="T711" i="23"/>
  <c r="W711" i="23" s="1"/>
  <c r="T712" i="23"/>
  <c r="W712" i="23" s="1"/>
  <c r="T713" i="23"/>
  <c r="W713" i="23" s="1"/>
  <c r="T714" i="23"/>
  <c r="W714" i="23" s="1"/>
  <c r="T715" i="23"/>
  <c r="T716" i="23"/>
  <c r="W716" i="23" s="1"/>
  <c r="T717" i="23"/>
  <c r="W717" i="23" s="1"/>
  <c r="T718" i="23"/>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T733" i="23"/>
  <c r="W733" i="23" s="1"/>
  <c r="T734" i="23"/>
  <c r="W734" i="23" s="1"/>
  <c r="T735" i="23"/>
  <c r="T736" i="23"/>
  <c r="W736" i="23" s="1"/>
  <c r="T737" i="23"/>
  <c r="W737" i="23" s="1"/>
  <c r="T738" i="23"/>
  <c r="W738" i="23" s="1"/>
  <c r="T739" i="23"/>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T756" i="23"/>
  <c r="T757" i="23"/>
  <c r="W757" i="23" s="1"/>
  <c r="T758" i="23"/>
  <c r="T759" i="23"/>
  <c r="W759" i="23" s="1"/>
  <c r="T760" i="23"/>
  <c r="T761" i="23"/>
  <c r="T762" i="23"/>
  <c r="T763" i="23"/>
  <c r="W763" i="23" s="1"/>
  <c r="T764" i="23"/>
  <c r="W764" i="23" s="1"/>
  <c r="T765" i="23"/>
  <c r="W765" i="23" s="1"/>
  <c r="T766" i="23"/>
  <c r="W766" i="23" s="1"/>
  <c r="T767" i="23"/>
  <c r="W767" i="23" s="1"/>
  <c r="T768" i="23"/>
  <c r="W768" i="23" s="1"/>
  <c r="T769" i="23"/>
  <c r="W769" i="23" s="1"/>
  <c r="T770" i="23"/>
  <c r="W770" i="23" s="1"/>
  <c r="T771" i="23"/>
  <c r="T772" i="23"/>
  <c r="W772" i="23" s="1"/>
  <c r="T773" i="23"/>
  <c r="W773" i="23" s="1"/>
  <c r="T774" i="23"/>
  <c r="W774" i="23" s="1"/>
  <c r="T775" i="23"/>
  <c r="W775" i="23" s="1"/>
  <c r="T776" i="23"/>
  <c r="AA776" i="23" s="1"/>
  <c r="T777" i="23"/>
  <c r="W777" i="23" s="1"/>
  <c r="T778" i="23"/>
  <c r="T779" i="23"/>
  <c r="T780" i="23"/>
  <c r="T781" i="23"/>
  <c r="W781" i="23" s="1"/>
  <c r="T782" i="23"/>
  <c r="AA782" i="23" s="1"/>
  <c r="T783" i="23"/>
  <c r="T784" i="23"/>
  <c r="W784" i="23" s="1"/>
  <c r="T785" i="23"/>
  <c r="T786" i="23"/>
  <c r="T787" i="23"/>
  <c r="AA787" i="23" s="1"/>
  <c r="T788" i="23"/>
  <c r="T789" i="23"/>
  <c r="T790" i="23"/>
  <c r="AA790" i="23" s="1"/>
  <c r="T791" i="23"/>
  <c r="T792" i="23"/>
  <c r="AA792" i="23" s="1"/>
  <c r="T793" i="23"/>
  <c r="W793" i="23" s="1"/>
  <c r="T794" i="23"/>
  <c r="T795" i="23"/>
  <c r="T796" i="23"/>
  <c r="W796" i="23" s="1"/>
  <c r="T797" i="23"/>
  <c r="T798" i="23"/>
  <c r="AA798" i="23" s="1"/>
  <c r="T799" i="23"/>
  <c r="AA799" i="23" s="1"/>
  <c r="T800" i="23"/>
  <c r="AA800" i="23" s="1"/>
  <c r="T801" i="23"/>
  <c r="W801" i="23" s="1"/>
  <c r="T802" i="23"/>
  <c r="T803" i="23"/>
  <c r="T804" i="23"/>
  <c r="T805" i="23"/>
  <c r="W805" i="23" s="1"/>
  <c r="T806" i="23"/>
  <c r="AA806" i="23" s="1"/>
  <c r="T807" i="23"/>
  <c r="W807" i="23" s="1"/>
  <c r="T808" i="23"/>
  <c r="W808" i="23" s="1"/>
  <c r="T809" i="23"/>
  <c r="T810" i="23"/>
  <c r="T811" i="23"/>
  <c r="T812" i="23"/>
  <c r="T813" i="23"/>
  <c r="W813" i="23" s="1"/>
  <c r="T814" i="23"/>
  <c r="AA814" i="23" s="1"/>
  <c r="T815" i="23"/>
  <c r="AA815" i="23" s="1"/>
  <c r="T816" i="23"/>
  <c r="T817" i="23"/>
  <c r="T818" i="23"/>
  <c r="T819" i="23"/>
  <c r="AA819" i="23" s="1"/>
  <c r="T820" i="23"/>
  <c r="AA820" i="23" s="1"/>
  <c r="T821" i="23"/>
  <c r="T822" i="23"/>
  <c r="W822" i="23" s="1"/>
  <c r="T823" i="23"/>
  <c r="AA823" i="23" s="1"/>
  <c r="T824" i="23"/>
  <c r="W824" i="23" s="1"/>
  <c r="T825" i="23"/>
  <c r="T826" i="23"/>
  <c r="W826" i="23" s="1"/>
  <c r="T827"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2" i="23"/>
  <c r="J2" i="23"/>
  <c r="E2" i="23"/>
  <c r="C2" i="23"/>
  <c r="W692" i="23" l="1"/>
  <c r="W739" i="23"/>
  <c r="W715" i="23"/>
  <c r="W762" i="23"/>
  <c r="W761" i="23"/>
  <c r="W689" i="23"/>
  <c r="W789" i="23"/>
  <c r="W705" i="23"/>
  <c r="W760" i="23"/>
  <c r="W700" i="23"/>
  <c r="W771" i="23"/>
  <c r="W735" i="23"/>
  <c r="W699" i="23"/>
  <c r="W687" i="23"/>
  <c r="W758" i="23"/>
  <c r="W817" i="23"/>
  <c r="W709" i="23"/>
  <c r="W697" i="23"/>
  <c r="AA816" i="23"/>
  <c r="W756" i="23"/>
  <c r="W732" i="23"/>
  <c r="W684" i="23"/>
  <c r="W755" i="23"/>
  <c r="W707" i="23"/>
  <c r="W695" i="23"/>
  <c r="W718" i="23"/>
  <c r="W706" i="23"/>
  <c r="AA778" i="23"/>
  <c r="W778" i="23"/>
  <c r="AA779" i="23"/>
  <c r="W779" i="23"/>
  <c r="AA780" i="23"/>
  <c r="W780" i="23"/>
  <c r="AA783" i="23"/>
  <c r="W783" i="23"/>
  <c r="AA785" i="23"/>
  <c r="W785" i="23"/>
  <c r="AA786" i="23"/>
  <c r="W786" i="23"/>
  <c r="AA788" i="23"/>
  <c r="W788" i="23"/>
  <c r="AA791" i="23"/>
  <c r="W791" i="23"/>
  <c r="AA794" i="23"/>
  <c r="W794" i="23"/>
  <c r="AA795" i="23"/>
  <c r="W795" i="23"/>
  <c r="AA797" i="23"/>
  <c r="W797" i="23"/>
  <c r="AA802" i="23"/>
  <c r="W802" i="23"/>
  <c r="AA803" i="23"/>
  <c r="W803" i="23"/>
  <c r="AA804" i="23"/>
  <c r="W804" i="23"/>
  <c r="AA809" i="23"/>
  <c r="W809" i="23"/>
  <c r="AA810" i="23"/>
  <c r="W810" i="23"/>
  <c r="AA811" i="23"/>
  <c r="W811" i="23"/>
  <c r="AA812" i="23"/>
  <c r="W812" i="23"/>
  <c r="AA818" i="23"/>
  <c r="W818" i="23"/>
  <c r="AA821" i="23"/>
  <c r="W821" i="23"/>
  <c r="W800" i="23"/>
  <c r="W776" i="23"/>
  <c r="W792" i="23"/>
  <c r="W816" i="23"/>
  <c r="AA784" i="23"/>
  <c r="W799" i="23"/>
  <c r="W815" i="23"/>
  <c r="W798" i="23"/>
  <c r="W782" i="23"/>
  <c r="W814" i="23"/>
  <c r="AA808" i="23"/>
  <c r="W790" i="23"/>
  <c r="AA807" i="23"/>
  <c r="W806" i="23"/>
  <c r="AA796" i="23"/>
  <c r="U2" i="25"/>
  <c r="W827" i="23"/>
  <c r="W820" i="23"/>
  <c r="W819" i="23"/>
  <c r="AA827" i="23"/>
  <c r="AA826" i="23"/>
  <c r="AA825" i="23"/>
  <c r="AA813" i="23"/>
  <c r="AA801" i="23"/>
  <c r="AA789" i="23"/>
  <c r="AA777" i="23"/>
  <c r="W787" i="23"/>
  <c r="AA824" i="23"/>
  <c r="AA822" i="23"/>
  <c r="W825" i="23"/>
  <c r="W823"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<sst xmlns="http://schemas.openxmlformats.org/spreadsheetml/2006/main" count="12479" uniqueCount="1391">
  <si>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</si>
  <si>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</si>
  <si>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</si>
  <si>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</si>
  <si>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</si>
  <si>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</si>
  <si>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</si>
  <si>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</si>
  <si>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</si>
  <si>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</si>
  <si>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</si>
  <si>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</si>
  <si>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</si>
  <si>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</si>
  <si>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</si>
  <si>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</si>
  <si>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</si>
  <si>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</si>
  <si>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</si>
  <si>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</si>
  <si>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</si>
  <si>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</si>
  <si>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</si>
  <si>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</si>
  <si>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</si>
  <si>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</si>
  <si>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</si>
  <si>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</si>
  <si>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</si>
  <si>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</si>
  <si>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</si>
  <si>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</si>
  <si>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</si>
  <si>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</si>
  <si>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</si>
  <si>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</si>
  <si>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</si>
  <si>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</si>
  <si>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</si>
  <si>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</si>
  <si>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</si>
  <si>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</si>
  <si>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</si>
  <si>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</si>
  <si>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</si>
  <si>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</si>
  <si>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</si>
  <si>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</si>
  <si>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</si>
  <si>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</si>
  <si>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</si>
  <si>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</si>
  <si>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</si>
  <si>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</si>
  <si>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</si>
  <si>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</si>
  <si>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</si>
  <si>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</si>
  <si>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</si>
  <si>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</si>
  <si>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</si>
  <si>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</si>
  <si>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</si>
  <si>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</si>
  <si>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</si>
  <si>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</si>
  <si>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</si>
  <si>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</si>
  <si>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</si>
  <si>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</si>
  <si>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</si>
  <si>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</si>
  <si>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</si>
  <si>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</si>
  <si>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</si>
  <si>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</si>
  <si>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</si>
  <si>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</si>
  <si>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</si>
  <si>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</si>
  <si>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</si>
  <si>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</si>
  <si>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</si>
  <si>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</si>
  <si>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</si>
  <si>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</si>
  <si>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</si>
  <si>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</si>
  <si>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</si>
  <si>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</si>
  <si>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</si>
  <si>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</si>
  <si>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</si>
  <si>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</si>
  <si>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</si>
  <si>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</si>
  <si>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</si>
  <si>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</si>
  <si>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</si>
  <si>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</si>
  <si>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</si>
  <si>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</si>
  <si>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</si>
  <si>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</si>
  <si>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</si>
  <si>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</si>
  <si>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</si>
  <si>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</si>
  <si>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</si>
  <si>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</si>
  <si>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</si>
  <si>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</si>
  <si>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</si>
  <si>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</si>
  <si>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</si>
  <si>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</si>
  <si>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</si>
  <si>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</si>
  <si>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</si>
  <si>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</si>
  <si>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</si>
  <si>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</si>
  <si>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</si>
  <si>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</si>
  <si>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</si>
  <si>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</si>
  <si>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</si>
  <si>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</si>
  <si>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</si>
  <si>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</si>
  <si>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</si>
  <si>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</si>
  <si>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</si>
  <si>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</si>
  <si>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</si>
  <si>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</si>
  <si>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</si>
  <si>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</si>
  <si>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</si>
  <si>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</si>
  <si>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</si>
  <si>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</si>
  <si>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</si>
  <si>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</si>
  <si>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</si>
  <si>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</si>
  <si>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</si>
  <si>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</si>
  <si>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</si>
  <si>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</si>
  <si>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</si>
  <si>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</si>
  <si>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</si>
  <si>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</si>
  <si>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</si>
  <si>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</si>
  <si>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</si>
  <si>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</si>
  <si>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</si>
  <si>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</si>
  <si>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</si>
  <si>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</si>
  <si>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</si>
  <si>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</si>
  <si>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</si>
  <si>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</si>
  <si>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</si>
  <si>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</si>
  <si>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</si>
  <si>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</si>
  <si>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</si>
  <si>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</si>
  <si>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</si>
  <si>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</si>
  <si>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</si>
  <si>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</si>
  <si>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</si>
  <si>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</si>
  <si>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</si>
  <si>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</si>
  <si>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</si>
  <si>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</si>
  <si>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</si>
  <si>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</si>
  <si>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</si>
  <si>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</si>
  <si>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</si>
  <si>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</si>
  <si>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</si>
  <si>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</si>
  <si>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</si>
  <si>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</si>
  <si>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</si>
  <si>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</si>
  <si>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</si>
  <si>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</si>
  <si>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</si>
  <si>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</si>
  <si>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</si>
  <si>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</si>
  <si>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</si>
  <si>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</si>
  <si>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</si>
  <si>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</si>
  <si>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</si>
  <si>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</si>
  <si>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</si>
  <si>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</si>
  <si>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</si>
  <si>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</si>
  <si>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</si>
  <si>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</si>
  <si>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</si>
  <si>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</si>
  <si>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</si>
  <si>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</si>
  <si>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</si>
  <si>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</si>
  <si>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</si>
  <si>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</si>
  <si>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</si>
  <si>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</si>
  <si>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</si>
  <si>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</si>
  <si>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</si>
  <si>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</si>
  <si>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</si>
  <si>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</si>
  <si>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</si>
  <si>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</si>
  <si>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</si>
  <si>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</si>
  <si>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</si>
  <si>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</si>
  <si>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</si>
  <si>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</si>
  <si>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</si>
  <si>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</si>
  <si>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</si>
  <si>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</si>
  <si>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</si>
  <si>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</si>
  <si>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</si>
  <si>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</si>
  <si>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</si>
  <si>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</si>
  <si>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</si>
  <si>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</si>
  <si>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</si>
  <si>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</si>
  <si>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</si>
  <si>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</si>
  <si>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</si>
  <si>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</si>
  <si>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</si>
  <si>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</si>
  <si>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</si>
  <si>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</si>
  <si>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</si>
  <si>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</si>
  <si>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</si>
  <si>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</si>
  <si>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</si>
  <si>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</si>
  <si>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</si>
  <si>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</si>
  <si>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</si>
  <si>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</si>
  <si>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</si>
  <si>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</si>
  <si>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</si>
  <si>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Date</t>
  </si>
  <si>
    <t>Calendor Year</t>
  </si>
  <si>
    <t>Month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</si>
  <si>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</si>
  <si>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</si>
  <si>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</si>
  <si>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</si>
  <si>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</si>
  <si>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</si>
  <si>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</si>
  <si>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</si>
  <si>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</si>
  <si>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</si>
  <si>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</si>
  <si>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</si>
  <si>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</si>
  <si>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</si>
  <si>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</si>
  <si>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</si>
  <si>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</si>
  <si>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</si>
  <si>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</si>
  <si>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</si>
  <si>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</si>
  <si>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</si>
  <si>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</si>
  <si>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</si>
  <si>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</si>
  <si>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</si>
  <si>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</si>
  <si>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</si>
  <si>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</si>
  <si>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</si>
  <si>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</si>
  <si>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</si>
  <si>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</si>
  <si>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</si>
  <si>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</si>
  <si>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</si>
  <si>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</si>
  <si>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</si>
  <si>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</si>
  <si>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</si>
  <si>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</si>
  <si>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</si>
  <si>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</si>
  <si>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</si>
  <si>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</si>
  <si>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</si>
  <si>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</si>
  <si>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</si>
  <si>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</si>
  <si>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</si>
  <si>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</si>
  <si>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</si>
  <si>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</si>
  <si>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</si>
  <si>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</si>
  <si>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</si>
  <si>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</si>
  <si>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</si>
  <si>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</si>
  <si>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</si>
  <si>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</si>
  <si>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</si>
  <si>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</si>
  <si>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</si>
  <si>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</si>
  <si>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</si>
  <si>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</si>
  <si>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</si>
  <si>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</si>
  <si>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</si>
  <si>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Calendar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</si>
  <si>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</si>
  <si>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</si>
  <si>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</si>
  <si>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</si>
  <si>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</si>
  <si>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</si>
  <si>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</si>
  <si>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</si>
  <si>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</si>
  <si>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</si>
  <si>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</si>
  <si>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</si>
  <si>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</si>
  <si>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</si>
  <si>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</si>
  <si>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</si>
  <si>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</si>
  <si>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</si>
  <si>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</si>
  <si>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</si>
  <si>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</si>
  <si>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</si>
  <si>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</si>
  <si>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</si>
  <si>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</si>
  <si>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</si>
  <si>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</si>
  <si>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</si>
  <si>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</si>
  <si>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</si>
  <si>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</si>
  <si>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</si>
  <si>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</si>
  <si>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</si>
  <si>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</si>
  <si>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</si>
  <si>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</si>
  <si>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</si>
  <si>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</si>
  <si>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</si>
  <si>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</si>
  <si>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</si>
  <si>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</si>
  <si>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</si>
  <si>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</si>
  <si>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</si>
  <si>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</si>
  <si>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</si>
  <si>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</si>
  <si>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</si>
  <si>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</si>
  <si>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</si>
  <si>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</si>
  <si>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</si>
  <si>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</si>
  <si>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</si>
  <si>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</si>
  <si>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</si>
  <si>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</si>
  <si>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</si>
  <si>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</si>
  <si>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</si>
  <si>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</si>
  <si>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</si>
  <si>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</si>
  <si>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</si>
  <si>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</si>
  <si>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</si>
  <si>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</si>
  <si>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</si>
  <si>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</si>
  <si>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</si>
  <si>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</si>
  <si>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</si>
  <si>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</si>
  <si>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</si>
  <si>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</si>
  <si>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</si>
  <si>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</si>
  <si>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</si>
  <si>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</si>
  <si>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</si>
  <si>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</si>
  <si>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</si>
  <si>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</si>
  <si>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</si>
  <si>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</si>
  <si>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</si>
  <si>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</si>
  <si>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</si>
  <si>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</si>
  <si>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</si>
  <si>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</si>
  <si>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</si>
  <si>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</si>
  <si>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</si>
  <si>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</si>
  <si>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</si>
  <si>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Consumer</t>
  </si>
  <si>
    <t>Plant Equivalent Weightage</t>
  </si>
  <si>
    <t>Error Code</t>
  </si>
  <si>
    <t>Error Text</t>
  </si>
  <si>
    <t>Breakdown Description</t>
  </si>
  <si>
    <t>Stoppage Type</t>
  </si>
  <si>
    <t>Fault Start TimeStamp</t>
  </si>
  <si>
    <t>Work Start TimeStamp</t>
  </si>
  <si>
    <t>Fault Clearance time</t>
  </si>
  <si>
    <t>Response Time</t>
  </si>
  <si>
    <t>Resolution Time</t>
  </si>
  <si>
    <t>Breakdown Time</t>
  </si>
  <si>
    <t>Action taken</t>
  </si>
  <si>
    <t>Status</t>
  </si>
  <si>
    <t>Plant Equivalent breakdown</t>
  </si>
  <si>
    <t>Fault Category</t>
  </si>
  <si>
    <t>Paired WTG for Enegy based MA</t>
  </si>
  <si>
    <t>Paired WTG Generation for loss calculation</t>
  </si>
  <si>
    <t>Estimated Energy Loss (kWh)</t>
  </si>
  <si>
    <t>Special Remarks</t>
  </si>
  <si>
    <t>PTW No.</t>
  </si>
  <si>
    <t>Job Card No.</t>
  </si>
  <si>
    <t>Year_3</t>
  </si>
  <si>
    <t>CE100015</t>
  </si>
  <si>
    <t>FM</t>
  </si>
  <si>
    <t>Major Breakdown</t>
  </si>
  <si>
    <t>Manual stop for blade bush gap issue retrofitting work</t>
  </si>
  <si>
    <t>Open</t>
  </si>
  <si>
    <t>WTG Force Majeure</t>
  </si>
  <si>
    <t>None</t>
  </si>
  <si>
    <t>BD</t>
  </si>
  <si>
    <t>Breakdown</t>
  </si>
  <si>
    <t>Reset then restore wtg.</t>
  </si>
  <si>
    <t>Close</t>
  </si>
  <si>
    <t>WTG Breakdown Maintenance</t>
  </si>
  <si>
    <t>Auto reset</t>
  </si>
  <si>
    <t>CCU reset then restore wtg.</t>
  </si>
  <si>
    <t>Checked related circuit found ok the restore wtg.</t>
  </si>
  <si>
    <t>Checked related circuit found ok then restore wtg.</t>
  </si>
  <si>
    <t>Checked related circuit found yaw motor failure so replaced yaw motor with new one then restore wtg.</t>
  </si>
  <si>
    <t>Checked related circuit found CCU coolant cooling motor failure so replaced then start wtg.</t>
  </si>
  <si>
    <t>Reboot then restore wtg.</t>
  </si>
  <si>
    <t>Manual stop for blade bush gap inspection work.</t>
  </si>
  <si>
    <t>WTG Force Majeaure</t>
  </si>
  <si>
    <t>Check related circuit found ok then restore wtg.</t>
  </si>
  <si>
    <t>Check related circuit found yaw motor failure so replace with new one then restore wtg.</t>
  </si>
  <si>
    <t>work in progress</t>
  </si>
  <si>
    <t>Check related circuit found RTD module failure so repalced with new one then restore wtg.</t>
  </si>
  <si>
    <t>Checked related circuit found no leakage then top-up 5 liter HU oil then restore wtg.</t>
  </si>
  <si>
    <t>Checked related circuit found leakage form yaw caliper so replaced yaw caliper seal then top-up 30 liter oil then restore wtg.</t>
  </si>
  <si>
    <t>Checked and found MPCB tripped so recorrect it then restore wtg.</t>
  </si>
  <si>
    <t>Checked and found Balde A proportional valve failure so replaced with new one then restore wtg</t>
  </si>
  <si>
    <t>Untwist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</si>
  <si>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</si>
  <si>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</si>
  <si>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</si>
  <si>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Manual stop</t>
  </si>
  <si>
    <t>Manual stop for blade bush gap inspection  work</t>
  </si>
  <si>
    <t>WTG Unscheduled Maintenance</t>
  </si>
  <si>
    <t>Reset CCU tchen restore wtg.</t>
  </si>
  <si>
    <t>Checked related circuit found MPCB failure so replaced with new one then restore wtg.</t>
  </si>
  <si>
    <t>Found addon block loose so tight it then restore wtg.</t>
  </si>
  <si>
    <t>Found addon block malfunction  so replaced it then restore wtg.</t>
  </si>
  <si>
    <t>Manual stop for Blade bush gap inspection work</t>
  </si>
  <si>
    <t>Checked and found SF-6 breaker tripped so charge SF-6 breaker then chen all motor found ok then restore wtg.</t>
  </si>
  <si>
    <t>Checked related circuit found no leakage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</si>
  <si>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</si>
  <si>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</si>
  <si>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Manual stop for blade bush gap inspection work</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</si>
  <si>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</si>
  <si>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</si>
  <si>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</si>
  <si>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</si>
  <si>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</si>
  <si>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CE100008</t>
  </si>
  <si>
    <t>Manual stop for Blade A pitch seal replacement work</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</si>
  <si>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</si>
  <si>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</si>
  <si>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</si>
  <si>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</si>
  <si>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</si>
  <si>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</si>
  <si>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</si>
  <si>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CE100001</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</si>
  <si>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</si>
  <si>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</si>
  <si>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</si>
  <si>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</si>
  <si>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</si>
  <si>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</si>
  <si>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</si>
  <si>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</si>
  <si>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</si>
  <si>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</si>
  <si>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</si>
  <si>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</si>
  <si>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</si>
  <si>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</si>
  <si>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Check related circuit found loose connection so tight it then restore wtg.</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</si>
  <si>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</si>
  <si>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</si>
  <si>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</si>
  <si>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</si>
  <si>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IG Force Majeaure</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</si>
  <si>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</si>
  <si>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</si>
  <si>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</si>
  <si>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Manual stop for Blade B pitch seal replacement work</t>
  </si>
  <si>
    <t>Check and found yaw encoder failure so replaced with new one then restore wtg.</t>
  </si>
  <si>
    <t>CE100010</t>
  </si>
  <si>
    <t>PM</t>
  </si>
  <si>
    <t>Manual stop for HYPM work</t>
  </si>
  <si>
    <t>WTG Scheduled Maintenance</t>
  </si>
  <si>
    <t>OGS reset then restore wg.</t>
  </si>
  <si>
    <t>Slip ring clean then restore wtg.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</si>
  <si>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</si>
  <si>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</si>
  <si>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</si>
  <si>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</si>
  <si>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</si>
  <si>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</si>
  <si>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</si>
  <si>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</si>
  <si>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HU contactor failure so replaced with new one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</si>
  <si>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</si>
  <si>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</si>
  <si>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</si>
  <si>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</si>
  <si>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</si>
  <si>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</si>
  <si>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</si>
  <si>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</si>
  <si>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Manual stop for Yaw caliper seal replacement work.</t>
  </si>
  <si>
    <t>Manual stop/Customer</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</si>
  <si>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</si>
  <si>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</si>
  <si>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</si>
  <si>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</si>
  <si>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</si>
  <si>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</si>
  <si>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</si>
  <si>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</si>
  <si>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</si>
  <si>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</si>
  <si>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</si>
  <si>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</si>
  <si>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</si>
  <si>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</si>
  <si>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SEM Yard Earthing work done then restore wtg.</t>
  </si>
  <si>
    <t xml:space="preserve">Checked related circuit found KC004 Contactor addon replace </t>
  </si>
  <si>
    <t>No leakage fond than start WTG</t>
  </si>
  <si>
    <t>Checked related circuit no any obsarvation than start WTG</t>
  </si>
  <si>
    <t>checked T connector failure (work in progress)</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</si>
  <si>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</si>
  <si>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</si>
  <si>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</si>
  <si>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</si>
  <si>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</si>
  <si>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</si>
  <si>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</si>
  <si>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</si>
  <si>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</si>
  <si>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</si>
  <si>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</si>
  <si>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</si>
  <si>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</si>
  <si>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</si>
  <si>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Manual stop for lift clamp replacement work</t>
  </si>
  <si>
    <t>checked related circuit found no leakage then top-up 10 liter HU oil then restore wtg.</t>
  </si>
  <si>
    <t>Manual stop for Carbon brush replacement work.</t>
  </si>
  <si>
    <t>Manual stop for repeted error (low pressure on hydraulic group and failure of the rotor power supply failure) found losse connection and set RV8-10 valve then restore wtg.</t>
  </si>
  <si>
    <t>Manual stop for SEM meter CT/PT earthing istallation work</t>
  </si>
  <si>
    <t>Manual stop for HU main accumulator replacement work</t>
  </si>
  <si>
    <t>Checked and found FG780 MPCB tripped so correct it then checked motor and connections then restore wtg.</t>
  </si>
  <si>
    <t>(work in progress) Tee-connector failure wtg side.</t>
  </si>
  <si>
    <t>CE100014</t>
  </si>
  <si>
    <t xml:space="preserve">Manual stop for Customer audit work </t>
  </si>
  <si>
    <t>Checked related circuit found Tee connector failure so replaced Tee connector with new one then restore wtg.</t>
  </si>
  <si>
    <t>Checked related circuit found TA033 power supply failure so replaced with new one then restore wtg.</t>
  </si>
  <si>
    <t>Checked related circuit found Diode failure so replaced with new one then restore wtg.</t>
  </si>
  <si>
    <t>Manual stop for Customer audit point rectification and Gear box damper replacement work.</t>
  </si>
  <si>
    <t>Manual stop for SEM meter CT/PT connection work</t>
  </si>
  <si>
    <t>Checked reslsted circuit found PRV valve failure so replaced with new one then restore wtg.</t>
  </si>
  <si>
    <t>Check related circuit found Addon and CCU malfunction so replaced addon and reset CCU then restore wtg.</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</si>
  <si>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</si>
  <si>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</si>
  <si>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</si>
  <si>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</si>
  <si>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</si>
  <si>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Checked related circuit found HU hose failure so replaced with new one then restore wtg.</t>
  </si>
  <si>
    <t>Checked related circuit found ccU coolant cooling motor failure so replaced with new one then restore wtg. then start wtg.</t>
  </si>
  <si>
    <t>Manual stop for HYPM pending point rectification and radaitor clening work</t>
  </si>
  <si>
    <t>Manual stop for HYPM pending piont rectification work</t>
  </si>
  <si>
    <t>Checked releated circuit found MPCB failure so replaced with new one then restore wtg.</t>
  </si>
  <si>
    <t xml:space="preserve">Checked related circuit found  losse connection in yaw sensor so tight it then restore wtg. </t>
  </si>
  <si>
    <t>Manual stop for repeated error found valve malfunction so replaced with new one then restore wtg.</t>
  </si>
  <si>
    <t>Checked related circuit found oil leakage from Blade C Accumulator so replaced with new one then N2 refilling done then restore wtg.</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</si>
  <si>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</si>
  <si>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</si>
  <si>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</si>
  <si>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</si>
  <si>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</si>
  <si>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</si>
  <si>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</si>
  <si>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Manual stop for HYPM pending point rectification work</t>
  </si>
  <si>
    <t>Checked related circuit found cable connection loose so tight it then restore wtg</t>
  </si>
  <si>
    <t>Checked related circuit checked SF-6 breaker &amp; Transformer (work in progress)</t>
  </si>
  <si>
    <t>Take meggering &amp; MBT test found trf failure (Work in progress)</t>
  </si>
  <si>
    <t>Material arrangement in progress</t>
  </si>
  <si>
    <t xml:space="preserve">Slipring cleaned Then Start WTG. </t>
  </si>
  <si>
    <t>Check related ckt found connection loose then tighted properly &amp; Reatore</t>
  </si>
  <si>
    <t>Manual stop for Trf Temperature high trouble shooting work</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</si>
  <si>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</si>
  <si>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</si>
  <si>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</si>
  <si>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</si>
  <si>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</si>
  <si>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</si>
  <si>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</si>
  <si>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</si>
  <si>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</si>
  <si>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</si>
  <si>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</si>
  <si>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Check pressure switch connection, KR919 Relay,TA 031 Power supply output cable was short circuit,in hub pressure switch.so, corrected the circuit and restore the wtg</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</si>
  <si>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</si>
  <si>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</si>
  <si>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</si>
  <si>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</si>
  <si>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</si>
  <si>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</si>
  <si>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</si>
  <si>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</si>
  <si>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</si>
  <si>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</si>
  <si>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</si>
  <si>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</si>
  <si>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</si>
  <si>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</si>
  <si>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</si>
  <si>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</si>
  <si>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Checked and found WS243C cable was faulty so,replaced it.</t>
  </si>
  <si>
    <t>RV-8-10 valve setting done,then started the WTG</t>
  </si>
  <si>
    <t>Replaced 2nos. Trafo fan(R-HV,B-LV)</t>
  </si>
  <si>
    <t>Replaced 4nos. Trafo fan(B-HV,R,Y&amp;B-LV)</t>
  </si>
  <si>
    <t>chacked and found slipring connection cable loose, so,fixed it. Then replaced a 80w panel fan</t>
  </si>
  <si>
    <t>3 nos.L A Hammer replaced,sealant applied</t>
  </si>
  <si>
    <t>Chacked and found gearbox hose leakage so,replaced it. Top up 90 lit GB Oil</t>
  </si>
  <si>
    <t>chack related circuit found cable loose,after fixing cable start the wtg</t>
  </si>
  <si>
    <t>Post PM audit done</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</si>
  <si>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</si>
  <si>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</si>
  <si>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chack slipring connection,module, found cab module failure, so,replaced it.</t>
  </si>
  <si>
    <t>chacked electrovalves,pressure switch connection,pressure valves setting then fix them again and start the WTG</t>
  </si>
  <si>
    <t>found pressure switch connection cable faulty,so rejoin it and start the WTG</t>
  </si>
  <si>
    <t>clean slipring,and pm pending poins closed</t>
  </si>
  <si>
    <t>Chacked ccu,encoder connection,corrected encoder cable connection,then started the WTG</t>
  </si>
  <si>
    <t>updated  PLC software</t>
  </si>
  <si>
    <t>Blade inspection done</t>
  </si>
  <si>
    <t>Check slipring carbon brush found all are ok then check feedback ckt found ok then restore wtg</t>
  </si>
  <si>
    <t>Check related ckt found HU contactor failure so replaced then restore WTG</t>
  </si>
  <si>
    <t>Check related circuit we found PRV 1-10 valve issue so replaced it &amp;found hydraulic main hose damage so we replaced the hose</t>
  </si>
  <si>
    <t>Check related ckt found ground brush feedback failure so replaced.</t>
  </si>
  <si>
    <t>Check releted circuit found Cap anemometer connection loose so tighed than start WTG</t>
  </si>
  <si>
    <t>Generator bearing apply grease slipring 4 carbon brush change than start WTG</t>
  </si>
  <si>
    <t>Checked leakage, no leakage found then restore wtg.</t>
  </si>
  <si>
    <t>Transformer Erection Work completed &amp; Pending WIP</t>
  </si>
  <si>
    <t xml:space="preserve"> Check releted circuit found proportional valve failure so replace it, than start WTG</t>
  </si>
  <si>
    <t>Transformer Dismantaling Structure removal completed &amp; Pending WIP</t>
  </si>
  <si>
    <t>Clean slipring than start WTG</t>
  </si>
  <si>
    <t>Check releted circuit found FG781A connection loose so tighed than start WTG</t>
  </si>
  <si>
    <t>Trafo Commissioning Work in Progress</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</si>
  <si>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</si>
  <si>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</si>
  <si>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arrangement Work in Progress</t>
  </si>
  <si>
    <t>Material Shortage(21 Items)</t>
  </si>
  <si>
    <t>Transformer Commisioning Work Completed &amp; Material(CCU) arrangement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</si>
  <si>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</si>
  <si>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</si>
  <si>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</si>
  <si>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</si>
  <si>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</si>
  <si>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</si>
  <si>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</si>
  <si>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Material Shortage(04 Items)</t>
  </si>
  <si>
    <t>Reaplaced CCU &amp; Lambad power supply then take test then restrore wtg.</t>
  </si>
  <si>
    <t>manual stop</t>
  </si>
  <si>
    <t>half moon sim installation work</t>
  </si>
  <si>
    <t>check reletad circuit found mcb trip so correct it than start WTG</t>
  </si>
  <si>
    <t>Reset CCU then restore wtg.</t>
  </si>
  <si>
    <t>Checked related circuit found MCB tripped so restore MCB then checked related circuit then restore wtg.</t>
  </si>
  <si>
    <t>Transformer inspection done then restore wtg</t>
  </si>
  <si>
    <t>HU Contactor replaced then restore WTG.</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</si>
  <si>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</si>
  <si>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</si>
  <si>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</si>
  <si>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 xml:space="preserve">Affected Feeder </t>
  </si>
  <si>
    <t>Scope</t>
  </si>
  <si>
    <t>Year_1</t>
  </si>
  <si>
    <t>Wind_F2</t>
  </si>
  <si>
    <t>PWEGPL</t>
  </si>
  <si>
    <t>MSEDCL</t>
  </si>
  <si>
    <t xml:space="preserve">F-2 tripped due to Earth fault </t>
  </si>
  <si>
    <t>Test charged &amp; stood ok</t>
  </si>
  <si>
    <t>IG Breakdown Maintenance</t>
  </si>
  <si>
    <t>SGSL</t>
  </si>
  <si>
    <t>Wind_F3</t>
  </si>
  <si>
    <t xml:space="preserve">F-3 tripped due to Earth fault / Over current </t>
  </si>
  <si>
    <t>Wind_F1</t>
  </si>
  <si>
    <t xml:space="preserve">F-1 tripped due to Earth fault / Over current </t>
  </si>
  <si>
    <t>Circuit open then close one by one</t>
  </si>
  <si>
    <t>F-3 Shutdown taken for scada cable rectification work</t>
  </si>
  <si>
    <t>Scada cable rejoint then restore feeder</t>
  </si>
  <si>
    <t>IG Unscheduled Maintenance</t>
  </si>
  <si>
    <t>Wind_F4</t>
  </si>
  <si>
    <t>F-4 Shutdown taken for scada cable rectification work</t>
  </si>
  <si>
    <t>F-3 Shutdown taken for 11Kv line restoration work.</t>
  </si>
  <si>
    <t>11 Kv line restore then restore feeder</t>
  </si>
  <si>
    <t>F-4 Shutdown taken for 11Kv line restoration work.</t>
  </si>
  <si>
    <t xml:space="preserve">F-3 tripped due to Earth fault </t>
  </si>
  <si>
    <t xml:space="preserve">F-1 tripped due to Earth fault </t>
  </si>
  <si>
    <t>Wind_F4_Ckt2</t>
  </si>
  <si>
    <t xml:space="preserve">F-4 Shutdown taken for line &amp; HT yard preventive maintenance work </t>
  </si>
  <si>
    <t>Line &amp; HT yard maintenance work done then restore circuit</t>
  </si>
  <si>
    <t>IG Scheduled Maintenance</t>
  </si>
  <si>
    <t xml:space="preserve">F-3 Shutdown taken for line &amp; HT yard preventive maintenance work </t>
  </si>
  <si>
    <t>Line &amp; HT yard maintenance work done then restore feeder</t>
  </si>
  <si>
    <t>Wind_F4_Ckt1</t>
  </si>
  <si>
    <t xml:space="preserve">F-4 tripped due to Earth fault </t>
  </si>
  <si>
    <t>Circuit 2 isolator open then closed</t>
  </si>
  <si>
    <t>LA failure in G12 HT yard so replaced it then restore feeder</t>
  </si>
  <si>
    <t xml:space="preserve">F-4 Ckt-1 Shutdown taken for line &amp; HT yard preventive maintenance work </t>
  </si>
  <si>
    <t xml:space="preserve">F-1 Shutdown taken for line &amp; HT yard preventive maintenance work </t>
  </si>
  <si>
    <t>Wind_F2_Ckt2</t>
  </si>
  <si>
    <t xml:space="preserve">F-2 Shutdown taken for line &amp; HT yard preventive maintenance work </t>
  </si>
  <si>
    <t xml:space="preserve">F-1 Shutdown taken for line &amp; VCB yard preventive maintenance work </t>
  </si>
  <si>
    <t>Line &amp; VCB yard maintenance work done then restore feeder</t>
  </si>
  <si>
    <t xml:space="preserve">F-2 Shutdown taken for line &amp; VCB yard preventive maintenance work </t>
  </si>
  <si>
    <t xml:space="preserve">F-4 Shutdown taken for container movement work </t>
  </si>
  <si>
    <t>Container movement then restore feeder</t>
  </si>
  <si>
    <t>O2 power</t>
  </si>
  <si>
    <t>F-4 Shutdown taken for PT replacement work .</t>
  </si>
  <si>
    <t xml:space="preserve">PT replaced then restore feeder </t>
  </si>
  <si>
    <t>F-4 shutdown taken for Protection PT replaced</t>
  </si>
  <si>
    <t>G01 Isolator open then restore feeder</t>
  </si>
  <si>
    <t>Wind_F2_Ckt1</t>
  </si>
  <si>
    <t>Circuit 2 isolator open then charge feeder circuit 1</t>
  </si>
  <si>
    <t>Circuit 2 petorling done then charge circuit 2</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</si>
  <si>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</si>
  <si>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</si>
  <si>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</si>
  <si>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</si>
  <si>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F-2 tripped due to Over current</t>
  </si>
  <si>
    <t>Line petroling done then charged feeder</t>
  </si>
  <si>
    <t>F-3 tripped due to Over current</t>
  </si>
  <si>
    <t>F-2 Shutdown taken for PG connector sparking rectification work</t>
  </si>
  <si>
    <t>PG connector replaced then restore circuit</t>
  </si>
  <si>
    <t xml:space="preserve">F-1 tripped due to Earth fault/ Over Current </t>
  </si>
  <si>
    <t>Shutdown taken for External line LT conductor rejoin work</t>
  </si>
  <si>
    <t>After the work feeder charged</t>
  </si>
  <si>
    <t>Shutdown taken for scada cable rejoined work .</t>
  </si>
  <si>
    <t xml:space="preserve">line clearance for crane </t>
  </si>
  <si>
    <t>crane passed then restore feeder</t>
  </si>
  <si>
    <t>Wind_F1_Ckt2</t>
  </si>
  <si>
    <t>Concumaer</t>
  </si>
  <si>
    <t>Breakdown Type</t>
  </si>
  <si>
    <t>Curtailment Order imit.</t>
  </si>
  <si>
    <t>EGA_Including_CurtailmentOrder</t>
  </si>
  <si>
    <t>Line1</t>
  </si>
  <si>
    <t>Grid Failure</t>
  </si>
  <si>
    <t>Charged feeders post Grid resume</t>
  </si>
  <si>
    <t>Generator</t>
  </si>
  <si>
    <t>Capacity</t>
  </si>
  <si>
    <t>% Plant Equiva. Weightage</t>
  </si>
  <si>
    <t>Feeder</t>
  </si>
  <si>
    <t>TX</t>
  </si>
  <si>
    <t>MY</t>
  </si>
  <si>
    <t>Maximum Winding Error</t>
  </si>
  <si>
    <t>EG Unscheduled Maintenance</t>
  </si>
  <si>
    <t>TX2</t>
  </si>
  <si>
    <t>Total Capacity</t>
  </si>
  <si>
    <t>EG Breakdown Maintenance</t>
  </si>
  <si>
    <t>ROW</t>
  </si>
  <si>
    <t>EG Scheduled Maintenance</t>
  </si>
  <si>
    <t xml:space="preserve">WTG Environmental </t>
  </si>
  <si>
    <t>IG Force Majeure</t>
  </si>
  <si>
    <t>EG Force Majeure</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</si>
  <si>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</si>
  <si>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</si>
  <si>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</si>
  <si>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</si>
  <si>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</si>
  <si>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</si>
  <si>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</si>
  <si>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</si>
  <si>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</si>
  <si>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</si>
  <si>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</si>
  <si>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</si>
  <si>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</si>
  <si>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</si>
  <si>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</si>
  <si>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</si>
  <si>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</si>
  <si>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</si>
  <si>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</si>
  <si>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Wind_F1_Ckt1</t>
  </si>
  <si>
    <t>Wind_F3_Ckt1</t>
  </si>
  <si>
    <t>Wind_F3_Ckt2</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</si>
  <si>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</si>
  <si>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</si>
  <si>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</si>
  <si>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</si>
  <si>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</si>
  <si>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</si>
  <si>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</si>
  <si>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</si>
  <si>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</si>
  <si>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</si>
  <si>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</si>
  <si>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</si>
  <si>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</si>
  <si>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</si>
  <si>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</si>
  <si>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</si>
  <si>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</si>
  <si>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</si>
  <si>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</si>
  <si>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</si>
  <si>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</si>
  <si>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</si>
  <si>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</si>
  <si>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</si>
  <si>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</si>
  <si>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</si>
  <si>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</si>
  <si>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</si>
  <si>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</si>
  <si>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</si>
  <si>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</si>
  <si>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</si>
  <si>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</si>
  <si>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</si>
  <si>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</si>
  <si>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</si>
  <si>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</si>
  <si>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</si>
  <si>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</si>
  <si>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</si>
  <si>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</si>
  <si>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</si>
  <si>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</si>
  <si>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</si>
  <si>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</si>
  <si>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</si>
  <si>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</si>
  <si>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</si>
  <si>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</si>
  <si>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</si>
  <si>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</si>
  <si>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</si>
  <si>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</si>
  <si>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</si>
  <si>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</si>
  <si>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</si>
  <si>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</si>
  <si>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</si>
  <si>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</si>
  <si>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</si>
  <si>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</si>
  <si>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</si>
  <si>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</si>
  <si>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</si>
  <si>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</si>
  <si>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</si>
  <si>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</si>
  <si>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</si>
  <si>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</si>
  <si>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</si>
  <si>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</si>
  <si>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</si>
  <si>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</si>
  <si>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</si>
  <si>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</si>
  <si>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</si>
  <si>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</si>
  <si>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</si>
  <si>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</si>
  <si>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</si>
  <si>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</si>
  <si>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</si>
  <si>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</si>
  <si>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</si>
  <si>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</si>
  <si>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</si>
  <si>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</si>
  <si>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</si>
  <si>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</si>
  <si>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</si>
  <si>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</si>
  <si>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</si>
  <si>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</si>
  <si>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</si>
  <si>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</si>
  <si>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</si>
  <si>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</si>
  <si>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</si>
  <si>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</si>
  <si>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</si>
  <si>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</si>
  <si>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</si>
  <si>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</si>
  <si>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</si>
  <si>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</si>
  <si>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</si>
  <si>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</si>
  <si>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</si>
  <si>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</si>
  <si>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</si>
  <si>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</si>
  <si>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</si>
  <si>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</si>
  <si>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</si>
  <si>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</si>
  <si>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</si>
  <si>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</si>
  <si>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</si>
  <si>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</si>
  <si>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</si>
  <si>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</si>
  <si>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</si>
  <si>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</si>
  <si>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</si>
  <si>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</si>
  <si>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</si>
  <si>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</si>
  <si>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</si>
  <si>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</si>
  <si>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</si>
  <si>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</si>
  <si>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</si>
  <si>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</si>
  <si>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</si>
  <si>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</si>
  <si>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</si>
  <si>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</si>
  <si>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</si>
  <si>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</si>
  <si>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</si>
  <si>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</si>
  <si>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</si>
  <si>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</si>
  <si>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</si>
  <si>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</si>
  <si>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</si>
  <si>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</si>
  <si>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</si>
  <si>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</si>
  <si>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</si>
  <si>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</si>
  <si>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</si>
  <si>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</si>
  <si>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</si>
  <si>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</si>
  <si>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</si>
  <si>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</si>
  <si>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</si>
  <si>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</si>
  <si>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</si>
  <si>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</si>
  <si>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</si>
  <si>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</si>
  <si>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</si>
  <si>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</si>
  <si>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</si>
  <si>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</si>
  <si>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</si>
  <si>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</si>
  <si>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</si>
  <si>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</si>
  <si>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</si>
  <si>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</si>
  <si>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</si>
  <si>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</si>
  <si>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</si>
  <si>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</si>
  <si>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</si>
  <si>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</si>
  <si>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</si>
  <si>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</si>
  <si>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</si>
  <si>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</si>
  <si>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</si>
  <si>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</si>
  <si>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</si>
  <si>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</si>
  <si>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</si>
  <si>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</si>
  <si>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</si>
  <si>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</si>
  <si>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</si>
  <si>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</si>
  <si>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</si>
  <si>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</si>
  <si>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</si>
  <si>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</si>
  <si>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</si>
  <si>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</si>
  <si>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</si>
  <si>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</si>
  <si>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</si>
  <si>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</si>
  <si>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</si>
  <si>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</si>
  <si>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</si>
  <si>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</si>
  <si>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</si>
  <si>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</si>
  <si>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</si>
  <si>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</si>
  <si>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</si>
  <si>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</si>
  <si>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</si>
  <si>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</si>
  <si>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</si>
  <si>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</si>
  <si>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</si>
  <si>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</si>
  <si>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</si>
  <si>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</si>
  <si>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</si>
  <si>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</si>
  <si>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</si>
  <si>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</si>
  <si>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</si>
  <si>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</si>
  <si>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</si>
  <si>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</si>
  <si>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</si>
  <si>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</si>
  <si>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</si>
  <si>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</si>
  <si>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</si>
  <si>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</si>
  <si>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CE100002</t>
  </si>
  <si>
    <t>CE100003</t>
  </si>
  <si>
    <t>CE100004</t>
  </si>
  <si>
    <t>Major BD - Generator</t>
  </si>
  <si>
    <t>CE100005</t>
  </si>
  <si>
    <t>Major BD - Gearbox</t>
  </si>
  <si>
    <t>CE100006</t>
  </si>
  <si>
    <t>Major BD - Main Bearing</t>
  </si>
  <si>
    <t>CE100007</t>
  </si>
  <si>
    <t>CE100009</t>
  </si>
  <si>
    <t>Major BD - Power Cable</t>
  </si>
  <si>
    <t>CE100011</t>
  </si>
  <si>
    <t>Major BD - DFIG</t>
  </si>
  <si>
    <t>CE100012</t>
  </si>
  <si>
    <t>Major BD - Foundation</t>
  </si>
  <si>
    <t>CE100013</t>
  </si>
  <si>
    <t>Theft</t>
  </si>
  <si>
    <t>Manual Stop - Safety Related</t>
  </si>
  <si>
    <t>CE100016</t>
  </si>
  <si>
    <t>Manual Stop - Blade Cleaning</t>
  </si>
  <si>
    <t>CE100017</t>
  </si>
  <si>
    <t>CE100018</t>
  </si>
  <si>
    <t>Total Reactive Power (kVArh)</t>
  </si>
  <si>
    <t>No scada available server OS failed-reading as per billing meter</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</si>
  <si>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</si>
  <si>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</si>
  <si>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</si>
  <si>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</si>
  <si>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</si>
  <si>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</si>
  <si>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</si>
  <si>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</si>
  <si>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</si>
  <si>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</si>
  <si>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</si>
  <si>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</si>
  <si>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</si>
  <si>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</si>
  <si>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</si>
  <si>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</si>
  <si>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</si>
  <si>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</si>
  <si>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</si>
  <si>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</si>
  <si>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</si>
  <si>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</si>
  <si>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</si>
  <si>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</si>
  <si>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</si>
  <si>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</si>
  <si>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</si>
  <si>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</si>
  <si>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</si>
  <si>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</si>
  <si>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</si>
  <si>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</si>
  <si>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</si>
  <si>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</si>
  <si>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WTG</t>
  </si>
  <si>
    <t>126 Month
Plan Date
HYPM</t>
  </si>
  <si>
    <t>126 Month
Actual Date
HYPM</t>
  </si>
  <si>
    <t>Diff. Days</t>
  </si>
  <si>
    <t>Adherence</t>
  </si>
  <si>
    <t>G 24</t>
  </si>
  <si>
    <t>ABB</t>
  </si>
  <si>
    <t>G 25</t>
  </si>
  <si>
    <t> </t>
  </si>
  <si>
    <t>PWEGPL25</t>
  </si>
  <si>
    <t>Delay due to payment issue</t>
  </si>
  <si>
    <t>G 27</t>
  </si>
  <si>
    <t>PWEGPL27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</si>
  <si>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</si>
  <si>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</si>
  <si>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</si>
  <si>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</si>
  <si>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PWEGPL31</t>
  </si>
  <si>
    <t>Major B.D Blade root bush gap issue in blade no 596</t>
  </si>
  <si>
    <t>G 30</t>
  </si>
  <si>
    <t>PWEGPL30</t>
  </si>
  <si>
    <t>G 29</t>
  </si>
  <si>
    <t>PWEGPL29</t>
  </si>
  <si>
    <t>Major B.D Blade root bush gap issue blade 636 de erected</t>
  </si>
  <si>
    <t>G 34</t>
  </si>
  <si>
    <t>PWEGPL28</t>
  </si>
  <si>
    <t>G 33</t>
  </si>
  <si>
    <t>PWEGPL34</t>
  </si>
  <si>
    <t>G 35</t>
  </si>
  <si>
    <t>PWEGPL33</t>
  </si>
  <si>
    <t>G 36</t>
  </si>
  <si>
    <t>PWEGPL35</t>
  </si>
  <si>
    <t>delay due to Pitch seal replaced in G-07</t>
  </si>
  <si>
    <t>G 37</t>
  </si>
  <si>
    <t>PWEGPL36</t>
  </si>
  <si>
    <t>G 38</t>
  </si>
  <si>
    <t>PWEGPL37</t>
  </si>
  <si>
    <t>Delay due to Pitch cylinder replacement work in G-26</t>
  </si>
  <si>
    <t>G 39</t>
  </si>
  <si>
    <t xml:space="preserve"> 02 days Maint activity stopped for G-25 PM pending completion work.
</t>
  </si>
  <si>
    <t>PWEGPL38</t>
  </si>
  <si>
    <t>G 40</t>
  </si>
  <si>
    <t>PM team has taken weekly off and they continue to PM work on Sunday</t>
  </si>
  <si>
    <t>PM postpone to 10-12-24 due to N2 Not avail.</t>
  </si>
  <si>
    <t>PWEGPL39</t>
  </si>
  <si>
    <t>Delayed due to  8 employess GWO training(for 4days)</t>
  </si>
  <si>
    <t>G 26</t>
  </si>
  <si>
    <t xml:space="preserve">PM team-02 employees on leave. Date- 28-11-23 </t>
  </si>
  <si>
    <t>PM Postpone 2day to 15-12-24 ,due to G-33 Pitch seal replacement work &amp; team busy in 14-12-24 &amp;G-26 B.D</t>
  </si>
  <si>
    <t>PWEGPL40</t>
  </si>
  <si>
    <t>G 32</t>
  </si>
  <si>
    <t xml:space="preserve">PM team-02 employees on leave. Date- 29-11-23 </t>
  </si>
  <si>
    <t>Delay due to G-26 ,pin ball hardware damaged from 12-dec-24 to 18-dec-24</t>
  </si>
  <si>
    <t>PWEGPL26</t>
  </si>
  <si>
    <t>G 28</t>
  </si>
  <si>
    <t>ROW at site office (11-10-23 to 16-10-23) for crane movement to G20</t>
  </si>
  <si>
    <t>PWEGPL32</t>
  </si>
  <si>
    <t>G 21</t>
  </si>
  <si>
    <t>92</t>
  </si>
  <si>
    <t>Major B.D(Stopped due to Blade Root gap) on 15-July-24@12:51 ,Repair work completed on 15-Feb-25</t>
  </si>
  <si>
    <t>PWEGPL21</t>
  </si>
  <si>
    <t>G 22</t>
  </si>
  <si>
    <t>PWEGPL22</t>
  </si>
  <si>
    <t>G 23</t>
  </si>
  <si>
    <t>WTG under major BM blade crack</t>
  </si>
  <si>
    <t>PWEGPL23</t>
  </si>
  <si>
    <t>G 05</t>
  </si>
  <si>
    <t xml:space="preserve">Little early taken due to HG temp error &amp; resolved </t>
  </si>
  <si>
    <t>PWEGPL05</t>
  </si>
  <si>
    <t>G 15</t>
  </si>
  <si>
    <t>PWEGPL15</t>
  </si>
  <si>
    <t>G 16</t>
  </si>
  <si>
    <t>PM team have taken off on 31/12/24</t>
  </si>
  <si>
    <t>PWEGPL16</t>
  </si>
  <si>
    <t>G 17</t>
  </si>
  <si>
    <t xml:space="preserve">PM team have taken off on 01/01/25 &amp; on dated 05/01/25 PM cancelled due to vehicle issue </t>
  </si>
  <si>
    <t>PWEGPL17</t>
  </si>
  <si>
    <t>G 18</t>
  </si>
  <si>
    <t>Team-01 assigned Yaw drive replacement work at G-15</t>
  </si>
  <si>
    <t>PWEGPL18</t>
  </si>
  <si>
    <t>G 19</t>
  </si>
  <si>
    <t> on dated 09-Jan-25 ,PM cancelled due to G-18 PM Pending point Closing work</t>
  </si>
  <si>
    <t>PWEGPL19</t>
  </si>
  <si>
    <t>G 20</t>
  </si>
  <si>
    <t>PWEGPL20</t>
  </si>
  <si>
    <t>G 14</t>
  </si>
  <si>
    <t>on the date 15-01-25 PM Team Taken w-off</t>
  </si>
  <si>
    <t>PWEGPL14</t>
  </si>
  <si>
    <t>G 13</t>
  </si>
  <si>
    <t>PM Postpone to 20-01-24,due to recreational(Sports) event as per sidhu's mail communication</t>
  </si>
  <si>
    <t>PWEGPL13</t>
  </si>
  <si>
    <t>G 12</t>
  </si>
  <si>
    <t>PWEGPL12</t>
  </si>
  <si>
    <t>G 09</t>
  </si>
  <si>
    <t>PM Cancelled  in 26th jan ,Republic day</t>
  </si>
  <si>
    <t>PWEGPL09</t>
  </si>
  <si>
    <t>G 08</t>
  </si>
  <si>
    <t>PWEGPL08</t>
  </si>
  <si>
    <t>G 06</t>
  </si>
  <si>
    <t>PWEGPL06</t>
  </si>
  <si>
    <t>G 03</t>
  </si>
  <si>
    <t>Day-02 Activity not taken due to N2 Not avail.(&amp; day-2 taken after G-04)</t>
  </si>
  <si>
    <t>PWEGPL03</t>
  </si>
  <si>
    <t>G 04</t>
  </si>
  <si>
    <t>Day-02 not taken due to Annual Blood donation drive</t>
  </si>
  <si>
    <t>PWEGPL04</t>
  </si>
  <si>
    <t>G 02</t>
  </si>
  <si>
    <t>PWEGPL02</t>
  </si>
  <si>
    <t>G 07</t>
  </si>
  <si>
    <t>PWEGPL07</t>
  </si>
  <si>
    <t>G 01</t>
  </si>
  <si>
    <t>PWEGPL01</t>
  </si>
  <si>
    <t>G 10</t>
  </si>
  <si>
    <t>PWEGPL10</t>
  </si>
  <si>
    <t>G 11</t>
  </si>
  <si>
    <t>PM 1day postpone due to G-37 B.D(HU oil level)so replaced 3nos accumulator</t>
  </si>
  <si>
    <t>PWEGPL11</t>
  </si>
  <si>
    <t>Location</t>
  </si>
  <si>
    <t>Material Name</t>
  </si>
  <si>
    <t>Quantity</t>
  </si>
  <si>
    <t>UoM</t>
  </si>
  <si>
    <t>Remark</t>
  </si>
  <si>
    <t>shim (1mm)</t>
  </si>
  <si>
    <t>pc</t>
  </si>
  <si>
    <t>AI module</t>
  </si>
  <si>
    <t>Yaw motor (Bonifigoli)</t>
  </si>
  <si>
    <t>Yaw contactor (26-30-10)</t>
  </si>
  <si>
    <t>Addon (NC)</t>
  </si>
  <si>
    <t>proportional valve</t>
  </si>
  <si>
    <t>Hydraulic Oil</t>
  </si>
  <si>
    <t>liter</t>
  </si>
  <si>
    <t>WS251 cable</t>
  </si>
  <si>
    <t>netural relay</t>
  </si>
  <si>
    <t>cab module 9 pin</t>
  </si>
  <si>
    <t>WS240 cable</t>
  </si>
  <si>
    <t>Yaw motor</t>
  </si>
  <si>
    <t>Pitch seal kit</t>
  </si>
  <si>
    <t>set</t>
  </si>
  <si>
    <t>Gear box oil</t>
  </si>
  <si>
    <t>CCU coolant motor</t>
  </si>
  <si>
    <t>MPCB</t>
  </si>
  <si>
    <t>HU contactor</t>
  </si>
  <si>
    <t xml:space="preserve">Gear box hose </t>
  </si>
  <si>
    <t>ACB reley (F5103057)</t>
  </si>
  <si>
    <t>HU contactor (52-30-10)</t>
  </si>
  <si>
    <t xml:space="preserve">NO addon </t>
  </si>
  <si>
    <t>Proportional valve</t>
  </si>
  <si>
    <t>HU oil</t>
  </si>
  <si>
    <t>Brush holder</t>
  </si>
  <si>
    <t>Brush holder spring</t>
  </si>
  <si>
    <t>Transformer fan</t>
  </si>
  <si>
    <t xml:space="preserve">Yaw encoder </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</si>
  <si>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</si>
  <si>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</si>
  <si>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</si>
  <si>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</si>
  <si>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</si>
  <si>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</si>
  <si>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</si>
  <si>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</si>
  <si>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</si>
  <si>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</si>
  <si>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</si>
  <si>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</si>
  <si>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</si>
  <si>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</si>
  <si>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</si>
  <si>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</si>
  <si>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</si>
  <si>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Slipring unit</t>
  </si>
  <si>
    <t>CAB Module</t>
  </si>
  <si>
    <t>KC004 contactor</t>
  </si>
  <si>
    <t>Needle Valve</t>
  </si>
  <si>
    <t>Single Drive card</t>
  </si>
  <si>
    <t>IGBT</t>
  </si>
  <si>
    <t>125A Fuse</t>
  </si>
  <si>
    <t>KC002 Contactor</t>
  </si>
  <si>
    <t>800 HC Resistor</t>
  </si>
  <si>
    <t>Hydraulic pump hose</t>
  </si>
  <si>
    <t>Power supply (10 Amp)</t>
  </si>
  <si>
    <t>Gearbox fan cooling motor</t>
  </si>
  <si>
    <t>Tee - Connector</t>
  </si>
  <si>
    <t>Gear box fan cooling motor</t>
  </si>
  <si>
    <t>Sealant</t>
  </si>
  <si>
    <t>Lift guide clamp</t>
  </si>
  <si>
    <t xml:space="preserve">HU oil </t>
  </si>
  <si>
    <t>Carbon brush ABB</t>
  </si>
  <si>
    <t>Carbon brush Spring ABB</t>
  </si>
  <si>
    <t>HU main accumulator (32 liter)</t>
  </si>
  <si>
    <t>Power supply (20 Amp)</t>
  </si>
  <si>
    <t>Gear box damper</t>
  </si>
  <si>
    <t>Coolant pump  with motor</t>
  </si>
  <si>
    <t xml:space="preserve">Addon </t>
  </si>
  <si>
    <t>Coolant motor</t>
  </si>
  <si>
    <t>HU hose (GP037088</t>
  </si>
  <si>
    <t>CCU cooling motor</t>
  </si>
  <si>
    <t>Carbon brush</t>
  </si>
  <si>
    <t xml:space="preserve">carbon brush </t>
  </si>
  <si>
    <t xml:space="preserve">Carbon brush </t>
  </si>
  <si>
    <t>PRV8-10 valve</t>
  </si>
  <si>
    <t>gadus</t>
  </si>
  <si>
    <t>PRV1-10 valve</t>
  </si>
  <si>
    <t>RV8-10 valve</t>
  </si>
  <si>
    <t>MPCB (2.5 to 4.0)</t>
  </si>
  <si>
    <t>Gearbox Pump Hose</t>
  </si>
  <si>
    <t>propotional valve</t>
  </si>
  <si>
    <t>Multiwing fan</t>
  </si>
  <si>
    <t xml:space="preserve">Light </t>
  </si>
  <si>
    <t xml:space="preserve">MPCB </t>
  </si>
  <si>
    <t>Rotor Handle</t>
  </si>
  <si>
    <t>sealant</t>
  </si>
  <si>
    <t>ABB internal Generator motor</t>
  </si>
  <si>
    <t>ABB carbon brush</t>
  </si>
  <si>
    <t>gearbox manifold to metal hose connecting hose</t>
  </si>
  <si>
    <t>GB Oil</t>
  </si>
  <si>
    <t>LA hammer</t>
  </si>
  <si>
    <t>80w fan</t>
  </si>
  <si>
    <t>motor side coupler</t>
  </si>
  <si>
    <t>spider</t>
  </si>
  <si>
    <t>relay base</t>
  </si>
  <si>
    <t>127 w panel fan</t>
  </si>
  <si>
    <t>cab module</t>
  </si>
  <si>
    <t>80 w panel fan</t>
  </si>
  <si>
    <t>HU Main Hose</t>
  </si>
  <si>
    <t>Kluberplex BEM 41-132</t>
  </si>
  <si>
    <t>gm</t>
  </si>
  <si>
    <t xml:space="preserve">Proportional valve </t>
  </si>
  <si>
    <t>MPCB MS 132 (8A-12A)</t>
  </si>
  <si>
    <t>CCU</t>
  </si>
  <si>
    <t>LAMDA POWER SUPLY</t>
  </si>
  <si>
    <t>ENCODER</t>
  </si>
  <si>
    <t>1.6-2.5A MPCB</t>
  </si>
  <si>
    <t>PC</t>
  </si>
  <si>
    <t>33kva transformer</t>
  </si>
  <si>
    <t>Lambda power supply</t>
  </si>
  <si>
    <t>2.5-4.0A MPCB</t>
  </si>
  <si>
    <t>8.0-12.0A MPCB</t>
  </si>
  <si>
    <t>addon rotor contactor</t>
  </si>
  <si>
    <t>addon stator contactor</t>
  </si>
  <si>
    <t>Emergency reset relay</t>
  </si>
  <si>
    <t>12-30-10 Contactor</t>
  </si>
  <si>
    <t>Passive crowbar card</t>
  </si>
  <si>
    <t>Active igbt</t>
  </si>
  <si>
    <t>carbon brush with spring</t>
  </si>
  <si>
    <t>PRV 1-10 valve</t>
  </si>
  <si>
    <t>CNT module</t>
  </si>
  <si>
    <t>Stator contactor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</si>
</sst>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0.0"/>
    <numFmt numFmtId="166" formatCode="[$-409]d/mmm/yy;@"/>
    <numFmt numFmtId="167" formatCode="[$-409]mmm/yy;@"/>
    <numFmt numFmtId="168" formatCode="[$-409]d\-mmm\-yy;@"/>
    <numFmt numFmtId="169" formatCode="_ * #,##0_ ;_ * \-#,##0_ ;_ * &quot;-&quot;??_ ;_ @_ "/>
    <numFmt numFmtId="170" formatCode="0.0%"/>
    <numFmt numFmtId="171" formatCode="h:mm;@"/>
    <numFmt numFmtId="172" formatCode="dd/mmm/yyyy"/>
  </numFmts>
  <fonts count="35">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scheme val="minor"/>
    </font>
  </fonts>
  <fills count="28">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s>
  <borders count="9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82">
    <xf numFmtId="0" fontId="0"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cellStyleXfs>
  <cellXfs count="405">
    <xf numFmtId="0" fontId="0" fillId="0" borderId="0" xfId="0"/>
    <xf numFmtId="0" fontId="0" fillId="0" borderId="0" xfId="0" applyAlignment="1">
      <alignment horizontal="center"/>
    </xf>
    <xf numFmtId="165"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6"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7"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5" fontId="5" fillId="0" borderId="1" xfId="4" applyNumberFormat="1" applyFont="1" applyFill="1" applyBorder="1" applyAlignment="1">
      <alignment horizontal="center"/>
    </xf>
    <xf numFmtId="169" fontId="5" fillId="7" borderId="1" xfId="1" applyNumberFormat="1" applyFont="1" applyFill="1" applyBorder="1" applyAlignment="1">
      <alignment horizontal="center"/>
    </xf>
    <xf numFmtId="165"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8"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70" fontId="0" fillId="13" borderId="8" xfId="2" applyNumberFormat="1" applyFont="1" applyFill="1" applyBorder="1" applyAlignment="1">
      <alignment horizontal="center" vertical="center"/>
    </xf>
    <xf numFmtId="170"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7" fontId="15" fillId="5" borderId="14" xfId="8" applyNumberFormat="1" applyFont="1" applyFill="1" applyBorder="1" applyAlignment="1">
      <alignment horizontal="left" vertical="center"/>
    </xf>
    <xf numFmtId="167" fontId="15" fillId="5" borderId="14" xfId="8" applyNumberFormat="1" applyFont="1" applyFill="1" applyBorder="1" applyAlignment="1">
      <alignment vertical="center"/>
    </xf>
    <xf numFmtId="167" fontId="15" fillId="5" borderId="15" xfId="8" applyNumberFormat="1" applyFont="1" applyFill="1" applyBorder="1" applyAlignment="1">
      <alignment vertical="center"/>
    </xf>
    <xf numFmtId="166"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6" fontId="15" fillId="5" borderId="17" xfId="8" applyNumberFormat="1" applyFont="1" applyFill="1" applyBorder="1" applyAlignment="1">
      <alignment horizontal="left" vertical="center"/>
    </xf>
    <xf numFmtId="167" fontId="15" fillId="5" borderId="18" xfId="8" applyNumberFormat="1" applyFont="1" applyFill="1" applyBorder="1" applyAlignment="1">
      <alignment vertical="center"/>
    </xf>
    <xf numFmtId="167" fontId="15" fillId="5" borderId="19" xfId="8" applyNumberFormat="1" applyFont="1" applyFill="1" applyBorder="1" applyAlignment="1">
      <alignment vertical="center"/>
    </xf>
    <xf numFmtId="0" fontId="16" fillId="5" borderId="20" xfId="0" applyFont="1" applyFill="1" applyBorder="1"/>
    <xf numFmtId="166"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5" fontId="15" fillId="5" borderId="24" xfId="2" applyNumberFormat="1" applyFont="1" applyFill="1" applyBorder="1" applyAlignment="1">
      <alignment horizontal="center" vertical="center"/>
    </xf>
    <xf numFmtId="165" fontId="16" fillId="5" borderId="24" xfId="2" applyNumberFormat="1" applyFont="1" applyFill="1" applyBorder="1" applyAlignment="1">
      <alignment horizontal="center"/>
    </xf>
    <xf numFmtId="165" fontId="15" fillId="5" borderId="26" xfId="2" applyNumberFormat="1" applyFont="1" applyFill="1" applyBorder="1" applyAlignment="1">
      <alignment horizontal="center" vertical="center"/>
    </xf>
    <xf numFmtId="165" fontId="16" fillId="5" borderId="26" xfId="2" applyNumberFormat="1" applyFont="1" applyFill="1" applyBorder="1" applyAlignment="1">
      <alignment horizontal="center"/>
    </xf>
    <xf numFmtId="165" fontId="15" fillId="5" borderId="28" xfId="2" applyNumberFormat="1" applyFont="1" applyFill="1" applyBorder="1" applyAlignment="1">
      <alignment horizontal="center" vertical="center"/>
    </xf>
    <xf numFmtId="165" fontId="16" fillId="5" borderId="28" xfId="2" applyNumberFormat="1" applyFont="1" applyFill="1" applyBorder="1" applyAlignment="1">
      <alignment horizontal="center"/>
    </xf>
    <xf numFmtId="170" fontId="16" fillId="5" borderId="24" xfId="2" applyNumberFormat="1" applyFont="1" applyFill="1" applyBorder="1" applyAlignment="1">
      <alignment horizontal="center"/>
    </xf>
    <xf numFmtId="170" fontId="16" fillId="5" borderId="26" xfId="2" applyNumberFormat="1" applyFont="1" applyFill="1" applyBorder="1" applyAlignment="1">
      <alignment horizontal="center"/>
    </xf>
    <xf numFmtId="170"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9"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2"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5"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6"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70" fontId="0" fillId="0" borderId="0" xfId="46" applyNumberFormat="1" applyFont="1" applyAlignment="1">
      <alignment horizontal="center" vertical="center"/>
    </xf>
    <xf numFmtId="10" fontId="0" fillId="0" borderId="0" xfId="46" applyNumberFormat="1" applyFont="1" applyAlignment="1">
      <alignment horizontal="center" vertical="center"/>
    </xf>
    <xf numFmtId="165"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5"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5"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6"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70" fontId="15" fillId="0" borderId="24" xfId="2" applyNumberFormat="1" applyFont="1" applyFill="1" applyBorder="1" applyAlignment="1">
      <alignment horizontal="center" vertical="center"/>
    </xf>
    <xf numFmtId="170" fontId="15" fillId="0" borderId="26" xfId="2" applyNumberFormat="1" applyFont="1" applyFill="1" applyBorder="1" applyAlignment="1">
      <alignment horizontal="center" vertical="center"/>
    </xf>
    <xf numFmtId="170" fontId="15" fillId="0" borderId="28" xfId="2" applyNumberFormat="1" applyFont="1" applyFill="1" applyBorder="1" applyAlignment="1">
      <alignment horizontal="center" vertical="center"/>
    </xf>
    <xf numFmtId="10" fontId="0" fillId="0" borderId="0" xfId="0" applyNumberFormat="1"/>
    <xf numFmtId="170"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7" fontId="15" fillId="5" borderId="14" xfId="8" applyNumberFormat="1" applyFont="1" applyFill="1" applyBorder="1" applyAlignment="1" applyProtection="1">
      <alignment horizontal="left" vertical="center"/>
      <protection locked="0"/>
    </xf>
    <xf numFmtId="166"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9"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8" fontId="28" fillId="14" borderId="46" xfId="0" applyNumberFormat="1" applyFont="1" applyFill="1" applyBorder="1" applyAlignment="1">
      <alignment horizontal="center" vertical="center"/>
    </xf>
    <xf numFmtId="168" fontId="28" fillId="23" borderId="46" xfId="0" applyNumberFormat="1" applyFont="1" applyFill="1" applyBorder="1" applyAlignment="1">
      <alignment horizontal="center" vertical="center"/>
    </xf>
    <xf numFmtId="168"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8" fontId="24" fillId="14" borderId="46" xfId="0" applyNumberFormat="1" applyFont="1" applyFill="1" applyBorder="1"/>
    <xf numFmtId="168" fontId="24" fillId="8" borderId="46" xfId="0" applyNumberFormat="1" applyFont="1" applyFill="1" applyBorder="1"/>
    <xf numFmtId="0" fontId="24" fillId="8" borderId="46" xfId="0" applyFont="1" applyFill="1" applyBorder="1" applyAlignment="1">
      <alignment horizontal="center"/>
    </xf>
    <xf numFmtId="168" fontId="0" fillId="17" borderId="46" xfId="0" applyNumberFormat="1" applyFill="1" applyBorder="1" applyAlignment="1">
      <alignment horizontal="center" vertical="center"/>
    </xf>
    <xf numFmtId="168" fontId="0" fillId="5" borderId="46" xfId="0" applyNumberFormat="1" applyFill="1" applyBorder="1" applyAlignment="1">
      <alignment horizontal="center" vertical="center"/>
    </xf>
    <xf numFmtId="0" fontId="24" fillId="5" borderId="46" xfId="0" applyFont="1" applyFill="1" applyBorder="1" applyAlignment="1">
      <alignment horizontal="center"/>
    </xf>
    <xf numFmtId="168"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8" fontId="28" fillId="14" borderId="11" xfId="0" applyNumberFormat="1" applyFont="1" applyFill="1" applyBorder="1" applyAlignment="1">
      <alignment horizontal="center"/>
    </xf>
    <xf numFmtId="168"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8" fontId="28" fillId="24" borderId="65" xfId="0" applyNumberFormat="1" applyFont="1" applyFill="1" applyBorder="1" applyAlignment="1">
      <alignment horizontal="center"/>
    </xf>
    <xf numFmtId="168" fontId="28" fillId="24" borderId="11" xfId="0" applyNumberFormat="1" applyFont="1" applyFill="1" applyBorder="1" applyAlignment="1">
      <alignment horizontal="center"/>
    </xf>
    <xf numFmtId="168"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8" fontId="28" fillId="14" borderId="8" xfId="0" applyNumberFormat="1" applyFont="1" applyFill="1" applyBorder="1" applyAlignment="1">
      <alignment horizontal="center" vertical="center"/>
    </xf>
    <xf numFmtId="168" fontId="28" fillId="23" borderId="8" xfId="0" applyNumberFormat="1" applyFont="1" applyFill="1" applyBorder="1" applyAlignment="1">
      <alignment horizontal="center" vertical="center"/>
    </xf>
    <xf numFmtId="168"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8" fontId="24" fillId="14" borderId="8" xfId="0" applyNumberFormat="1" applyFont="1" applyFill="1" applyBorder="1"/>
    <xf numFmtId="168" fontId="24" fillId="8" borderId="8" xfId="0" applyNumberFormat="1" applyFont="1" applyFill="1" applyBorder="1"/>
    <xf numFmtId="0" fontId="24" fillId="8" borderId="8" xfId="0" applyFont="1" applyFill="1" applyBorder="1" applyAlignment="1">
      <alignment horizontal="center"/>
    </xf>
    <xf numFmtId="168" fontId="0" fillId="5" borderId="8" xfId="0" applyNumberFormat="1" applyFill="1" applyBorder="1" applyAlignment="1">
      <alignment horizontal="center" vertical="center"/>
    </xf>
    <xf numFmtId="0" fontId="24" fillId="5" borderId="8" xfId="0" applyFont="1" applyFill="1" applyBorder="1" applyAlignment="1">
      <alignment horizontal="center"/>
    </xf>
    <xf numFmtId="168"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8" fontId="28" fillId="14" borderId="47" xfId="0" applyNumberFormat="1" applyFont="1" applyFill="1" applyBorder="1" applyAlignment="1">
      <alignment horizontal="center"/>
    </xf>
    <xf numFmtId="168"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8" fontId="28" fillId="24" borderId="71" xfId="0" applyNumberFormat="1" applyFont="1" applyFill="1" applyBorder="1" applyAlignment="1">
      <alignment horizontal="center"/>
    </xf>
    <xf numFmtId="168"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8" fontId="28" fillId="24" borderId="72" xfId="0" applyNumberFormat="1" applyFont="1" applyFill="1" applyBorder="1" applyAlignment="1">
      <alignment horizontal="right"/>
    </xf>
    <xf numFmtId="0" fontId="29" fillId="5" borderId="8" xfId="0" applyFont="1" applyFill="1" applyBorder="1"/>
    <xf numFmtId="168" fontId="27" fillId="14" borderId="8" xfId="0" applyNumberFormat="1" applyFont="1" applyFill="1" applyBorder="1" applyAlignment="1">
      <alignment horizontal="center" vertical="center"/>
    </xf>
    <xf numFmtId="168" fontId="27" fillId="23" borderId="8" xfId="0" applyNumberFormat="1" applyFont="1" applyFill="1" applyBorder="1" applyAlignment="1">
      <alignment horizontal="center" vertical="center"/>
    </xf>
    <xf numFmtId="168"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8" fontId="30" fillId="14" borderId="8" xfId="0" applyNumberFormat="1" applyFont="1" applyFill="1" applyBorder="1" applyAlignment="1">
      <alignment horizontal="center" vertical="center"/>
    </xf>
    <xf numFmtId="168" fontId="30" fillId="23" borderId="8" xfId="0" applyNumberFormat="1" applyFont="1" applyFill="1" applyBorder="1" applyAlignment="1">
      <alignment horizontal="center" vertical="center"/>
    </xf>
    <xf numFmtId="168" fontId="7" fillId="0" borderId="8" xfId="5" applyNumberFormat="1" applyFont="1" applyBorder="1" applyAlignment="1">
      <alignment horizontal="center" vertical="center"/>
    </xf>
    <xf numFmtId="168"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8" fontId="30" fillId="14" borderId="46" xfId="0" applyNumberFormat="1" applyFont="1" applyFill="1" applyBorder="1" applyAlignment="1">
      <alignment horizontal="center" vertical="center"/>
    </xf>
    <xf numFmtId="168" fontId="30" fillId="23" borderId="46" xfId="0" applyNumberFormat="1" applyFont="1" applyFill="1" applyBorder="1" applyAlignment="1">
      <alignment horizontal="center" vertical="center"/>
    </xf>
    <xf numFmtId="168" fontId="0" fillId="0" borderId="46" xfId="0" applyNumberFormat="1" applyBorder="1" applyAlignment="1">
      <alignment horizontal="center" vertical="center"/>
    </xf>
    <xf numFmtId="168" fontId="7" fillId="0" borderId="46" xfId="5" applyNumberFormat="1" applyFont="1" applyBorder="1" applyAlignment="1">
      <alignment horizontal="center" vertical="center"/>
    </xf>
    <xf numFmtId="168" fontId="30" fillId="14" borderId="8" xfId="0" applyNumberFormat="1" applyFont="1" applyFill="1" applyBorder="1" applyAlignment="1">
      <alignment horizontal="center"/>
    </xf>
    <xf numFmtId="168" fontId="30" fillId="23" borderId="8" xfId="0" applyNumberFormat="1" applyFont="1" applyFill="1" applyBorder="1" applyAlignment="1">
      <alignment horizontal="center"/>
    </xf>
    <xf numFmtId="168"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8" fontId="30" fillId="14" borderId="74" xfId="0" applyNumberFormat="1" applyFont="1" applyFill="1" applyBorder="1" applyAlignment="1">
      <alignment horizontal="center" vertical="center"/>
    </xf>
    <xf numFmtId="168" fontId="30" fillId="23" borderId="74" xfId="0" applyNumberFormat="1" applyFont="1" applyFill="1" applyBorder="1" applyAlignment="1">
      <alignment horizontal="center" vertical="center"/>
    </xf>
    <xf numFmtId="168" fontId="28" fillId="14" borderId="74" xfId="0" applyNumberFormat="1" applyFont="1" applyFill="1" applyBorder="1" applyAlignment="1">
      <alignment horizontal="center" vertical="center"/>
    </xf>
    <xf numFmtId="168"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8" fontId="24" fillId="14" borderId="74" xfId="0" applyNumberFormat="1" applyFont="1" applyFill="1" applyBorder="1"/>
    <xf numFmtId="168" fontId="24" fillId="8" borderId="74" xfId="0" applyNumberFormat="1" applyFont="1" applyFill="1" applyBorder="1"/>
    <xf numFmtId="0" fontId="24" fillId="8" borderId="74" xfId="0" applyFont="1" applyFill="1" applyBorder="1" applyAlignment="1">
      <alignment horizontal="center"/>
    </xf>
    <xf numFmtId="168" fontId="0" fillId="0" borderId="74" xfId="0" applyNumberFormat="1" applyBorder="1" applyAlignment="1">
      <alignment horizontal="center" vertical="center"/>
    </xf>
    <xf numFmtId="0" fontId="24" fillId="5" borderId="74" xfId="0" applyFont="1" applyFill="1" applyBorder="1" applyAlignment="1">
      <alignment horizontal="center"/>
    </xf>
    <xf numFmtId="168"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6" fontId="3" fillId="3" borderId="0" xfId="3" applyNumberFormat="1" applyFont="1" applyFill="1" applyAlignment="1">
      <alignment horizontal="center" vertical="center" wrapText="1"/>
    </xf>
    <xf numFmtId="164"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70" fontId="0" fillId="0" borderId="0" xfId="2" applyNumberFormat="1" applyFont="1" applyAlignment="1">
      <alignment horizontal="center" vertical="center"/>
    </xf>
    <xf numFmtId="171" fontId="0" fillId="0" borderId="0" xfId="0" applyNumberFormat="1" applyAlignment="1">
      <alignment horizontal="center" vertical="center"/>
    </xf>
    <xf numFmtId="170" fontId="0" fillId="0" borderId="0" xfId="2" applyNumberFormat="1" applyFont="1" applyFill="1" applyBorder="1" applyAlignment="1">
      <alignment horizontal="center"/>
    </xf>
    <xf numFmtId="171"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164" fontId="0" fillId="0" borderId="0" xfId="1" applyFont="1" applyAlignment="1">
      <alignment horizontal="center"/>
    </xf>
    <xf numFmtId="164" fontId="0" fillId="0" borderId="0" xfId="1" applyFont="1" applyFill="1" applyBorder="1" applyAlignment="1">
      <alignment horizontal="left" vertical="center"/>
    </xf>
    <xf numFmtId="164" fontId="0" fillId="0" borderId="0" xfId="1" applyFont="1" applyBorder="1" applyAlignment="1">
      <alignment horizontal="left" vertical="center"/>
    </xf>
    <xf numFmtId="164" fontId="0" fillId="0" borderId="0" xfId="1" applyFont="1" applyFill="1" applyBorder="1" applyAlignment="1">
      <alignment horizontal="right" vertical="center"/>
    </xf>
    <xf numFmtId="164"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164" fontId="3" fillId="3" borderId="0" xfId="1" applyFont="1" applyFill="1" applyBorder="1" applyAlignment="1">
      <alignment horizontal="right" vertical="center" wrapText="1"/>
    </xf>
    <xf numFmtId="164"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70" fontId="0" fillId="0" borderId="0" xfId="0" applyNumberFormat="1" applyAlignment="1">
      <alignment horizontal="center" vertical="center"/>
    </xf>
    <xf numFmtId="0" fontId="0" fillId="0" borderId="0" xfId="0" applyAlignment="1">
      <alignment horizontal="left" vertical="center"/>
    </xf>
    <xf numFmtId="171"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164"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164" fontId="0" fillId="0" borderId="8" xfId="1" applyFont="1" applyBorder="1" applyProtection="1"/>
    <xf numFmtId="9" fontId="0" fillId="0" borderId="8" xfId="2" applyFont="1" applyBorder="1" applyProtection="1"/>
    <xf numFmtId="170" fontId="0" fillId="0" borderId="8" xfId="2" applyNumberFormat="1" applyFont="1" applyBorder="1" applyProtection="1"/>
    <xf numFmtId="170"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164"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4"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70"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70" fontId="0" fillId="0" borderId="0" xfId="2" applyNumberFormat="1" applyFont="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164"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numFmt numFmtId="172"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173"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74"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bottom style="dotted">
          <color auto="1"/>
        </bottom>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color rgb="FF9C0006"/>
      </font>
      <fill>
        <patternFill>
          <bgColor rgb="FFFFC7CE"/>
        </patternFill>
      </fill>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5" formatCode="hh:mm"/>
      <alignment horizontal="center" vertical="bottom" textRotation="0" wrapText="0" indent="0" justifyLastLine="0" shrinkToFit="0" readingOrder="0"/>
    </dxf>
    <dxf>
      <numFmt numFmtId="175" formatCode="hh:mm"/>
      <alignment horizontal="center" vertical="bottom" textRotation="0" wrapText="0" indent="0" justifyLastLine="0" shrinkToFit="0" readingOrder="0"/>
    </dxf>
    <dxf>
      <numFmt numFmtId="171"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none">
          <fgColor indexed="64"/>
          <bgColor indexed="65"/>
        </patternFill>
      </fill>
      <alignment horizontal="center" vertical="bottom" textRotation="0" wrapText="0" indent="0" justifyLastLine="0" shrinkToFit="0" readingOrder="0"/>
    </dxf>
    <dxf>
      <numFmt numFmtId="174" formatCode="dd/mmm/yy"/>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0" formatCode="0.0%"/>
      <alignment horizontal="center" vertical="center" textRotation="0" wrapText="0" indent="0" justifyLastLine="0" shrinkToFit="0" readingOrder="0"/>
    </dxf>
    <dxf>
      <numFmt numFmtId="174" formatCode="dd/mmm/yy"/>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174"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color rgb="FF9C0006"/>
      </font>
      <fill>
        <patternFill patternType="solid">
          <bgColor rgb="FFFFC7CE"/>
        </patternFill>
      </fill>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3"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73"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4"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6"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border outline="0">
        <top style="dotted">
          <color auto="1"/>
        </top>
      </border>
    </dxf>
    <dxf>
      <border outline="0">
        <bottom style="dotted">
          <color auto="1"/>
        </bottom>
      </border>
    </dxf>
    <dxf>
      <border outline="0">
        <left style="dotted">
          <color auto="1"/>
        </left>
        <right style="dotted">
          <color auto="1"/>
        </right>
        <top style="dotted">
          <color auto="1"/>
        </top>
        <bottom style="dotted">
          <color auto="1"/>
        </bottom>
      </border>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7"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8"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bottom style="dotted">
          <color theme="2" tint="-9.9917600024414813E-2"/>
        </bottom>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font>
        <color rgb="FF006100"/>
      </font>
      <fill>
        <patternFill>
          <bgColor rgb="FFC6EFCE"/>
        </patternFill>
      </fill>
    </dxf>
    <dxf>
      <font>
        <color rgb="FF9C0006"/>
      </font>
      <fill>
        <patternFill>
          <bgColor rgb="FFFFC7CE"/>
        </patternFill>
      </fill>
    </dxf>
    <dxf>
      <numFmt numFmtId="164" formatCode="_ * #,##0.00_ ;_ * \-#,##0.0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protection locked="1"/>
    </dxf>
    <dxf>
      <protection locked="1"/>
    </dxf>
    <dxf>
      <protection locked="1"/>
    </dxf>
    <dxf>
      <protection locked="1"/>
    </dxf>
    <dxf>
      <protection locked="1"/>
    </dxf>
    <dxf>
      <protection locked="1"/>
    </dxf>
    <dxf>
      <protection locked="1"/>
    </dxf>
    <dxf>
      <protection locked="1"/>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_ * #,##0.00_ ;_ * \-#,##0.00_ ;_ * "-"??_ ;_ @_ </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formatCode="General">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formatCode="General">
                  <c:v>0</c:v>
                </c:pt>
                <c:pt idx="78" formatCode="General">
                  <c:v>4.9000000000000012</c:v>
                </c:pt>
                <c:pt idx="79" formatCode="General">
                  <c:v>1.5833333333333357</c:v>
                </c:pt>
                <c:pt idx="80" formatCode="General">
                  <c:v>9.1666666666666679</c:v>
                </c:pt>
                <c:pt idx="81" formatCode="General">
                  <c:v>46.416666666666664</c:v>
                </c:pt>
                <c:pt idx="82" formatCode="General">
                  <c:v>69.316666666666649</c:v>
                </c:pt>
                <c:pt idx="83" formatCode="General">
                  <c:v>12.083333333333332</c:v>
                </c:pt>
                <c:pt idx="84" formatCode="General">
                  <c:v>7.5166666666666666</c:v>
                </c:pt>
                <c:pt idx="85" formatCode="General">
                  <c:v>8.0499999999999972</c:v>
                </c:pt>
                <c:pt idx="86" formatCode="General">
                  <c:v>20.916666666666664</c:v>
                </c:pt>
                <c:pt idx="87" formatCode="General">
                  <c:v>97.38333333333334</c:v>
                </c:pt>
                <c:pt idx="88" formatCode="General">
                  <c:v>751.81666666666695</c:v>
                </c:pt>
                <c:pt idx="89" formatCode="General">
                  <c:v>6.5</c:v>
                </c:pt>
                <c:pt idx="90" formatCode="General">
                  <c:v>141.13333333333341</c:v>
                </c:pt>
                <c:pt idx="91" formatCode="General">
                  <c:v>1141.2666666666657</c:v>
                </c:pt>
                <c:pt idx="92" formatCode="General">
                  <c:v>626.25000000000034</c:v>
                </c:pt>
                <c:pt idx="93" formatCode="General">
                  <c:v>27.383055555555551</c:v>
                </c:pt>
                <c:pt idx="94" formatCode="General">
                  <c:v>19.45</c:v>
                </c:pt>
                <c:pt idx="95" formatCode="General">
                  <c:v>37.866666666666667</c:v>
                </c:pt>
                <c:pt idx="96" formatCode="General">
                  <c:v>7.5499999999999989</c:v>
                </c:pt>
                <c:pt idx="97" formatCode="General">
                  <c:v>0.61666666666666714</c:v>
                </c:pt>
                <c:pt idx="98" formatCode="General">
                  <c:v>6.6666666666666679</c:v>
                </c:pt>
                <c:pt idx="99" formatCode="General">
                  <c:v>28.116666666666667</c:v>
                </c:pt>
                <c:pt idx="100" formatCode="General">
                  <c:v>8.716666666666665</c:v>
                </c:pt>
                <c:pt idx="101" formatCode="General">
                  <c:v>1528.4150000000009</c:v>
                </c:pt>
                <c:pt idx="102" formatCode="General">
                  <c:v>3511.6666666666551</c:v>
                </c:pt>
                <c:pt idx="103" formatCode="General">
                  <c:v>61.566666666666663</c:v>
                </c:pt>
                <c:pt idx="104" formatCode="General">
                  <c:v>86.966666666666669</c:v>
                </c:pt>
                <c:pt idx="105" formatCode="General">
                  <c:v>3.3166666666666695</c:v>
                </c:pt>
                <c:pt idx="106" formatCode="General">
                  <c:v>2.4000000000000021</c:v>
                </c:pt>
                <c:pt idx="107" formatCode="General">
                  <c:v>16.766666666666662</c:v>
                </c:pt>
                <c:pt idx="108" formatCode="General">
                  <c:v>2.9000000000000004</c:v>
                </c:pt>
                <c:pt idx="109" formatCode="General">
                  <c:v>37.049999999999997</c:v>
                </c:pt>
                <c:pt idx="110" formatCode="General">
                  <c:v>2.9333333333333358</c:v>
                </c:pt>
                <c:pt idx="111" formatCode="General">
                  <c:v>326.2166666666667</c:v>
                </c:pt>
                <c:pt idx="112" formatCode="General">
                  <c:v>4.5666666666666664</c:v>
                </c:pt>
                <c:pt idx="113" formatCode="General">
                  <c:v>25.150000000000006</c:v>
                </c:pt>
                <c:pt idx="114" formatCode="General">
                  <c:v>28.6</c:v>
                </c:pt>
                <c:pt idx="115" formatCode="General">
                  <c:v>7.9666666666666686</c:v>
                </c:pt>
                <c:pt idx="116" formatCode="General">
                  <c:v>85.916666666666714</c:v>
                </c:pt>
                <c:pt idx="117" formatCode="General">
                  <c:v>3.4833333333333343</c:v>
                </c:pt>
                <c:pt idx="118" formatCode="General">
                  <c:v>0.4499999999999984</c:v>
                </c:pt>
                <c:pt idx="119" formatCode="General">
                  <c:v>9.0500000000000007</c:v>
                </c:pt>
                <c:pt idx="120" formatCode="General">
                  <c:v>6.5000000000000009</c:v>
                </c:pt>
                <c:pt idx="121" formatCode="General">
                  <c:v>4.7666666666666675</c:v>
                </c:pt>
                <c:pt idx="122" formatCode="General">
                  <c:v>230.83333333333337</c:v>
                </c:pt>
                <c:pt idx="123" formatCode="General">
                  <c:v>4.6999999999999993</c:v>
                </c:pt>
                <c:pt idx="124" formatCode="General">
                  <c:v>2.3833333333333355</c:v>
                </c:pt>
                <c:pt idx="125" formatCode="General">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_ * #,##0.00_ ;_ * \-#,##0.00_ ;_ * "-"??_ ;_ @_ </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formatCode="General">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formatCode="General">
                  <c:v>1</c:v>
                </c:pt>
                <c:pt idx="79" formatCode="General">
                  <c:v>1</c:v>
                </c:pt>
                <c:pt idx="80" formatCode="General">
                  <c:v>3</c:v>
                </c:pt>
                <c:pt idx="81" formatCode="General">
                  <c:v>15</c:v>
                </c:pt>
                <c:pt idx="82" formatCode="General">
                  <c:v>12</c:v>
                </c:pt>
                <c:pt idx="83" formatCode="General">
                  <c:v>1</c:v>
                </c:pt>
                <c:pt idx="84" formatCode="General">
                  <c:v>1</c:v>
                </c:pt>
                <c:pt idx="85" formatCode="General">
                  <c:v>1</c:v>
                </c:pt>
                <c:pt idx="86" formatCode="General">
                  <c:v>3</c:v>
                </c:pt>
                <c:pt idx="87" formatCode="General">
                  <c:v>27</c:v>
                </c:pt>
                <c:pt idx="88" formatCode="General">
                  <c:v>49</c:v>
                </c:pt>
                <c:pt idx="89" formatCode="General">
                  <c:v>2</c:v>
                </c:pt>
                <c:pt idx="90" formatCode="General">
                  <c:v>74</c:v>
                </c:pt>
                <c:pt idx="91" formatCode="General">
                  <c:v>151</c:v>
                </c:pt>
                <c:pt idx="92" formatCode="General">
                  <c:v>174</c:v>
                </c:pt>
                <c:pt idx="93" formatCode="General">
                  <c:v>8</c:v>
                </c:pt>
                <c:pt idx="94" formatCode="General">
                  <c:v>2</c:v>
                </c:pt>
                <c:pt idx="95" formatCode="General">
                  <c:v>19</c:v>
                </c:pt>
                <c:pt idx="96" formatCode="General">
                  <c:v>4</c:v>
                </c:pt>
                <c:pt idx="97" formatCode="General">
                  <c:v>1</c:v>
                </c:pt>
                <c:pt idx="98" formatCode="General">
                  <c:v>1</c:v>
                </c:pt>
                <c:pt idx="99" formatCode="General">
                  <c:v>8</c:v>
                </c:pt>
                <c:pt idx="100" formatCode="General">
                  <c:v>5</c:v>
                </c:pt>
                <c:pt idx="101" formatCode="General">
                  <c:v>65</c:v>
                </c:pt>
                <c:pt idx="102" formatCode="General">
                  <c:v>148</c:v>
                </c:pt>
                <c:pt idx="103" formatCode="General">
                  <c:v>6</c:v>
                </c:pt>
                <c:pt idx="104" formatCode="General">
                  <c:v>5</c:v>
                </c:pt>
                <c:pt idx="105" formatCode="General">
                  <c:v>13</c:v>
                </c:pt>
                <c:pt idx="106" formatCode="General">
                  <c:v>1</c:v>
                </c:pt>
                <c:pt idx="107" formatCode="General">
                  <c:v>6</c:v>
                </c:pt>
                <c:pt idx="108" formatCode="General">
                  <c:v>1</c:v>
                </c:pt>
                <c:pt idx="109" formatCode="General">
                  <c:v>5</c:v>
                </c:pt>
                <c:pt idx="110" formatCode="General">
                  <c:v>2</c:v>
                </c:pt>
                <c:pt idx="111" formatCode="General">
                  <c:v>16</c:v>
                </c:pt>
                <c:pt idx="112" formatCode="General">
                  <c:v>1</c:v>
                </c:pt>
                <c:pt idx="113" formatCode="General">
                  <c:v>4</c:v>
                </c:pt>
                <c:pt idx="114" formatCode="General">
                  <c:v>3</c:v>
                </c:pt>
                <c:pt idx="115" formatCode="General">
                  <c:v>2</c:v>
                </c:pt>
                <c:pt idx="116" formatCode="General">
                  <c:v>34</c:v>
                </c:pt>
                <c:pt idx="117" formatCode="General">
                  <c:v>2</c:v>
                </c:pt>
                <c:pt idx="118" formatCode="General">
                  <c:v>1</c:v>
                </c:pt>
                <c:pt idx="119" formatCode="General">
                  <c:v>3</c:v>
                </c:pt>
                <c:pt idx="120" formatCode="General">
                  <c:v>3</c:v>
                </c:pt>
                <c:pt idx="121" formatCode="General">
                  <c:v>1</c:v>
                </c:pt>
                <c:pt idx="122" formatCode="General">
                  <c:v>50</c:v>
                </c:pt>
                <c:pt idx="123" formatCode="General">
                  <c:v>1</c:v>
                </c:pt>
                <c:pt idx="124" formatCode="General">
                  <c:v>2</c:v>
                </c:pt>
                <c:pt idx="125" formatCode="General">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https://o2power-my.sharepoint.com/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7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78">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79">
      <pivotArea type="all" dataOnly="0" outline="0" fieldPosition="0"/>
    </format>
    <format dxfId="380">
      <pivotArea outline="0" collapsedLevelsAreSubtotals="1" fieldPosition="0"/>
    </format>
    <format dxfId="381">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3">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4">
      <pivotArea dataOnly="0" labelOnly="1" grandRow="1" outline="0" fieldPosition="0"/>
    </format>
    <format dxfId="385">
      <pivotArea dataOnly="0" labelOnly="1" outline="0" fieldPosition="0">
        <references count="1">
          <reference field="4294967294" count="2">
            <x v="0"/>
            <x v="1"/>
          </reference>
        </references>
      </pivotArea>
    </format>
    <format dxfId="386">
      <pivotArea type="all" dataOnly="0" outline="0" fieldPosition="0"/>
    </format>
    <format dxfId="387">
      <pivotArea outline="0" collapsedLevelsAreSubtotals="1" fieldPosition="0"/>
    </format>
    <format dxfId="388">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90">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91">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92">
      <pivotArea dataOnly="0" labelOnly="1" grandRow="1" outline="0" fieldPosition="0"/>
    </format>
    <format dxfId="393">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5" dataDxfId="374" headerRowBorderDxfId="372" tableBorderDxfId="373" totalsRowBorderDxfId="371">
  <tableColumns count="112">
    <tableColumn id="5" xr3:uid="{00000000-0010-0000-0100-000005000000}" name="Date" dataDxfId="370"/>
    <tableColumn id="1" xr3:uid="{00000000-0010-0000-0100-000001000000}" name="Finacial Year" dataDxfId="369">
      <calculatedColumnFormula>YEAR([1]!Input_Raw[[#This Row],[Date]])+IF(MONTH([1]!Input_Raw[[#This Row],[Date]])&gt;=4,1,0)</calculatedColumnFormula>
    </tableColumn>
    <tableColumn id="2" xr3:uid="{00000000-0010-0000-0100-000002000000}" name="Calendor Year" dataDxfId="368">
      <calculatedColumnFormula>YEAR([1]!Input_Raw[[#This Row],[Date]])</calculatedColumnFormula>
    </tableColumn>
    <tableColumn id="3" xr3:uid="{00000000-0010-0000-0100-000003000000}" name="Month Year" dataDxfId="367">
      <calculatedColumnFormula>A5-DAY(A5)+1</calculatedColumnFormula>
    </tableColumn>
    <tableColumn id="4" xr3:uid="{00000000-0010-0000-0100-000004000000}" name="Days" dataDxfId="366">
      <calculatedColumnFormula>DAY(EOMONTH([1]!Input_Raw[[#This Row],[Date]],0))</calculatedColumnFormula>
    </tableColumn>
    <tableColumn id="6" xr3:uid="{00000000-0010-0000-0100-000006000000}" name="G01" dataDxfId="365"/>
    <tableColumn id="7" xr3:uid="{00000000-0010-0000-0100-000007000000}" name="G02" dataDxfId="364"/>
    <tableColumn id="8" xr3:uid="{00000000-0010-0000-0100-000008000000}" name="G03" dataDxfId="363"/>
    <tableColumn id="9" xr3:uid="{00000000-0010-0000-0100-000009000000}" name="G04" dataDxfId="362"/>
    <tableColumn id="10" xr3:uid="{00000000-0010-0000-0100-00000A000000}" name="G05" dataDxfId="361"/>
    <tableColumn id="11" xr3:uid="{00000000-0010-0000-0100-00000B000000}" name="G06" dataDxfId="360"/>
    <tableColumn id="12" xr3:uid="{00000000-0010-0000-0100-00000C000000}" name="G07" dataDxfId="359"/>
    <tableColumn id="13" xr3:uid="{00000000-0010-0000-0100-00000D000000}" name="G08" dataDxfId="358"/>
    <tableColumn id="14" xr3:uid="{00000000-0010-0000-0100-00000E000000}" name="G09" dataDxfId="357"/>
    <tableColumn id="15" xr3:uid="{00000000-0010-0000-0100-00000F000000}" name="G10" dataDxfId="356"/>
    <tableColumn id="16" xr3:uid="{00000000-0010-0000-0100-000010000000}" name="G11" dataDxfId="355"/>
    <tableColumn id="17" xr3:uid="{00000000-0010-0000-0100-000011000000}" name="G12" dataDxfId="354"/>
    <tableColumn id="18" xr3:uid="{00000000-0010-0000-0100-000012000000}" name="G13" dataDxfId="353"/>
    <tableColumn id="19" xr3:uid="{00000000-0010-0000-0100-000013000000}" name="G14" dataDxfId="352"/>
    <tableColumn id="20" xr3:uid="{00000000-0010-0000-0100-000014000000}" name="G15" dataDxfId="351"/>
    <tableColumn id="21" xr3:uid="{00000000-0010-0000-0100-000015000000}" name="G16" dataDxfId="350"/>
    <tableColumn id="22" xr3:uid="{00000000-0010-0000-0100-000016000000}" name="G17" dataDxfId="349"/>
    <tableColumn id="23" xr3:uid="{00000000-0010-0000-0100-000017000000}" name="G18" dataDxfId="348"/>
    <tableColumn id="24" xr3:uid="{00000000-0010-0000-0100-000018000000}" name="G19" dataDxfId="347"/>
    <tableColumn id="25" xr3:uid="{00000000-0010-0000-0100-000019000000}" name="G20" dataDxfId="346"/>
    <tableColumn id="26" xr3:uid="{00000000-0010-0000-0100-00001A000000}" name="G21" dataDxfId="345"/>
    <tableColumn id="27" xr3:uid="{00000000-0010-0000-0100-00001B000000}" name="G22" dataDxfId="344"/>
    <tableColumn id="28" xr3:uid="{00000000-0010-0000-0100-00001C000000}" name="G23" dataDxfId="343"/>
    <tableColumn id="79" xr3:uid="{00000000-0010-0000-0100-00004F000000}" name="G25" dataDxfId="342"/>
    <tableColumn id="80" xr3:uid="{00000000-0010-0000-0100-000050000000}" name="G26" dataDxfId="341"/>
    <tableColumn id="81" xr3:uid="{00000000-0010-0000-0100-000051000000}" name="G27" dataDxfId="340"/>
    <tableColumn id="82" xr3:uid="{00000000-0010-0000-0100-000052000000}" name="G28" dataDxfId="339"/>
    <tableColumn id="83" xr3:uid="{00000000-0010-0000-0100-000053000000}" name="G29" dataDxfId="338"/>
    <tableColumn id="84" xr3:uid="{00000000-0010-0000-0100-000054000000}" name="G30" dataDxfId="337"/>
    <tableColumn id="85" xr3:uid="{00000000-0010-0000-0100-000055000000}" name="G31" dataDxfId="336"/>
    <tableColumn id="110" xr3:uid="{00000000-0010-0000-0100-00006E000000}" name="G32" dataDxfId="335"/>
    <tableColumn id="111" xr3:uid="{00000000-0010-0000-0100-00006F000000}" name="G33" dataDxfId="334"/>
    <tableColumn id="112" xr3:uid="{00000000-0010-0000-0100-000070000000}" name="G34" dataDxfId="333"/>
    <tableColumn id="113" xr3:uid="{00000000-0010-0000-0100-000071000000}" name="G35" dataDxfId="332"/>
    <tableColumn id="114" xr3:uid="{00000000-0010-0000-0100-000072000000}" name="G36" dataDxfId="331"/>
    <tableColumn id="115" xr3:uid="{00000000-0010-0000-0100-000073000000}" name="G37" dataDxfId="330"/>
    <tableColumn id="116" xr3:uid="{00000000-0010-0000-0100-000074000000}" name="G38" dataDxfId="329"/>
    <tableColumn id="117" xr3:uid="{00000000-0010-0000-0100-000075000000}" name="G39" dataDxfId="328"/>
    <tableColumn id="118" xr3:uid="{00000000-0010-0000-0100-000076000000}" name="G40" dataDxfId="327"/>
    <tableColumn id="29" xr3:uid="{00000000-0010-0000-0100-00001D000000}" name="WS_G01" dataDxfId="326"/>
    <tableColumn id="30" xr3:uid="{00000000-0010-0000-0100-00001E000000}" name="WS_G02" dataDxfId="325"/>
    <tableColumn id="31" xr3:uid="{00000000-0010-0000-0100-00001F000000}" name="WS_G03" dataDxfId="324"/>
    <tableColumn id="32" xr3:uid="{00000000-0010-0000-0100-000020000000}" name="WS_G04" dataDxfId="323"/>
    <tableColumn id="33" xr3:uid="{00000000-0010-0000-0100-000021000000}" name="WS_G05" dataDxfId="322"/>
    <tableColumn id="34" xr3:uid="{00000000-0010-0000-0100-000022000000}" name="WS_G06" dataDxfId="321"/>
    <tableColumn id="35" xr3:uid="{00000000-0010-0000-0100-000023000000}" name="WS_G07" dataDxfId="320"/>
    <tableColumn id="36" xr3:uid="{00000000-0010-0000-0100-000024000000}" name="WS_G08" dataDxfId="319"/>
    <tableColumn id="37" xr3:uid="{00000000-0010-0000-0100-000025000000}" name="WS_G09" dataDxfId="318"/>
    <tableColumn id="38" xr3:uid="{00000000-0010-0000-0100-000026000000}" name="WS_G10" dataDxfId="317"/>
    <tableColumn id="39" xr3:uid="{00000000-0010-0000-0100-000027000000}" name="WS_G11" dataDxfId="316"/>
    <tableColumn id="40" xr3:uid="{00000000-0010-0000-0100-000028000000}" name="WS_G12" dataDxfId="315"/>
    <tableColumn id="41" xr3:uid="{00000000-0010-0000-0100-000029000000}" name="WS_G13" dataDxfId="314"/>
    <tableColumn id="42" xr3:uid="{00000000-0010-0000-0100-00002A000000}" name="WS_G14" dataDxfId="313"/>
    <tableColumn id="43" xr3:uid="{00000000-0010-0000-0100-00002B000000}" name="WS_G15" dataDxfId="312"/>
    <tableColumn id="44" xr3:uid="{00000000-0010-0000-0100-00002C000000}" name="WS_G16" dataDxfId="311"/>
    <tableColumn id="45" xr3:uid="{00000000-0010-0000-0100-00002D000000}" name="WS_G17" dataDxfId="310"/>
    <tableColumn id="46" xr3:uid="{00000000-0010-0000-0100-00002E000000}" name="WS_G18" dataDxfId="309"/>
    <tableColumn id="47" xr3:uid="{00000000-0010-0000-0100-00002F000000}" name="WS_G19" dataDxfId="308"/>
    <tableColumn id="48" xr3:uid="{00000000-0010-0000-0100-000030000000}" name="WS_G20" dataDxfId="307"/>
    <tableColumn id="49" xr3:uid="{00000000-0010-0000-0100-000031000000}" name="WS_G21" dataDxfId="306"/>
    <tableColumn id="50" xr3:uid="{00000000-0010-0000-0100-000032000000}" name="WS_G22" dataDxfId="305"/>
    <tableColumn id="51" xr3:uid="{00000000-0010-0000-0100-000033000000}" name="WS_G23" dataDxfId="304"/>
    <tableColumn id="120" xr3:uid="{00000000-0010-0000-0100-000078000000}" name="WS_G25" dataDxfId="303"/>
    <tableColumn id="121" xr3:uid="{00000000-0010-0000-0100-000079000000}" name="WS_G26" dataDxfId="302"/>
    <tableColumn id="122" xr3:uid="{00000000-0010-0000-0100-00007A000000}" name="WS_G27" dataDxfId="301"/>
    <tableColumn id="123" xr3:uid="{00000000-0010-0000-0100-00007B000000}" name="WS_G28" dataDxfId="300"/>
    <tableColumn id="124" xr3:uid="{00000000-0010-0000-0100-00007C000000}" name="WS_G29" dataDxfId="299"/>
    <tableColumn id="125" xr3:uid="{00000000-0010-0000-0100-00007D000000}" name="WS_G30" dataDxfId="298"/>
    <tableColumn id="126" xr3:uid="{00000000-0010-0000-0100-00007E000000}" name="WS_G31" dataDxfId="297"/>
    <tableColumn id="127" xr3:uid="{00000000-0010-0000-0100-00007F000000}" name="WS_G32" dataDxfId="296"/>
    <tableColumn id="128" xr3:uid="{00000000-0010-0000-0100-000080000000}" name="WS_G33" dataDxfId="295"/>
    <tableColumn id="129" xr3:uid="{00000000-0010-0000-0100-000081000000}" name="WS_G34" dataDxfId="294"/>
    <tableColumn id="130" xr3:uid="{00000000-0010-0000-0100-000082000000}" name="WS_G35" dataDxfId="293"/>
    <tableColumn id="131" xr3:uid="{00000000-0010-0000-0100-000083000000}" name="WS_G36" dataDxfId="292"/>
    <tableColumn id="132" xr3:uid="{00000000-0010-0000-0100-000084000000}" name="WS_G37" dataDxfId="291"/>
    <tableColumn id="133" xr3:uid="{00000000-0010-0000-0100-000085000000}" name="WS_G38" dataDxfId="290"/>
    <tableColumn id="134" xr3:uid="{00000000-0010-0000-0100-000086000000}" name="WS_G39" dataDxfId="289"/>
    <tableColumn id="135" xr3:uid="{00000000-0010-0000-0100-000087000000}" name="WS_G40" dataDxfId="288"/>
    <tableColumn id="106" xr3:uid="{00000000-0010-0000-0100-00006A000000}" name="WTG Total Gneration (KWh)" dataDxfId="287">
      <calculatedColumnFormula>SUM(Input_Raw[[#This Row],[G01]:[G40]])</calculatedColumnFormula>
    </tableColumn>
    <tableColumn id="107" xr3:uid="{00000000-0010-0000-0100-00006B000000}" name="Wind Speed Average cumulative (m/S)2" dataDxfId="286">
      <calculatedColumnFormula>IFERROR(AVERAGE(Input_Raw[[#This Row],[WS_G01]:[WS_G40]]),"")</calculatedColumnFormula>
    </tableColumn>
    <tableColumn id="108" xr3:uid="{00000000-0010-0000-0100-00006C000000}" name="Wind Speed Max (m/S)" dataDxfId="285"/>
    <tableColumn id="109" xr3:uid="{00000000-0010-0000-0100-00006D000000}" name="Rain (mm)" dataDxfId="284"/>
    <tableColumn id="52" xr3:uid="{00000000-0010-0000-0100-000034000000}" name="33 kV_Wind_F1_Export reading" dataDxfId="283"/>
    <tableColumn id="145" xr3:uid="{00000000-0010-0000-0100-000091000000}" name="33 kV_Wind_F1_Import reading" dataDxfId="282"/>
    <tableColumn id="53" xr3:uid="{00000000-0010-0000-0100-000035000000}" name="33 kV_Wind_F2_Export_reading" dataDxfId="281"/>
    <tableColumn id="146" xr3:uid="{00000000-0010-0000-0100-000092000000}" name="33 kV_Wind_F2_Import_reading" dataDxfId="280"/>
    <tableColumn id="54" xr3:uid="{00000000-0010-0000-0100-000036000000}" name="33 kV_Wind_F3_Export_Reading" dataDxfId="279"/>
    <tableColumn id="147" xr3:uid="{00000000-0010-0000-0100-000093000000}" name="33 kV_Wind_F3_Import_Reading" dataDxfId="278"/>
    <tableColumn id="55" xr3:uid="{00000000-0010-0000-0100-000037000000}" name="33 kV_Wind_F4_Export Reading" dataDxfId="277"/>
    <tableColumn id="148" xr3:uid="{00000000-0010-0000-0100-000094000000}" name="33 kV_Wind_F4_Import Reading" dataDxfId="276"/>
    <tableColumn id="86" xr3:uid="{00000000-0010-0000-0100-000056000000}" name="33 kV_F1_Total_Export (KWh)" dataDxfId="275" dataCellStyle="Normal 26">
      <calculatedColumnFormula>(Input_Raw[[#This Row],[33 kV_Wind_F1_Export reading]]-CJ4)*1200</calculatedColumnFormula>
    </tableColumn>
    <tableColumn id="149" xr3:uid="{00000000-0010-0000-0100-000095000000}" name="33 kV_Wind_F1_Import (KWh)" dataDxfId="274" dataCellStyle="Normal 26"/>
    <tableColumn id="151" xr3:uid="{00000000-0010-0000-0100-000097000000}" name="33 kV_F2_Total_Export (KWh)2" dataDxfId="273" dataCellStyle="Normal 26"/>
    <tableColumn id="152" xr3:uid="{00000000-0010-0000-0100-000098000000}" name="33 kV_Wind_F2_Import (KWh)" dataDxfId="272" dataCellStyle="Normal 26"/>
    <tableColumn id="153" xr3:uid="{00000000-0010-0000-0100-000099000000}" name="33 kV_Wind_F3_Export (KWh)" dataDxfId="271" dataCellStyle="Normal 26"/>
    <tableColumn id="154" xr3:uid="{00000000-0010-0000-0100-00009A000000}" name="33 kV_Wind_F3_Import (KWh)2" dataDxfId="270" dataCellStyle="Normal 26"/>
    <tableColumn id="155" xr3:uid="{00000000-0010-0000-0100-00009B000000}" name="33 kV_Wind_F4_Export (KWh)" dataDxfId="269" dataCellStyle="Normal 26"/>
    <tableColumn id="156" xr3:uid="{00000000-0010-0000-0100-00009C000000}" name="33 kV_Wind_F4_Import (KWh)2" dataDxfId="268" dataCellStyle="Normal 26"/>
    <tableColumn id="157" xr3:uid="{00000000-0010-0000-0100-00009D000000}" name="33 kV_Wind_Total_Export (KWh)" dataDxfId="267"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6"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5">
      <calculatedColumnFormula>IFERROR(#REF!/Input_Raw[[#This Row],[WTG Total Gneration (KWh)]]-1,"")</calculatedColumnFormula>
    </tableColumn>
    <tableColumn id="56" xr3:uid="{00000000-0010-0000-0100-000038000000}" name="Forecasting Data count received on Forecasting Portal" dataDxfId="264" dataCellStyle="Normal 26"/>
    <tableColumn id="57" xr3:uid="{00000000-0010-0000-0100-000039000000}" name="Forecasting Penalties (INR)" dataDxfId="263" dataCellStyle="Normal 26"/>
    <tableColumn id="58" xr3:uid="{00000000-0010-0000-0100-00003A000000}" name="Expected Energy As Per Power Curve  (MWh)" dataDxfId="262"/>
    <tableColumn id="59" xr3:uid="{45EB7B0C-FCA4-4200-9B6D-3BE20AEBB825}" name="Reactive Energy (MVArH)" dataDxfId="261"/>
    <tableColumn id="60" xr3:uid="{B882E9A7-BD2F-46BB-A2E4-FEB19DA2C282}" name="Operational Capacity" dataDxfId="260"/>
    <tableColumn id="61" xr3:uid="{F18A1240-D45D-47F8-90FE-07EA4A241D4B}" name="Column1" dataDxfId="25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58" totalsRowDxfId="257" headerRowBorderDxfId="255" tableBorderDxfId="256" totalsRowBorderDxfId="254">
  <autoFilter ref="A1:AS369" xr:uid="{3B203726-2095-49D8-A694-A659B4A14C0A}"/>
  <tableColumns count="45">
    <tableColumn id="1" xr3:uid="{AC3ABD98-75D2-4582-B623-8D21C5F487DB}" name="Date" dataDxfId="252" totalsRowDxfId="253" dataCellStyle="Normal 26"/>
    <tableColumn id="2" xr3:uid="{AE12600E-6A58-426A-AE7A-0EA1D6D50FEB}" name="Financial Year" dataDxfId="250" totalsRowDxfId="251" dataCellStyle="Normal 26">
      <calculatedColumnFormula>YEAR(Table13[[#This Row],[Date]])+IF(MONTH(Table13[[#This Row],[Date]])&gt;=4,1,0)</calculatedColumnFormula>
    </tableColumn>
    <tableColumn id="3" xr3:uid="{3B7DF0EB-73EF-4B84-A0F0-967A6567AAD8}" name="Calendar Year" dataDxfId="248" totalsRowDxfId="249" dataCellStyle="Normal 26">
      <calculatedColumnFormula>YEAR(Table13[[#This Row],[Date]])</calculatedColumnFormula>
    </tableColumn>
    <tableColumn id="4" xr3:uid="{33EE5C98-2106-4920-9087-176A2E9499F5}" name="Month Year" dataDxfId="246" totalsRowDxfId="247" dataCellStyle="Normal 26">
      <calculatedColumnFormula>Table13[[#This Row],[Date]]-DAY(Table13[[#This Row],[Date]])+1</calculatedColumnFormula>
    </tableColumn>
    <tableColumn id="5" xr3:uid="{309D9189-9689-4C56-90B1-6A720ECABFE7}" name="Days" dataDxfId="244" totalsRowDxfId="245" dataCellStyle="Normal 26">
      <calculatedColumnFormula>DAY(EOMONTH(A2,0))</calculatedColumnFormula>
    </tableColumn>
    <tableColumn id="6" xr3:uid="{A40C93A6-18E6-4FFF-9809-94F158C9A482}" name="Operating Hours" dataDxfId="243" dataCellStyle="Percent 43"/>
    <tableColumn id="7" xr3:uid="{817A90A3-B44C-4B1C-A295-5BE26E74D036}" name="GHI-UP (KWh/m2)" dataDxfId="241" totalsRowDxfId="242" dataCellStyle="Percent 43"/>
    <tableColumn id="8" xr3:uid="{C3004E13-246D-40AE-ABA4-084A45E50F25}" name="GHI-Down(KWh/m2)" dataDxfId="239" totalsRowDxfId="240" dataCellStyle="Percent 43"/>
    <tableColumn id="9" xr3:uid="{0572E0E2-532A-434A-B608-A2CDF5FDB89B}" name="POA-UP(KWh/m2)" dataDxfId="237" totalsRowDxfId="238" dataCellStyle="Percent 43"/>
    <tableColumn id="10" xr3:uid="{B72B660B-30B6-481B-9EB4-5101A661AE6C}" name="POA-Down(KWh/m2)" dataDxfId="235" totalsRowDxfId="236" dataCellStyle="Percent 43"/>
    <tableColumn id="11" xr3:uid="{8E29DBE0-F45A-411B-B249-A73F226D2AEB}" name="Amb_Temp(°C)" dataDxfId="233" totalsRowDxfId="234" dataCellStyle="Percent 43"/>
    <tableColumn id="12" xr3:uid="{4E5D4AFC-3F73-460A-B892-44B44D34BF84}" name="Mod_Temp(°C)" dataDxfId="231" totalsRowDxfId="232" dataCellStyle="Percent 43"/>
    <tableColumn id="13" xr3:uid="{6619600E-B5E0-4203-9262-A709569C0B9C}" name="WS_Avg(m/s)" dataDxfId="229" totalsRowDxfId="230" dataCellStyle="Percent 43">
      <calculatedColumnFormula>IFERROR(_xlfn.XLOOKUP($A2,Input_Raw!$A:$A,Input_Raw!CG:CG),"")</calculatedColumnFormula>
    </tableColumn>
    <tableColumn id="14" xr3:uid="{739A885C-D4EA-4114-B4EA-D923ADBD0003}" name="WS_Max(m/s)" dataDxfId="227" totalsRowDxfId="228" dataCellStyle="Percent 43">
      <calculatedColumnFormula>IFERROR(_xlfn.XLOOKUP($A2,Input_Raw!$A:$A,Input_Raw!CH:CH),"")</calculatedColumnFormula>
    </tableColumn>
    <tableColumn id="15" xr3:uid="{03B07319-2335-4615-94A5-348B7323ECEE}" name="PA(%)" dataDxfId="225" totalsRowDxfId="226" dataCellStyle="Percent 43">
      <calculatedColumnFormula>IFERROR(P2*Q2,"")</calculatedColumnFormula>
    </tableColumn>
    <tableColumn id="16" xr3:uid="{9F5EFF93-DF1A-499F-A105-3EEA358BFB94}" name="MA (%)" dataDxfId="223" totalsRowDxfId="224" dataCellStyle="Percent 43">
      <calculatedColumnFormula>IFERROR(1-SUMIF(WTG_BD!$F:$F,$A2,WTG_BD!$AA:$AA)/($AA2+SUMIF(WTG_BD!$F:$F,$A2,WTG_BD!$AA:$AA)),"")</calculatedColumnFormula>
    </tableColumn>
    <tableColumn id="17" xr3:uid="{0CBB892E-409F-4D49-9600-9AF3544321E2}" name="IGA (%)" dataDxfId="222" dataCellStyle="Percent 43">
      <calculatedColumnFormula>IFERROR(1-SUMIF(IGA_BD!$F:$F,$A2,IGA_BD!$V:$V)/($AA2+SUMIF(IGA_BD!$F:$F,$A2,IGA_BD!$V:$V)),"")</calculatedColumnFormula>
    </tableColumn>
    <tableColumn id="18" xr3:uid="{3FC07FA2-E934-4C5C-9FCD-520F0458DEA5}" name="EGA(%)" dataDxfId="221" dataCellStyle="Percent">
      <calculatedColumnFormula>IFERROR(1-SUMIF(Grid_BD!$F:$F,$A2,Grid_BD!$X:$X)/($AA2+SUMIF(Grid_BD!$F:$F,$A2,Grid_BD!$X:$X)),"")</calculatedColumnFormula>
    </tableColumn>
    <tableColumn id="19" xr3:uid="{CCF758F8-D160-4388-A69A-657F596F26FC}" name="EMA (%)" dataDxfId="219" totalsRowDxfId="220"/>
    <tableColumn id="20" xr3:uid="{CC370C35-7BF1-48A2-A6C8-5F9A479115CC}" name="TA (%)" dataDxfId="217" totalsRowDxfId="218" dataCellStyle="Percent 43"/>
    <tableColumn id="21" xr3:uid="{ACBCAA42-6639-4255-A2E1-C528E248ECAD}" name="PR(%)" dataDxfId="215" totalsRowDxfId="216" dataCellStyle="Percent 43"/>
    <tableColumn id="22" xr3:uid="{F5326693-37E3-47B2-8E2B-E9FC9155A0AB}" name="WPR(%)" dataDxfId="213" totalsRowDxfId="214"/>
    <tableColumn id="23" xr3:uid="{5B9629D4-3C0B-4D5E-ACD1-944F977B15BB}" name="CUF(%)" dataDxfId="211" totalsRowDxfId="212" dataCellStyle="Percent 43">
      <calculatedColumnFormula>IFERROR(Table13[[#This Row],[Mtr_Net_Exp (KWh)]]/(24*AR2*1000),"")</calculatedColumnFormula>
    </tableColumn>
    <tableColumn id="24" xr3:uid="{3E0DE83D-827F-46C8-82DE-E57A81F3BD1A}" name="Gen_Exp (kWh)" dataDxfId="209" totalsRowDxfId="210">
      <calculatedColumnFormula>IFERROR(_xlfn.XLOOKUP($A2,Input_Raw!$A:$A,Input_Raw!$CF:$CF),"")</calculatedColumnFormula>
    </tableColumn>
    <tableColumn id="25" xr3:uid="{C4A6016D-E849-4610-89B5-AE52CCA585F0}" name="Mtr_Export (kWh)" dataDxfId="207" totalsRowDxfId="208">
      <calculatedColumnFormula>IFERROR(_xlfn.XLOOKUP($A2,Input_Raw!$A:$A,Input_Raw!$CZ:$CZ),"")</calculatedColumnFormula>
    </tableColumn>
    <tableColumn id="26" xr3:uid="{DD8F3C03-6E56-4C0B-8192-7121DE5F80BE}" name="Mtr_Import (kWh)" dataDxfId="205" totalsRowDxfId="206">
      <calculatedColumnFormula>IFERROR(_xlfn.XLOOKUP($A2,Input_Raw!$A:$A,Input_Raw!$DA:$DA),"")</calculatedColumnFormula>
    </tableColumn>
    <tableColumn id="27" xr3:uid="{E8744429-ED52-4FD6-9D6E-93494DD7676D}" name="Mtr_Net_Exp (KWh)" dataDxfId="203" totalsRowDxfId="204">
      <calculatedColumnFormula>IFERROR(Y2-Z2,"")</calculatedColumnFormula>
    </tableColumn>
    <tableColumn id="28" xr3:uid="{5351EE1B-C5E5-45F9-8A3C-3090EB4F8F00}" name="Operational Capacity (MW)" dataDxfId="201" totalsRowDxfId="202">
      <calculatedColumnFormula>IFERROR(_xlfn.XLOOKUP($A2,Input_Raw!$A:$A,Input_Raw!$DG:$DG),"")</calculatedColumnFormula>
    </tableColumn>
    <tableColumn id="29" xr3:uid="{19E214DF-B9EC-4D16-9BF9-60E4FBE2688A}" name="Bugt_Resource" dataDxfId="199" totalsRowDxfId="200">
      <calculatedColumnFormula>IFERROR(_xlfn.XLOOKUP($D2,'Modelling New'!$D:$D,'Modelling New'!$J:$J),"")</calculatedColumnFormula>
    </tableColumn>
    <tableColumn id="30" xr3:uid="{1FFAB7FA-C3DF-44B5-B1F6-7BF5CA55DA8E}" name="Bugt_Energy" dataDxfId="198">
      <calculatedColumnFormula>IFERROR(_xlfn.XLOOKUP($D2,'Modelling New'!$D:$D,'Modelling New'!$T:$T)*1000,"")</calculatedColumnFormula>
    </tableColumn>
    <tableColumn id="43" xr3:uid="{2CBF4F34-C61C-44F4-A343-1FCD272EB855}" name="Bugt PR" dataDxfId="196" totalsRowDxfId="197" dataCellStyle="Percent 43"/>
    <tableColumn id="42" xr3:uid="{3D468F67-441F-4B82-98D0-CE59D982CC40}" name="Bugt CUF" dataDxfId="194" totalsRowDxfId="195" dataCellStyle="Percent 43">
      <calculatedColumnFormula>IFERROR(_xlfn.XLOOKUP($D2,'Modelling New'!$D:$D,'Modelling New'!$W:$W),"")</calculatedColumnFormula>
    </tableColumn>
    <tableColumn id="31" xr3:uid="{575C0A5C-4326-4C28-A3A1-12CD36E489EF}" name="Bugt_PA" dataDxfId="192" totalsRowDxfId="193" dataCellStyle="Percent 43">
      <calculatedColumnFormula>IFERROR(_xlfn.XLOOKUP($D2,'Modelling New'!$D:$D,'Modelling New'!$AE:$AE),"")</calculatedColumnFormula>
    </tableColumn>
    <tableColumn id="32" xr3:uid="{AB86F7B4-46F2-48EA-8C0D-71A214CA26A9}" name="Bugt_EGA" dataDxfId="190" totalsRowDxfId="191" dataCellStyle="Percent 43">
      <calculatedColumnFormula>IFERROR(_xlfn.XLOOKUP($D2,'Modelling New'!$D:$D,'Modelling New'!$AF:$AF),"")</calculatedColumnFormula>
    </tableColumn>
    <tableColumn id="33" xr3:uid="{D44A5CAE-7ED1-4A93-BFEF-E6B04AFA6F97}" name="Expected Energy" dataDxfId="188" totalsRowDxfId="189">
      <calculatedColumnFormula>IFERROR(_xlfn.XLOOKUP($A2,Input_Raw!$A:$A,Input_Raw!$DE:$DE),"")</calculatedColumnFormula>
    </tableColumn>
    <tableColumn id="34" xr3:uid="{C32C7F92-FD11-4B0C-9BF8-3FAC460BEA06}" name="Actual Energy WPR" dataDxfId="186" totalsRowDxfId="187"/>
    <tableColumn id="35" xr3:uid="{896B94FF-779A-4C29-80B0-77D7E810FB01}" name="RA (%)" dataDxfId="184" totalsRowDxfId="185"/>
    <tableColumn id="36" xr3:uid="{5239203F-BCB7-4E84-941B-2A28FADB596A}" name="Mod Clean Dry (Num)" dataDxfId="182" totalsRowDxfId="183"/>
    <tableColumn id="37" xr3:uid="{9A55FF03-0C92-4807-A3C0-AA7BB3E1E678}" name="Mod Clean Wet (Num)" dataDxfId="180" totalsRowDxfId="181"/>
    <tableColumn id="38" xr3:uid="{BFE39E7D-94ED-40BE-BD0E-A6834D70844D}" name="Line Loss(%)" dataDxfId="178" totalsRowDxfId="179" dataCellStyle="Percent">
      <calculatedColumnFormula>IFERROR(_xlfn.XLOOKUP($A2,Input_Raw!$A:$A,Input_Raw!$DB:$DB),"")</calculatedColumnFormula>
    </tableColumn>
    <tableColumn id="39" xr3:uid="{6F2E99AC-3E10-4847-80B1-E454DF7A5317}" name="Reactive Power (%)" dataDxfId="177" dataCellStyle="Percent 43">
      <calculatedColumnFormula>IFERROR((_xlfn.XLOOKUP($A2,'WTG Reactive Power'!$A:$A,'WTG Reactive Power'!$AR:$AR))/X2/1000,"")</calculatedColumnFormula>
    </tableColumn>
    <tableColumn id="40" xr3:uid="{94EF6993-3780-4013-B832-4050720A56E9}" name="Bugt Line loss (%) (Wind)" dataDxfId="175" totalsRowDxfId="176" dataCellStyle="Percent 43">
      <calculatedColumnFormula>IFERROR(_xlfn.XLOOKUP($D2,'Modelling New'!$D:$D,'Modelling New'!$AK:$AK),"")</calculatedColumnFormula>
    </tableColumn>
    <tableColumn id="41" xr3:uid="{ADCBE4A1-5D0E-4F97-9881-BD238E97EBC7}" name="Bugt Reactive Power (%) (Wind)" dataDxfId="173" totalsRowDxfId="174" dataCellStyle="Percent 43">
      <calculatedColumnFormula>IFERROR(_xlfn.XLOOKUP($D2,'Modelling New'!$D:$D,'Modelling New'!$AL:$AL),"")</calculatedColumnFormula>
    </tableColumn>
    <tableColumn id="44" xr3:uid="{D081797F-6A13-4377-AD22-D00F4F3F47B8}" name="Bugt Capacity" dataDxfId="171" totalsRowDxfId="172">
      <calculatedColumnFormula>IFERROR(_xlfn.XLOOKUP($D2,'Modelling New'!$D:$D,'Modelling New'!$N:$N),"")</calculatedColumnFormula>
    </tableColumn>
    <tableColumn id="45" xr3:uid="{2141F03A-98E6-4E7F-A56D-72C24C630C9C}" name="CC*Bugt" totalsRowDxfId="170"/>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69" dataDxfId="168" headerRowBorderDxfId="166" tableBorderDxfId="167" totalsRowBorderDxfId="165">
  <tableColumns count="40">
    <tableColumn id="1" xr3:uid="{E1AA9795-3804-4583-8B4E-46730556DEDB}" name="Sr. No." dataDxfId="164"/>
    <tableColumn id="2" xr3:uid="{9E23B903-2554-4616-9932-98F644CE3491}" name="Month Name" dataDxfId="163" dataCellStyle="Comma 42"/>
    <tableColumn id="3" xr3:uid="{5C3447DE-6C05-4333-BC66-1C88DE5925BD}" name="Month Number" dataDxfId="162"/>
    <tableColumn id="4" xr3:uid="{E8F67060-F022-455F-8630-F9155FD20001}" name="Month" dataDxfId="161" dataCellStyle="Comma 42"/>
    <tableColumn id="5" xr3:uid="{95352203-B85E-4A4B-9822-1ECFD14627C9}" name="CY" dataDxfId="160">
      <calculatedColumnFormula>YEAR(D2)</calculatedColumnFormula>
    </tableColumn>
    <tableColumn id="6" xr3:uid="{9B2AA251-4DE5-4BE9-850E-4CA0A0A76017}" name="FY" dataDxfId="159"/>
    <tableColumn id="7" xr3:uid="{CE450720-6890-4E25-877D-9BD864DBF55E}" name="No. of Days in Month" dataDxfId="158">
      <calculatedColumnFormula>DAY(EOMONTH(D2,0))</calculatedColumnFormula>
    </tableColumn>
    <tableColumn id="8" xr3:uid="{A5C69865-2F0D-4BFE-B0FB-B8D049BF63F1}" name="GHI" dataDxfId="157"/>
    <tableColumn id="9" xr3:uid="{B0213999-07EB-450D-AF60-1CA5A04802AC}" name="POA" dataDxfId="156"/>
    <tableColumn id="10" xr3:uid="{C8B5BC69-55F4-4E82-BF83-DDE4BF05FB78}" name="WS" dataDxfId="155"/>
    <tableColumn id="11" xr3:uid="{0F111C6B-FD4C-47C4-A415-A313B9445CA7}" name="Tamb" dataDxfId="154"/>
    <tableColumn id="12" xr3:uid="{385CAFED-7AF9-46FE-9DB3-E0B81E3CBBEE}" name="Tmod" dataDxfId="153"/>
    <tableColumn id="13" xr3:uid="{E90687D9-CDF8-4A27-ACC4-03D5BDA424FA}" name="Egrid (MWh)" dataDxfId="152"/>
    <tableColumn id="14" xr3:uid="{C48D2E87-4922-4A99-9CC2-5507E89ED533}" name="Bugt_Capacity" dataDxfId="151"/>
    <tableColumn id="15" xr3:uid="{B5D015EA-3880-457C-B47E-EAD301AC03F3}" name="PR" dataDxfId="150"/>
    <tableColumn id="16" xr3:uid="{0BF5D0A4-DD65-4ACC-AE3E-A75031B43D8F}" name="Daily POA" dataDxfId="149"/>
    <tableColumn id="17" xr3:uid="{4232A9A7-5EA5-4E87-B60A-15985EDDBB9E}" name="Days Operated" dataDxfId="148">
      <calculatedColumnFormula>COUNTIFS('Daily KPI'!$D:$D,D2,'Daily KPI'!$M:$M,"&gt;0")</calculatedColumnFormula>
    </tableColumn>
    <tableColumn id="18" xr3:uid="{51B9ABAA-1597-4F4A-8253-6D63A4D3A0CC}" name="MTD POA" dataDxfId="147"/>
    <tableColumn id="27" xr3:uid="{6AF41C3A-5FFF-472A-91BD-F6F3579E771C}" name="YTD POA" dataDxfId="146"/>
    <tableColumn id="19" xr3:uid="{173FC5D9-0D27-46B6-A552-513B97DDB4FB}" name="Daily Energy (MWh)" dataDxfId="145">
      <calculatedColumnFormula>M2/G2</calculatedColumnFormula>
    </tableColumn>
    <tableColumn id="20" xr3:uid="{AAF5781B-73C7-4B05-91F4-CFDF9CF000F2}" name="MTD Energy (MWh)" dataDxfId="144">
      <calculatedColumnFormula>M2/G2*Q2</calculatedColumnFormula>
    </tableColumn>
    <tableColumn id="28" xr3:uid="{7C366C19-CF86-4EE5-A9C3-C9C9E861A7E8}" name="YTD Energy (MWh)" dataDxfId="143">
      <calculatedColumnFormula>SUMIF($F$2:F2,F2,$U$2:U2)</calculatedColumnFormula>
    </tableColumn>
    <tableColumn id="38" xr3:uid="{1325F146-1FA0-4697-AC7F-ADF1C28F38D7}" name="Bugt CUF (%)" dataDxfId="142" dataCellStyle="Percent">
      <calculatedColumnFormula>IFERROR(T2/(24*N2),"")</calculatedColumnFormula>
    </tableColumn>
    <tableColumn id="37" xr3:uid="{29786BB7-0C3D-4FE8-8AC2-8844304AB764}" name="Bugt CUF (%) MTD" dataDxfId="141" dataCellStyle="Percent">
      <calculatedColumnFormula>IFERROR(U2/(24*N2*Q2),"")</calculatedColumnFormula>
    </tableColumn>
    <tableColumn id="36" xr3:uid="{468E0A2C-DD21-48DC-9E6F-079329174AE0}" name="Bugt CUF (%)YTD" dataDxfId="140" dataCellStyle="Percent">
      <calculatedColumnFormula>IFERROR(V2/(24*N2*SUMIFS($Q:$Q,$F:$F,$F2,$D:$D,"&lt;="&amp;D2)),"")</calculatedColumnFormula>
    </tableColumn>
    <tableColumn id="21" xr3:uid="{1C626EC1-BD1E-466E-A7DE-A7024C36A2BD}" name="Ave. Cap MTD" dataDxfId="139">
      <calculatedColumnFormula>IFERROR(AVERAGEIF('Daily KPI'!D:D,Table14[[#This Row],[Month]],'Daily KPI'!AB:AB),"")</calculatedColumnFormula>
    </tableColumn>
    <tableColumn id="29" xr3:uid="{9DB5FA5A-CFBA-4E9F-9391-745AB2029D93}" name="Ave. Cap YTD" dataDxfId="138">
      <calculatedColumnFormula>IFERROR(AVERAGEIF($F$2:F2,F2,$Z$2:Z2),"")</calculatedColumnFormula>
    </tableColumn>
    <tableColumn id="22" xr3:uid="{C4F7D6F8-81AC-46DF-B3DD-CA545D757096}" name="CC Energy MTD" dataDxfId="137"/>
    <tableColumn id="31" xr3:uid="{94683812-9761-4404-80FC-8264E9B49726}" name="WS MTD" dataDxfId="136"/>
    <tableColumn id="23" xr3:uid="{96B0CB3F-D1BB-4636-B424-847ADE427B13}" name="WS YTD" dataDxfId="135">
      <calculatedColumnFormula>AVERAGEIF($F$2:F2,F2,$AC$2:AC2)</calculatedColumnFormula>
    </tableColumn>
    <tableColumn id="24" xr3:uid="{72D0EEE5-75DB-4D96-9E27-FE2815765996}" name="Bugt PA" dataDxfId="134" dataCellStyle="Percent 43">
      <calculatedColumnFormula>IFERROR(AH2*AI2,"")</calculatedColumnFormula>
    </tableColumn>
    <tableColumn id="25" xr3:uid="{75139D73-ACC8-4980-A26E-5023674A2EA5}" name="Bugt EGA" dataDxfId="133" dataCellStyle="Percent 43"/>
    <tableColumn id="35" xr3:uid="{9391FCF3-B060-4BB6-A10E-FD9A351D153E}" name="Bugt TA" dataDxfId="132" dataCellStyle="Percent"/>
    <tableColumn id="26" xr3:uid="{8B5AE488-62F8-4F64-B74B-424DFCDD8576}" name="Bugt MA" dataDxfId="131" dataCellStyle="Percent"/>
    <tableColumn id="30" xr3:uid="{855EB78D-1C9F-419C-993A-1B7C9DA78F90}" name="Bugt IGA" dataDxfId="130" dataCellStyle="Percent"/>
    <tableColumn id="32" xr3:uid="{649BEC9A-0822-4AE7-BE4C-6B281BD95D9A}" name="Corelation" dataDxfId="129" dataCellStyle="Percent"/>
    <tableColumn id="33" xr3:uid="{FFB69321-1883-433A-9307-4552563D9C42}" name="Bugt Line loss" dataDxfId="128" dataCellStyle="Percent"/>
    <tableColumn id="34" xr3:uid="{29B1EF0B-AF67-46A7-BF21-8C633732C368}" name="Bugt Reactive Power" dataDxfId="127" dataCellStyle="Percent"/>
    <tableColumn id="39" xr3:uid="{6532083B-4EEB-4D84-BFBA-C41587DCA37E}" name="Bugt Capacity" dataDxfId="126" dataCellStyle="Percent"/>
    <tableColumn id="40" xr3:uid="{AE8FF153-DF1D-4118-B552-696C5B6B5E80}" name="CC*Bugt" dataDxfId="125"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17" totalsRowShown="0" headerRowDxfId="123" dataDxfId="122" headerRowBorderDxfId="120" tableBorderDxfId="121" totalsRowBorderDxfId="119">
  <autoFilter ref="A1:AD1017" xr:uid="{879148F4-DD31-463B-B329-D39511C47ACA}"/>
  <tableColumns count="30">
    <tableColumn id="1" xr3:uid="{672251FB-E3C8-4D91-9D48-7E4C04ABE150}" name="Sr. No." dataDxfId="118"/>
    <tableColumn id="2" xr3:uid="{A5AC2E50-E7DE-4566-B60C-55E1EAD2B506}" name="Financial Year" dataDxfId="117">
      <calculatedColumnFormula>YEAR(Table6[[#This Row],[Date]])+IF(MONTH(Table6[[#This Row],[Date]])&gt;=4,1,0)</calculatedColumnFormula>
    </tableColumn>
    <tableColumn id="3" xr3:uid="{FDEDB7C9-B1E4-47C4-9B65-E18FA9B8B585}" name="Calendar Year" dataDxfId="116">
      <calculatedColumnFormula>YEAR(Table6[[#This Row],[Date]])</calculatedColumnFormula>
    </tableColumn>
    <tableColumn id="4" xr3:uid="{F411C3F7-3E1E-48FE-A4D0-CB9A4B631A49}" name="Operating Year" dataDxfId="115"/>
    <tableColumn id="5" xr3:uid="{BA480E83-5310-4537-B43D-CE0CBE2B5959}" name="Month" dataDxfId="114">
      <calculatedColumnFormula>Table6[[#This Row],[Date]]-DAY(Table6[[#This Row],[Date]])+1</calculatedColumnFormula>
    </tableColumn>
    <tableColumn id="6" xr3:uid="{8357E04F-BE5A-4B1A-9D39-725AA9036976}" name="Date" dataDxfId="113"/>
    <tableColumn id="7" xr3:uid="{9EE6D10A-D17E-4EC7-8884-68904786A32C}" name="Affected WTG" dataDxfId="112" dataCellStyle="Normal 27"/>
    <tableColumn id="8" xr3:uid="{9C7EC7A5-1EBF-4719-AFB4-FF8A6488255C}" name="SPV" dataDxfId="111"/>
    <tableColumn id="9" xr3:uid="{B4B7C51B-8637-4B3F-8E5D-30F8CE1BC836}" name="Consumer" dataDxfId="110"/>
    <tableColumn id="10" xr3:uid="{B7DB5D3E-3944-441F-B32E-913496AAEA1F}" name="Plant Equivalent Weightage" dataDxfId="109" dataCellStyle="Percent">
      <calculatedColumnFormula>IFERROR(VLOOKUP(Table6[[#This Row],[Affected WTG]],'Basic Data'!$A$3:$E$56,5,0),"")</calculatedColumnFormula>
    </tableColumn>
    <tableColumn id="11" xr3:uid="{B81DA037-20FB-4EAE-A3A4-38B17FC2D249}" name="Error Code" dataDxfId="108"/>
    <tableColumn id="12" xr3:uid="{0DA5A392-B53E-4DBB-9C75-FAA8AE17C2BF}" name="Error Text" dataDxfId="107" dataCellStyle="Normal 27">
      <calculatedColumnFormula>IFERROR(VLOOKUP(Table6[[#This Row],[Error Code]],'Basic Data'!$T:$U,2,0),"")</calculatedColumnFormula>
    </tableColumn>
    <tableColumn id="13" xr3:uid="{E789E2AA-C10A-4369-8DFA-5C51F51A2968}" name="Breakdown Description" dataDxfId="106"/>
    <tableColumn id="14" xr3:uid="{3F7D8F6F-B4DA-4DE2-93E3-B71D58DF742B}" name="Stoppage Type" dataDxfId="105"/>
    <tableColumn id="15" xr3:uid="{0FF8995A-CA13-4C21-9CE0-57790F086EFB}" name="Fault Start TimeStamp" dataDxfId="104"/>
    <tableColumn id="16" xr3:uid="{BDE50137-11E0-4665-8C87-CB24F9D2641A}" name="Work Start TimeStamp" dataDxfId="103"/>
    <tableColumn id="17" xr3:uid="{8F2290EF-0A49-437A-B75A-F622BBE23F6A}" name="Fault Clearance time" dataDxfId="102"/>
    <tableColumn id="18" xr3:uid="{A2064A0B-34AB-4F98-8CBC-5E244CB1EAD5}" name="Response Time" dataDxfId="101">
      <calculatedColumnFormula>IF(Table6[[#This Row],[Work Start TimeStamp]]="","",(Table6[[#This Row],[Work Start TimeStamp]]-Table6[[#This Row],[Fault Start TimeStamp]])*24)</calculatedColumnFormula>
    </tableColumn>
    <tableColumn id="19" xr3:uid="{1BB0E81E-66F4-4DE2-B535-17CF4C07ECB3}" name="Resolution Time" dataDxfId="100">
      <calculatedColumnFormula>(Table6[[#This Row],[Fault Clearance time]]-Table6[[#This Row],[Work Start TimeStamp]])*24</calculatedColumnFormula>
    </tableColumn>
    <tableColumn id="20" xr3:uid="{0844A323-5674-463D-8F8B-CDBD5A2DE5DB}" name="Breakdown Time" dataDxfId="99">
      <calculatedColumnFormula>(Table6[[#This Row],[Fault Clearance time]]-Table6[[#This Row],[Fault Start TimeStamp]])*24</calculatedColumnFormula>
    </tableColumn>
    <tableColumn id="21" xr3:uid="{68736AE1-45BB-4E78-9261-9E77B3C9DEE2}" name="Action taken" dataDxfId="98"/>
    <tableColumn id="22" xr3:uid="{FED2CA56-6403-4E90-913F-7ADB7D3BAD4F}" name="Status" dataDxfId="97"/>
    <tableColumn id="23" xr3:uid="{8EDCC9E1-836A-4C17-AE57-FE9006819359}" name="Plant Equivalent breakdown" dataDxfId="96" dataCellStyle="Comma">
      <calculatedColumnFormula>Table6[[#This Row],[Breakdown Time]]*(1/39)</calculatedColumnFormula>
    </tableColumn>
    <tableColumn id="24" xr3:uid="{1042C825-DF24-409C-8041-4B8D2440C767}" name="Fault Category" dataDxfId="95" dataCellStyle="Comma"/>
    <tableColumn id="25" xr3:uid="{903BF7A4-F983-44B4-9AF0-69CDB0C55C4F}" name="Paired WTG for Enegy based MA" dataDxfId="94"/>
    <tableColumn id="27" xr3:uid="{47C4DDAA-A89A-4C4A-AB09-B899337E2ABF}" name="Paired WTG Generation for loss calculation" dataDxfId="93"/>
    <tableColumn id="28" xr3:uid="{DAAA9998-F36D-4559-9640-6F4046E06DF9}" name="Estimated Energy Loss (kWh)" dataDxfId="92"/>
    <tableColumn id="29" xr3:uid="{7A4CAC37-554B-4754-9FF8-895A0FE71B11}" name="Special Remarks" dataDxfId="91"/>
    <tableColumn id="30" xr3:uid="{98015B0C-D7A7-4503-8993-B6B38FEECF92}" name="PTW No." dataDxfId="90"/>
    <tableColumn id="31" xr3:uid="{8AEDA088-9472-4C6C-B52E-8A06FFAD30D4}" name="Job Card No." dataDxfId="89"/>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57" totalsRowShown="0" headerRowDxfId="88" headerRowCellStyle="Normal 26">
  <autoFilter ref="A1:Y57" xr:uid="{29D164D4-AB81-40AE-84F9-DBA1578E211B}"/>
  <tableColumns count="25">
    <tableColumn id="1" xr3:uid="{84690491-DD2E-4937-87E1-1BB57ABA076E}" name="Sr. No." dataDxfId="87"/>
    <tableColumn id="2" xr3:uid="{14289472-B5A2-40B5-A0E0-E3D7A9D4F37F}" name="Financial Year">
      <calculatedColumnFormula>YEAR(Table8[[#This Row],[Date]])+IF(MONTH(Table8[[#This Row],[Date]])&gt;=4,1,0)</calculatedColumnFormula>
    </tableColumn>
    <tableColumn id="3" xr3:uid="{1902E4E8-8CDA-4549-8ECC-78579AAE0F68}" name="Calendar Year" dataDxfId="86">
      <calculatedColumnFormula>YEAR(Table6[[#This Row],[Date]])</calculatedColumnFormula>
    </tableColumn>
    <tableColumn id="4" xr3:uid="{053DDDBC-0450-4101-B468-BA0833C74587}" name="Operating Year" dataDxfId="85"/>
    <tableColumn id="5" xr3:uid="{C84CD6F6-0AF0-4E4A-A8AC-DCD8C7AC0542}" name="Month" dataDxfId="84">
      <calculatedColumnFormula>Table8[[#This Row],[Date]]-DAY(Table8[[#This Row],[Date]])+1</calculatedColumnFormula>
    </tableColumn>
    <tableColumn id="6" xr3:uid="{FD85E228-AEF5-48C3-8AD2-E290E907F50C}" name="Date" dataDxfId="83"/>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2"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1"/>
    <tableColumn id="13" xr3:uid="{CD4363C9-E2F1-4CFB-8CEF-F12EF817169F}" name="Work Start TimeStamp" dataDxfId="80"/>
    <tableColumn id="14" xr3:uid="{E0111BDF-EC48-45EC-9625-B871189918EE}" name="Fault Clearance time" dataDxfId="79"/>
    <tableColumn id="15" xr3:uid="{06301D1A-565B-46CB-BD85-5A5487FE602A}" name="Response Time" dataDxfId="78">
      <calculatedColumnFormula>(Table8[[#This Row],[Work Start TimeStamp]]-Table8[[#This Row],[Fault Start TimeStamp]])*24</calculatedColumnFormula>
    </tableColumn>
    <tableColumn id="16" xr3:uid="{DB4EAD56-C756-43F6-A905-95AE61E6E717}" name="Resolution Time" dataDxfId="77">
      <calculatedColumnFormula>IF(Table8[[#This Row],[Work Start TimeStamp]]="","",(Table8[[#This Row],[Fault Clearance time]]-Table8[[#This Row],[Work Start TimeStamp]])*24)</calculatedColumnFormula>
    </tableColumn>
    <tableColumn id="17" xr3:uid="{9CADFEBD-89F7-462C-8B46-BC1CFB542788}" name="Breakdown Time" dataDxfId="76">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5">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4"/>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3">
  <autoFilter ref="A1:AB2" xr:uid="{90134358-5F20-4F67-AF49-165686D2115A}"/>
  <tableColumns count="28">
    <tableColumn id="1" xr3:uid="{97B99004-6E80-4D40-A2C4-BA9C1A88B16A}" name="Sr. No." dataDxfId="72"/>
    <tableColumn id="2" xr3:uid="{55272701-0D89-40A7-8F9A-9DFD689003CE}" name="Financial Year" dataDxfId="71">
      <calculatedColumnFormula>YEAR(Table9[[#This Row],[Date]])+IF(MONTH(Table9[[#This Row],[Date]])&gt;=4,1,0)</calculatedColumnFormula>
    </tableColumn>
    <tableColumn id="3" xr3:uid="{0E281796-55E0-41ED-986E-FF03798B5B2B}" name="Calendar Year" dataDxfId="70"/>
    <tableColumn id="4" xr3:uid="{D65AFC25-2705-4317-88D7-E064C62D3731}" name="Operating Year" dataDxfId="69"/>
    <tableColumn id="5" xr3:uid="{789C034F-A404-4527-BFBB-E078C26D333C}" name="Month" dataDxfId="68">
      <calculatedColumnFormula>Table9[[#This Row],[Date]]-DAY(Table9[[#This Row],[Date]])+1</calculatedColumnFormula>
    </tableColumn>
    <tableColumn id="6" xr3:uid="{C8851158-D404-43F7-9F0B-B5FBEBAFF593}" name="Date" dataDxfId="67"/>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6"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5"/>
    <tableColumn id="14" xr3:uid="{E7BA7DBB-9578-46F0-9A6D-2D11977222D6}" name="Work Start TimeStamp" dataDxfId="64"/>
    <tableColumn id="15" xr3:uid="{8C9F8DA6-7EA0-40D4-AE86-C616B6D54E5B}" name="Fault Clearance time" dataDxfId="63"/>
    <tableColumn id="16" xr3:uid="{56C39CC2-7535-4E88-931D-E4A17FD3DC78}" name="Response Time" dataDxfId="62">
      <calculatedColumnFormula>(Table9[[#This Row],[Work Start TimeStamp]]-Table9[[#This Row],[Fault Start TimeStamp]])*24</calculatedColumnFormula>
    </tableColumn>
    <tableColumn id="17" xr3:uid="{7BA3B28E-9814-4F07-B080-7ACFAE548A24}" name="Resolution Time" dataDxfId="61">
      <calculatedColumnFormula>IF(Table9[[#This Row],[Work Start TimeStamp]]="","",(Table9[[#This Row],[Fault Clearance time]]-Table9[[#This Row],[Work Start TimeStamp]])*24)</calculatedColumnFormula>
    </tableColumn>
    <tableColumn id="18" xr3:uid="{3CA0C704-BC47-4449-B0EB-6D020C15071C}" name="Breakdown Time" dataDxfId="60">
      <calculatedColumnFormula>(Table9[[#This Row],[Fault Clearance time]]-Table9[[#This Row],[Fault Start TimeStamp]])*24</calculatedColumnFormula>
    </tableColumn>
    <tableColumn id="19" xr3:uid="{B6727A3C-8B4D-4DAA-B58C-3AAB217B84E6}" name="Action taken" dataDxfId="59"/>
    <tableColumn id="20" xr3:uid="{FD208E69-290B-4AE9-9DCE-BDF6962C3016}" name="Status" dataDxfId="58"/>
    <tableColumn id="21" xr3:uid="{9FA3F576-B1F1-4FCD-B3F2-870587C4FB72}" name="Plant Equivalent breakdown" dataDxfId="57" dataCellStyle="Comma">
      <calculatedColumnFormula>IFERROR(Table9[[#This Row],[Breakdown Time]]*Table9[[#This Row],[Plant Equivalent Weightage]],"")</calculatedColumnFormula>
    </tableColumn>
    <tableColumn id="22" xr3:uid="{2C4C3D72-3E0B-4876-9712-069F0CE2A461}" name="Fault Category" dataDxfId="56" dataCellStyle="Comma"/>
    <tableColumn id="28" xr3:uid="{DA0B21CD-7321-458A-AD57-D0A367038769}" name="Paired WTG for Enegy based MA" dataDxfId="55"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4">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2" dataDxfId="51" headerRowBorderDxfId="49" tableBorderDxfId="50" totalsRowBorderDxfId="48" headerRowCellStyle="Normal 26 41">
  <tableColumns count="45">
    <tableColumn id="1" xr3:uid="{DC219965-73B9-4F7C-915E-2446A96D6C48}" name="Date" dataDxfId="47"/>
    <tableColumn id="2" xr3:uid="{E9D3CD44-3CB2-4F3F-A952-3DBCE5BAA736}" name="Financial Year" dataDxfId="46">
      <calculatedColumnFormula>YEAR(Table7[[#This Row],[Date]])+IF(MONTH(Table7[[#This Row],[Date]])&gt;=4,1,0)</calculatedColumnFormula>
    </tableColumn>
    <tableColumn id="3" xr3:uid="{E369CB7D-29DA-4BE5-BB5C-36C0186036DD}" name="Calendar Year" dataDxfId="45">
      <calculatedColumnFormula>YEAR(Table7[[#This Row],[Date]])</calculatedColumnFormula>
    </tableColumn>
    <tableColumn id="4" xr3:uid="{017512A1-1218-4A45-A171-E61F41146B17}" name="Month Year" dataDxfId="44">
      <calculatedColumnFormula>A3-DAY(A3)+1</calculatedColumnFormula>
    </tableColumn>
    <tableColumn id="5" xr3:uid="{1BE74533-1857-4977-88D5-6532EBABC10F}" name="G01" dataDxfId="43"/>
    <tableColumn id="6" xr3:uid="{EBC5786F-F5DA-440C-A7EA-62F87472F5E7}" name="G02" dataDxfId="42"/>
    <tableColumn id="7" xr3:uid="{2D4F55E8-5F40-43D0-888A-B0EEED04F007}" name="G03" dataDxfId="41"/>
    <tableColumn id="8" xr3:uid="{C3B9D759-2EA4-4D89-8A4E-1CD11080A6DD}" name="G04" dataDxfId="40"/>
    <tableColumn id="9" xr3:uid="{7E457302-5D3B-4DBA-B194-7DE89E5B45A0}" name="G05" dataDxfId="39"/>
    <tableColumn id="10" xr3:uid="{A345136C-EA13-4EB6-962A-3466A4EFE7BE}" name="G06" dataDxfId="38"/>
    <tableColumn id="11" xr3:uid="{1E2F5408-DBEC-4CBF-9895-DB95C09FC136}" name="G07" dataDxfId="37"/>
    <tableColumn id="12" xr3:uid="{8988E71D-12FC-4967-A6BD-D90A6BBA1497}" name="G08" dataDxfId="36"/>
    <tableColumn id="13" xr3:uid="{4F2462D8-FF4F-4AE8-BBFE-5A649C0666AD}" name="G09" dataDxfId="35"/>
    <tableColumn id="14" xr3:uid="{70780244-BB33-49BB-9B8E-304BB4BBD25D}" name="G10" dataDxfId="34"/>
    <tableColumn id="15" xr3:uid="{34686208-9572-4E0D-8D23-916134F3F887}" name="G11" dataDxfId="33"/>
    <tableColumn id="16" xr3:uid="{7817F84A-4856-4AC2-BD04-2BECF8A11345}" name="G12" dataDxfId="32"/>
    <tableColumn id="17" xr3:uid="{4A4181FC-C8A1-4E8E-84F9-CAB842204A81}" name="G13" dataDxfId="31"/>
    <tableColumn id="18" xr3:uid="{E920AEB6-6179-42B6-8DD8-E49BD12AE0E5}" name="G14" dataDxfId="30"/>
    <tableColumn id="19" xr3:uid="{5598AE94-480D-442B-B378-539C711CD97C}" name="G15" dataDxfId="29"/>
    <tableColumn id="20" xr3:uid="{C1916A31-3F74-427D-8DE2-A7E25C0D96DB}" name="G16" dataDxfId="28"/>
    <tableColumn id="21" xr3:uid="{B9446923-E0EF-421E-84C0-58E9ED9DF29B}" name="G17" dataDxfId="27"/>
    <tableColumn id="22" xr3:uid="{95EDC25E-168C-4844-84EB-49A5E26FFCB7}" name="G18" dataDxfId="26"/>
    <tableColumn id="23" xr3:uid="{471023B4-A2D1-4664-A7C0-7398CBA15CC0}" name="G19" dataDxfId="25"/>
    <tableColumn id="24" xr3:uid="{A9FA4ED6-B019-4BA7-9E21-5AC34EEE0BA9}" name="G20" dataDxfId="24"/>
    <tableColumn id="25" xr3:uid="{94D783AD-24B5-4213-BF4B-148168F6AB04}" name="G21" dataDxfId="23"/>
    <tableColumn id="26" xr3:uid="{98843B16-E3BC-4CAC-B49D-B4F3D9432FB5}" name="G22" dataDxfId="22"/>
    <tableColumn id="27" xr3:uid="{D6AE3C3B-6BB7-4C93-B69C-94E01B4DBF9F}" name="G23" dataDxfId="21"/>
    <tableColumn id="29" xr3:uid="{D8E7F86B-3F2D-46CA-A137-CF7D10B56731}" name="G25" dataDxfId="20"/>
    <tableColumn id="30" xr3:uid="{4850E404-43E8-47DE-B29C-BD9CEC45D481}" name="G26" dataDxfId="19"/>
    <tableColumn id="31" xr3:uid="{3CDC62D9-B2E6-4255-9F3D-3E6EE8A01CFE}" name="G27" dataDxfId="18"/>
    <tableColumn id="32" xr3:uid="{D2F27884-2A8A-46A6-ACF0-4D2EEB014D1D}" name="G28" dataDxfId="17"/>
    <tableColumn id="33" xr3:uid="{B181092D-8262-476C-AA74-4303075A05FC}" name="G29" dataDxfId="16"/>
    <tableColumn id="34" xr3:uid="{AF30CA2B-24E7-451A-B2E4-33E3EFB20FC0}" name="G30" dataDxfId="15"/>
    <tableColumn id="35" xr3:uid="{69EF0A3E-4BED-4C8A-B8A8-2549669B009A}" name="G31" dataDxfId="14"/>
    <tableColumn id="36" xr3:uid="{0DC9A21D-9EC4-4743-BDD4-12605D90506F}" name="G32" dataDxfId="13"/>
    <tableColumn id="37" xr3:uid="{E3284188-8FBD-4023-97F3-F4A005BB4F4F}" name="G33" dataDxfId="12"/>
    <tableColumn id="38" xr3:uid="{9BCDAAA5-E16E-40A3-B1AC-A522B31D8830}" name="G34" dataDxfId="11"/>
    <tableColumn id="39" xr3:uid="{06AB873F-DAE9-423C-9A55-DE41E9515446}" name="G35" dataDxfId="10"/>
    <tableColumn id="40" xr3:uid="{BA880A4E-72D3-4C44-BB36-F75A9E8109BB}" name="G36" dataDxfId="9"/>
    <tableColumn id="41" xr3:uid="{E2C3F5BA-769F-4526-BDB4-618FC1D57A1E}" name="G37" dataDxfId="8"/>
    <tableColumn id="42" xr3:uid="{1BAE7550-6A34-4524-BD33-245541878E4D}" name="G38" dataDxfId="7"/>
    <tableColumn id="43" xr3:uid="{427E24E4-909A-4183-8D54-85D38B32E987}" name="G39" dataDxfId="6"/>
    <tableColumn id="44" xr3:uid="{9E8D1ACE-6C6F-4E5E-B583-2B85B8F74C43}" name="G40" dataDxfId="5"/>
    <tableColumn id="51" xr3:uid="{0BE913FF-FF72-490E-A5E1-053703C379F7}" name="Total Reactive Power (kVArh)" dataDxfId="4">
      <calculatedColumnFormula>SUM(E3:AQ3)</calculatedColumnFormula>
    </tableColumn>
    <tableColumn id="45" xr3:uid="{158C240E-B77B-4528-B67D-7DC21D730F4F}" name="Column1" dataDxfId="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185" totalsRowShown="0" headerRowDxfId="2">
  <autoFilter ref="A2:G185" xr:uid="{00000000-0009-0000-0100-000007000000}"/>
  <tableColumns count="7">
    <tableColumn id="1" xr3:uid="{00000000-0010-0000-0500-000001000000}" name="Sr. No." dataDxfId="1"/>
    <tableColumn id="2" xr3:uid="{00000000-0010-0000-0500-000002000000}" name="Date" dataDxfId="0"/>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opLeftCell="A2" zoomScale="90" zoomScaleNormal="90" workbookViewId="0">
      <selection activeCell="B11" sqref="B11"/>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389" t="s">
        <v>0</v>
      </c>
      <c r="B2" s="390"/>
      <c r="C2" s="390"/>
      <c r="D2" s="390"/>
      <c r="E2" s="390"/>
      <c r="F2" s="391"/>
    </row>
    <row r="3" spans="1:18">
      <c r="A3" s="45" t="s">
        <v>1</v>
      </c>
      <c r="B3" s="162">
        <v>45839</v>
      </c>
      <c r="C3" s="47"/>
      <c r="D3" s="47"/>
      <c r="E3" s="47"/>
      <c r="F3" s="48"/>
    </row>
    <row r="4" spans="1:18">
      <c r="A4" s="45" t="s">
        <v>2</v>
      </c>
      <c r="B4" s="163">
        <v>45857</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86">
        <v>1</v>
      </c>
      <c r="B10" s="61" t="s">
        <v>13</v>
      </c>
      <c r="C10" s="62">
        <f>_xlfn.XLOOKUP($B$4,'Daily KPI'!$A:$A,'Daily KPI'!$AD:$AD)/1000</f>
        <v>585.79781940673683</v>
      </c>
      <c r="D10" s="63">
        <f>_xlfn.XLOOKUP($B$4,'Daily KPI'!$A:$A,'Daily KPI'!$AA:$AA)/1000</f>
        <v>156</v>
      </c>
      <c r="E10" s="64">
        <f>D10/C10-1</f>
        <v>-0.73369651638855871</v>
      </c>
      <c r="F10" s="164"/>
    </row>
    <row r="11" spans="1:18">
      <c r="A11" s="387"/>
      <c r="B11" s="65" t="s">
        <v>14</v>
      </c>
      <c r="C11" s="66">
        <f>MonthlyKPI!E4</f>
        <v>11130.158568728</v>
      </c>
      <c r="D11" s="67">
        <f>MonthlyKPI!F4</f>
        <v>9487.2000000000007</v>
      </c>
      <c r="E11" s="68">
        <f>D11/C11-1</f>
        <v>-0.14761322209228533</v>
      </c>
      <c r="F11" s="165"/>
    </row>
    <row r="12" spans="1:18" ht="15.75" thickBot="1">
      <c r="A12" s="388"/>
      <c r="B12" s="69" t="s">
        <v>15</v>
      </c>
      <c r="C12" s="70">
        <f>AnnualKPI!E4</f>
        <v>53705.113182674904</v>
      </c>
      <c r="D12" s="71">
        <f>AnnualKPI!F4</f>
        <v>48606</v>
      </c>
      <c r="E12" s="72">
        <f>D12/C12-1</f>
        <v>-9.4946512175303699E-2</v>
      </c>
      <c r="F12" s="166"/>
    </row>
    <row r="13" spans="1:18">
      <c r="A13" s="386">
        <v>2</v>
      </c>
      <c r="B13" s="61" t="s">
        <v>16</v>
      </c>
      <c r="C13" s="73">
        <f>_xlfn.XLOOKUP($B$3,'Modelling New'!$D:$D,'Modelling New'!AC:AC)</f>
        <v>7.1310648756787653</v>
      </c>
      <c r="D13" s="74">
        <f>_xlfn.XLOOKUP($B$4,'Daily KPI'!$A:$A,'Daily KPI'!M:M)</f>
        <v>2.9906115795012349</v>
      </c>
      <c r="E13" s="64">
        <f t="shared" ref="E13:E39" si="0">(D13-C13)/(C13)</f>
        <v>-0.58062202046414901</v>
      </c>
      <c r="F13" s="164"/>
    </row>
    <row r="14" spans="1:18">
      <c r="A14" s="387"/>
      <c r="B14" s="65" t="s">
        <v>17</v>
      </c>
      <c r="C14" s="75">
        <f>MonthlyKPI!C4</f>
        <v>7.1310648756787653</v>
      </c>
      <c r="D14" s="76">
        <f>MonthlyKPI!D4</f>
        <v>5.0300105031515772</v>
      </c>
      <c r="E14" s="68">
        <f t="shared" si="0"/>
        <v>-0.29463402859971888</v>
      </c>
      <c r="F14" s="165"/>
    </row>
    <row r="15" spans="1:18" ht="15.75" thickBot="1">
      <c r="A15" s="388"/>
      <c r="B15" s="69" t="s">
        <v>18</v>
      </c>
      <c r="C15" s="77">
        <f>AnnualKPI!C4</f>
        <v>6.2836120320091453</v>
      </c>
      <c r="D15" s="78">
        <f>AnnualKPI!D4</f>
        <v>5.1018363666863227</v>
      </c>
      <c r="E15" s="72">
        <f t="shared" si="0"/>
        <v>-0.18807266573791911</v>
      </c>
      <c r="F15" s="166"/>
    </row>
    <row r="16" spans="1:18">
      <c r="A16" s="386">
        <v>3</v>
      </c>
      <c r="B16" s="61" t="s">
        <v>19</v>
      </c>
      <c r="C16" s="79">
        <f>_xlfn.XLOOKUP($B$3,'Modelling New'!$D:$D,'Modelling New'!$AE:$AE)</f>
        <v>0.96029999999999993</v>
      </c>
      <c r="D16" s="79">
        <f>_xlfn.XLOOKUP($B$4,'Daily KPI'!$A:$A,'Daily KPI'!$O:$O)</f>
        <v>0.94333768959134523</v>
      </c>
      <c r="E16" s="64">
        <f t="shared" si="0"/>
        <v>-1.7663553481885561E-2</v>
      </c>
      <c r="F16" s="170"/>
    </row>
    <row r="17" spans="1:6">
      <c r="A17" s="387"/>
      <c r="B17" s="65" t="s">
        <v>20</v>
      </c>
      <c r="C17" s="80">
        <f>_xlfn.XLOOKUP($B$3,'Modelling New'!$D:$D,'Modelling New'!$AE:$AE)</f>
        <v>0.96029999999999993</v>
      </c>
      <c r="D17" s="80">
        <f>MonthlyKPI!$P$4</f>
        <v>0.91828080871288731</v>
      </c>
      <c r="E17" s="68">
        <f t="shared" si="0"/>
        <v>-4.3756317074989719E-2</v>
      </c>
      <c r="F17" s="170"/>
    </row>
    <row r="18" spans="1:6" ht="15.75" thickBot="1">
      <c r="A18" s="388"/>
      <c r="B18" s="69" t="s">
        <v>21</v>
      </c>
      <c r="C18" s="81">
        <f>_xlfn.XLOOKUP($B$3,'Modelling New'!$D:$D,'Modelling New'!$AE:$AE)</f>
        <v>0.96029999999999993</v>
      </c>
      <c r="D18" s="81">
        <f>AnnualKPI!$P$4</f>
        <v>0.91969861894301963</v>
      </c>
      <c r="E18" s="72">
        <f t="shared" si="0"/>
        <v>-4.2279892801187449E-2</v>
      </c>
      <c r="F18" s="170"/>
    </row>
    <row r="19" spans="1:6">
      <c r="A19" s="386">
        <v>4</v>
      </c>
      <c r="B19" s="61" t="s">
        <v>22</v>
      </c>
      <c r="C19" s="79">
        <f>_xlfn.XLOOKUP($B$3,'Modelling New'!$D:$D,'Modelling New'!$AH:$AH)</f>
        <v>0.97</v>
      </c>
      <c r="D19" s="79">
        <f>_xlfn.XLOOKUP($B$4,'Daily KPI'!$A:$A,'Daily KPI'!$P:$P)</f>
        <v>0.94333768959134523</v>
      </c>
      <c r="E19" s="64">
        <f t="shared" si="0"/>
        <v>-2.7486917947066748E-2</v>
      </c>
      <c r="F19" s="164"/>
    </row>
    <row r="20" spans="1:6">
      <c r="A20" s="387"/>
      <c r="B20" s="65" t="s">
        <v>23</v>
      </c>
      <c r="C20" s="80">
        <f>_xlfn.XLOOKUP($B$3,'Modelling New'!$D:$D,'Modelling New'!$AH:$AH)</f>
        <v>0.97</v>
      </c>
      <c r="D20" s="80">
        <f>MonthlyKPI!L4</f>
        <v>0.92029429430246246</v>
      </c>
      <c r="E20" s="68">
        <f t="shared" si="0"/>
        <v>-5.124299556447167E-2</v>
      </c>
      <c r="F20" s="165"/>
    </row>
    <row r="21" spans="1:6" ht="15.75" thickBot="1">
      <c r="A21" s="388"/>
      <c r="B21" s="69" t="s">
        <v>24</v>
      </c>
      <c r="C21" s="81">
        <f>_xlfn.XLOOKUP($B$3,'Modelling New'!$D:$D,'Modelling New'!$AH:$AH)</f>
        <v>0.97</v>
      </c>
      <c r="D21" s="81">
        <f>AnnualKPI!L4</f>
        <v>0.92498015224333219</v>
      </c>
      <c r="E21" s="72">
        <f t="shared" si="0"/>
        <v>-4.641221418213174E-2</v>
      </c>
      <c r="F21" s="166"/>
    </row>
    <row r="22" spans="1:6">
      <c r="A22" s="386">
        <v>5</v>
      </c>
      <c r="B22" s="61" t="s">
        <v>25</v>
      </c>
      <c r="C22" s="79">
        <f>_xlfn.XLOOKUP($B$3,'Modelling New'!$D:$D,'Modelling New'!$AF:$AF)</f>
        <v>0.995</v>
      </c>
      <c r="D22" s="79">
        <f>_xlfn.XLOOKUP($B$4,'Daily KPI'!$A:$A,'Daily KPI'!$R:$R)</f>
        <v>1</v>
      </c>
      <c r="E22" s="64">
        <f t="shared" si="0"/>
        <v>5.0251256281407079E-3</v>
      </c>
      <c r="F22" s="164"/>
    </row>
    <row r="23" spans="1:6">
      <c r="A23" s="387"/>
      <c r="B23" s="65" t="s">
        <v>26</v>
      </c>
      <c r="C23" s="80">
        <f>_xlfn.XLOOKUP($B$3,'Modelling New'!$D:$D,'Modelling New'!$AF:$AF)</f>
        <v>0.995</v>
      </c>
      <c r="D23" s="80">
        <f>MonthlyKPI!J4</f>
        <v>1</v>
      </c>
      <c r="E23" s="68">
        <f t="shared" si="0"/>
        <v>5.0251256281407079E-3</v>
      </c>
      <c r="F23" s="165"/>
    </row>
    <row r="24" spans="1:6" ht="15.75" thickBot="1">
      <c r="A24" s="388"/>
      <c r="B24" s="69" t="s">
        <v>27</v>
      </c>
      <c r="C24" s="81">
        <f>_xlfn.XLOOKUP($B$3,'Modelling New'!$D:$D,'Modelling New'!$AF:$AF)</f>
        <v>0.995</v>
      </c>
      <c r="D24" s="81">
        <f>AnnualKPI!J4</f>
        <v>1</v>
      </c>
      <c r="E24" s="72">
        <f t="shared" si="0"/>
        <v>5.0251256281407079E-3</v>
      </c>
      <c r="F24" s="166"/>
    </row>
    <row r="25" spans="1:6">
      <c r="A25" s="386">
        <v>6</v>
      </c>
      <c r="B25" s="61" t="s">
        <v>28</v>
      </c>
      <c r="C25" s="79">
        <f>_xlfn.XLOOKUP($B$3,'Modelling New'!$D:$D,'Modelling New'!$AI:$AI)</f>
        <v>0.99</v>
      </c>
      <c r="D25" s="79">
        <f>_xlfn.XLOOKUP($B$4,'Daily KPI'!$A:$A,'Daily KPI'!$Q:$Q)</f>
        <v>1</v>
      </c>
      <c r="E25" s="64">
        <f t="shared" si="0"/>
        <v>1.0101010101010111E-2</v>
      </c>
      <c r="F25" s="164"/>
    </row>
    <row r="26" spans="1:6">
      <c r="A26" s="387"/>
      <c r="B26" s="65" t="s">
        <v>29</v>
      </c>
      <c r="C26" s="80">
        <f>_xlfn.XLOOKUP($B$3,'Modelling New'!$D:$D,'Modelling New'!$AI:$AI)</f>
        <v>0.99</v>
      </c>
      <c r="D26" s="80">
        <f>MonthlyKPI!N4</f>
        <v>0.9978121285744781</v>
      </c>
      <c r="E26" s="68">
        <f t="shared" si="0"/>
        <v>7.8910389641192978E-3</v>
      </c>
      <c r="F26" s="165"/>
    </row>
    <row r="27" spans="1:6" ht="15.75" thickBot="1">
      <c r="A27" s="388"/>
      <c r="B27" s="69" t="s">
        <v>30</v>
      </c>
      <c r="C27" s="81">
        <f>_xlfn.XLOOKUP($B$3,'Modelling New'!$D:$D,'Modelling New'!$AI:$AI)</f>
        <v>0.99</v>
      </c>
      <c r="D27" s="81">
        <f>AnnualKPI!N4</f>
        <v>0.9942901117526648</v>
      </c>
      <c r="E27" s="72">
        <f t="shared" si="0"/>
        <v>4.3334462148129343E-3</v>
      </c>
      <c r="F27" s="166"/>
    </row>
    <row r="28" spans="1:6">
      <c r="A28" s="386">
        <v>7</v>
      </c>
      <c r="B28" s="61" t="s">
        <v>31</v>
      </c>
      <c r="C28" s="147">
        <f>IFERROR(_xlfn.XLOOKUP($B$4,'Daily KPI'!$A:$A,'Daily KPI'!$AF:$AF),"")</f>
        <v>0.31292618558052182</v>
      </c>
      <c r="D28" s="79">
        <f>_xlfn.XLOOKUP($B$4,'Daily KPI'!$A:$A,'Daily KPI'!$W:$W)</f>
        <v>8.3333333333333329E-2</v>
      </c>
      <c r="E28" s="64">
        <f>D28/C28-1</f>
        <v>-0.73369651638855871</v>
      </c>
      <c r="F28" s="164"/>
    </row>
    <row r="29" spans="1:6">
      <c r="A29" s="387"/>
      <c r="B29" s="65" t="s">
        <v>32</v>
      </c>
      <c r="C29" s="148">
        <f>MonthlyKPI!$G$4</f>
        <v>0.31292618558052182</v>
      </c>
      <c r="D29" s="80">
        <f>MonthlyKPI!H4</f>
        <v>0.26673414304993254</v>
      </c>
      <c r="E29" s="68">
        <f t="shared" si="0"/>
        <v>-0.14761322209228539</v>
      </c>
      <c r="F29" s="165"/>
    </row>
    <row r="30" spans="1:6" ht="15.75" thickBot="1">
      <c r="A30" s="388"/>
      <c r="B30" s="69" t="s">
        <v>33</v>
      </c>
      <c r="C30" s="149">
        <f>AnnualKPI!$G$4</f>
        <v>0.2608057166990817</v>
      </c>
      <c r="D30" s="81">
        <f>AnnualKPI!H4</f>
        <v>0.23604312354312354</v>
      </c>
      <c r="E30" s="72">
        <f t="shared" si="0"/>
        <v>-9.4946512175303671E-2</v>
      </c>
      <c r="F30" s="166"/>
    </row>
    <row r="31" spans="1:6">
      <c r="A31" s="386">
        <v>8</v>
      </c>
      <c r="B31" s="61" t="s">
        <v>34</v>
      </c>
      <c r="C31" s="80">
        <v>0.05</v>
      </c>
      <c r="D31" s="79">
        <f>_xlfn.XLOOKUP($B$4,'Daily KPI'!$A:$A,'Daily KPI'!$AN:$AN)</f>
        <v>1.001322501416968E-2</v>
      </c>
      <c r="E31" s="64">
        <f>-(D31-C31)/(C31)</f>
        <v>0.7997354997166064</v>
      </c>
      <c r="F31" s="164"/>
    </row>
    <row r="32" spans="1:6">
      <c r="A32" s="387"/>
      <c r="B32" s="65" t="s">
        <v>35</v>
      </c>
      <c r="C32" s="80">
        <v>0.05</v>
      </c>
      <c r="D32" s="151">
        <f>MonthlyKPI!$U$4</f>
        <v>1.0179227707169345E-2</v>
      </c>
      <c r="E32" s="68">
        <f t="shared" ref="E32:E33" si="1">-(D32-C32)/(C32)</f>
        <v>0.79641544585661317</v>
      </c>
      <c r="F32" s="165"/>
    </row>
    <row r="33" spans="1:6" ht="15.75" thickBot="1">
      <c r="A33" s="388"/>
      <c r="B33" s="69" t="s">
        <v>36</v>
      </c>
      <c r="C33" s="80">
        <v>0.05</v>
      </c>
      <c r="D33" s="81">
        <f>AnnualKPI!$R$4</f>
        <v>1.8418737428011537E-2</v>
      </c>
      <c r="E33" s="72">
        <f t="shared" si="1"/>
        <v>0.63162525143976933</v>
      </c>
      <c r="F33" s="166"/>
    </row>
    <row r="34" spans="1:6">
      <c r="A34" s="386">
        <v>9</v>
      </c>
      <c r="B34" s="61" t="s">
        <v>37</v>
      </c>
      <c r="C34" s="79">
        <v>0.05</v>
      </c>
      <c r="D34" s="155">
        <f>_xlfn.XLOOKUP($B$4,'Daily KPI'!$A:$A,'Daily KPI'!$AO:$AO)</f>
        <v>4.5437370111467982E-5</v>
      </c>
      <c r="E34" s="64">
        <f>-(D34-C34)/(C34)</f>
        <v>0.99909125259777076</v>
      </c>
      <c r="F34" s="164"/>
    </row>
    <row r="35" spans="1:6">
      <c r="A35" s="387"/>
      <c r="B35" s="65" t="s">
        <v>38</v>
      </c>
      <c r="C35" s="80">
        <v>0.05</v>
      </c>
      <c r="D35" s="156">
        <f>MonthlyKPI!$V$4</f>
        <v>1.8434915720103535E-5</v>
      </c>
      <c r="E35" s="68">
        <f>-(D35-C35)/(C35)</f>
        <v>0.99963130168559799</v>
      </c>
      <c r="F35" s="165"/>
    </row>
    <row r="36" spans="1:6" ht="15.75" thickBot="1">
      <c r="A36" s="388"/>
      <c r="B36" s="69" t="s">
        <v>39</v>
      </c>
      <c r="C36" s="80">
        <v>0.05</v>
      </c>
      <c r="D36" s="157">
        <f>AnnualKPI!$S$4</f>
        <v>4.5467059204272869E-5</v>
      </c>
      <c r="E36" s="72">
        <f>-(D36-C36)/(C36)</f>
        <v>0.99909065881591452</v>
      </c>
      <c r="F36" s="166"/>
    </row>
    <row r="37" spans="1:6">
      <c r="A37" s="386">
        <v>10</v>
      </c>
      <c r="B37" s="61" t="s">
        <v>40</v>
      </c>
      <c r="C37" s="152">
        <f>IFERROR(_xlfn.XLOOKUP($B$4,'Daily KPI'!$A:$A,'Daily KPI'!$AI:$AI),"")</f>
        <v>158.79</v>
      </c>
      <c r="D37" s="62">
        <f>IFERROR(_xlfn.XLOOKUP($B$4,'Daily KPI'!$A:$A,'Daily KPI'!$X:$X)/1000,"")</f>
        <v>158.79</v>
      </c>
      <c r="E37" s="64">
        <f t="shared" si="0"/>
        <v>0</v>
      </c>
      <c r="F37" s="164"/>
    </row>
    <row r="38" spans="1:6">
      <c r="A38" s="387"/>
      <c r="B38" s="65" t="s">
        <v>41</v>
      </c>
      <c r="C38" s="153">
        <f>MonthlyKPI!$T$4</f>
        <v>9566.6180000000022</v>
      </c>
      <c r="D38" s="66">
        <f>IFERROR(SUMIF('Daily KPI'!$D:$D,O2Summary!$B$3,'Daily KPI'!$X:$X)/1000,"")</f>
        <v>9566.6219999999994</v>
      </c>
      <c r="E38" s="68">
        <f t="shared" si="0"/>
        <v>4.1812059362848264E-7</v>
      </c>
      <c r="F38" s="165"/>
    </row>
    <row r="39" spans="1:6" ht="15.75" thickBot="1">
      <c r="A39" s="388"/>
      <c r="B39" s="69" t="s">
        <v>42</v>
      </c>
      <c r="C39" s="154">
        <f>AnnualKPI!$Q$4</f>
        <v>49228.335999999996</v>
      </c>
      <c r="D39" s="70">
        <f>IFERROR(SUMIFS('Daily KPI'!$X:$X,'Daily KPI'!$A:$A,"&gt;="&amp;O2Summary!$B$6,'Daily KPI'!$A:$A,"&lt;="&amp;O2Summary!B4)/1000,"")</f>
        <v>49400.959000000003</v>
      </c>
      <c r="E39" s="72">
        <f t="shared" si="0"/>
        <v>3.5065780001177957E-3</v>
      </c>
      <c r="F39" s="166"/>
    </row>
  </sheetData>
  <sheetProtection algorithmName="SHA-512" hashValue="ttakURqYOhuPdHXXwcVJmteg8+7fYfge2dIe0sqzkdHCCBgnG2YXAV/bvVAUki42hjQ/XMJHZg6x8SI5fT/BcA==" saltValue="DyMd8HYEQhMRAkKzKxp9bQ==" spinCount="100000" sheet="1" objects="1" scenarios="1"/>
  <mergeCells count="11">
    <mergeCell ref="A2:F2"/>
    <mergeCell ref="A10:A12"/>
    <mergeCell ref="A13:A15"/>
    <mergeCell ref="A19:A21"/>
    <mergeCell ref="A22:A24"/>
    <mergeCell ref="A16:A18"/>
    <mergeCell ref="A37:A39"/>
    <mergeCell ref="A25:A27"/>
    <mergeCell ref="A28:A30"/>
    <mergeCell ref="A31:A33"/>
    <mergeCell ref="A34:A36"/>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45857</v>
      </c>
      <c r="C1" s="31">
        <f>O2Summary!B3</f>
        <v>45839</v>
      </c>
    </row>
    <row r="2" spans="1:19" ht="21">
      <c r="A2" s="392" t="s">
        <v>44</v>
      </c>
      <c r="B2" s="393"/>
      <c r="C2" s="393"/>
      <c r="D2" s="393"/>
      <c r="E2" s="393"/>
      <c r="F2" s="393"/>
      <c r="G2" s="393"/>
      <c r="H2" s="393"/>
      <c r="I2" s="393"/>
      <c r="J2" s="393"/>
      <c r="K2" s="393"/>
      <c r="L2" s="393"/>
      <c r="M2" s="393"/>
      <c r="N2" s="393"/>
      <c r="O2" s="393"/>
      <c r="P2" s="393"/>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110</v>
      </c>
      <c r="C4" s="33">
        <f>_xlfn.XLOOKUP($C$1,'Modelling New'!$D:$D,'Modelling New'!$AD:$AD)</f>
        <v>6.2836120320091453</v>
      </c>
      <c r="D4" s="34">
        <f>AVERAGEIFS('Daily KPI'!$M:$M,'Daily KPI'!$A:$A,"&gt;="&amp;O2Summary!$B$6,'Daily KPI'!$A:$A,"&lt;="&amp;AnnualKPI!$B$1)</f>
        <v>5.1018363666863227</v>
      </c>
      <c r="E4" s="32">
        <f>_xlfn.XLOOKUP($C$1,'Modelling New'!$D:$D,'Modelling New'!$V:$V)</f>
        <v>53705.113182674904</v>
      </c>
      <c r="F4" s="35">
        <f>SUMIFS('Daily KPI'!$AA:$AA,'Daily KPI'!$A:$A,"&gt;="&amp;O2Summary!$B$6,'Daily KPI'!$A:$A,"&lt;="&amp;AnnualKPI!$B$1)/1000</f>
        <v>48606</v>
      </c>
      <c r="G4" s="36">
        <f>_xlfn.XLOOKUP($C$1,'Modelling New'!$D:$D,'Modelling New'!$Y:$Y)</f>
        <v>0.2608057166990817</v>
      </c>
      <c r="H4" s="37">
        <f>IFERROR(F4/(B4*24*'Basic Data'!$K$3),"")</f>
        <v>0.23604312354312354</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0.92498015224333219</v>
      </c>
      <c r="M4" s="36">
        <f>_xlfn.XLOOKUP($C$1,'Modelling New'!$D:$D,'Modelling New'!$AI:$AI)</f>
        <v>0.99</v>
      </c>
      <c r="N4" s="38">
        <f>AVERAGEIFS('Daily KPI'!$Q:$Q,'Daily KPI'!$A:$A,"&gt;="&amp;O2Summary!$B$6,'Daily KPI'!$A:$A,"&lt;="&amp;AnnualKPI!$B$1)</f>
        <v>0.9942901117526648</v>
      </c>
      <c r="O4" s="36">
        <f>K4*M4</f>
        <v>0.96029999999999993</v>
      </c>
      <c r="P4" s="38">
        <f>L4*N4</f>
        <v>0.91969861894301963</v>
      </c>
      <c r="Q4" s="35">
        <f>SUMIFS('Daily KPI'!$AI:$AI,'Daily KPI'!$A:$A,"&gt;="&amp;O2Summary!$B$6,'Daily KPI'!$A:$A,"&lt;="&amp;AnnualKPI!$B$1)</f>
        <v>49228.335999999996</v>
      </c>
      <c r="R4" s="38">
        <f>AVERAGEIFS('Daily KPI'!$AN:$AN,'Daily KPI'!$A:$A,"&gt;="&amp;O2Summary!$B$6,'Daily KPI'!$A:$A,"&lt;="&amp;AnnualKPI!$B$1)</f>
        <v>1.8418737428011537E-2</v>
      </c>
      <c r="S4" s="38">
        <f>AVERAGEIFS('Daily KPI'!$AO:$AO,'Daily KPI'!$A:$A,"&gt;="&amp;O2Summary!$B$6,'Daily KPI'!$A:$A,"&lt;="&amp;AnnualKPI!$B$1)</f>
        <v>4.5467059204272869E-5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45857</v>
      </c>
      <c r="C1" s="28">
        <v>0</v>
      </c>
      <c r="D1" s="28">
        <v>0</v>
      </c>
      <c r="E1" s="28">
        <v>0</v>
      </c>
      <c r="F1" s="28">
        <v>0</v>
      </c>
    </row>
    <row r="2" spans="1:22" ht="29.1" customHeight="1">
      <c r="A2" s="392" t="s">
        <v>64</v>
      </c>
      <c r="B2" s="393"/>
      <c r="C2" s="393"/>
      <c r="D2" s="393"/>
      <c r="E2" s="393"/>
      <c r="F2" s="393"/>
      <c r="G2" s="393"/>
      <c r="H2" s="393"/>
      <c r="I2" s="393"/>
      <c r="J2" s="393"/>
      <c r="K2" s="393"/>
      <c r="L2" s="393"/>
      <c r="M2" s="393"/>
      <c r="N2" s="393"/>
      <c r="O2" s="393"/>
      <c r="P2" s="393"/>
      <c r="Q2" s="393"/>
      <c r="R2" s="393"/>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45839</v>
      </c>
      <c r="B4" s="32">
        <f>DAY(B1)</f>
        <v>19</v>
      </c>
      <c r="C4" s="33">
        <f>_xlfn.XLOOKUP($A$4,'Modelling New'!$D:$D,'Modelling New'!$AC:$AC)</f>
        <v>7.1310648756787653</v>
      </c>
      <c r="D4" s="34">
        <f>AVERAGEIF('Daily KPI'!$D:$D,$A$4,'Daily KPI'!$M:$M)</f>
        <v>5.0300105031515772</v>
      </c>
      <c r="E4" s="32">
        <f>_xlfn.XLOOKUP($A$4,'Modelling New'!$D:$D,'Modelling New'!$U:$U)</f>
        <v>11130.158568728</v>
      </c>
      <c r="F4" s="35">
        <f>SUMIFS('Daily KPI'!$AA:$AA,'Daily KPI'!$D:$D,$A$4)/1000</f>
        <v>9487.2000000000007</v>
      </c>
      <c r="G4" s="36">
        <f>_xlfn.XLOOKUP($A$4,'Modelling New'!$D:$D,'Modelling New'!$X:$X)</f>
        <v>0.31292618558052182</v>
      </c>
      <c r="H4" s="37">
        <f>F4/(24*B4*'Basic Data'!$K$3)</f>
        <v>0.26673414304993254</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0.92029429430246246</v>
      </c>
      <c r="M4" s="36">
        <f>_xlfn.XLOOKUP($A$4,'Modelling New'!$D:$D,'Modelling New'!$AI:$AI)</f>
        <v>0.99</v>
      </c>
      <c r="N4" s="37">
        <f>AVERAGEIFS('Daily KPI'!$Q:$Q,'Daily KPI'!$A:$A,"&lt;="&amp;MonthlyKPI!$B$1,'Daily KPI'!$D:$D,$A$4)</f>
        <v>0.9978121285744781</v>
      </c>
      <c r="O4" s="36">
        <f>K4*M4</f>
        <v>0.96029999999999993</v>
      </c>
      <c r="P4" s="38">
        <f>L4*N4</f>
        <v>0.91828080871288731</v>
      </c>
      <c r="Q4" s="32">
        <f>SUMIFS('Daily KPI'!$X:$X,'Daily KPI'!$D:$D,$A$4)/1000</f>
        <v>9566.6219999999994</v>
      </c>
      <c r="R4" s="38">
        <f>Q4/F4-1</f>
        <v>8.3714900075890775E-3</v>
      </c>
      <c r="S4" s="32">
        <f>SUMIFS(Input_Raw!DE:DE,Input_Raw!A:A,"&gt;="&amp;A4,Input_Raw!A:A,"&lt;="&amp;B1)/1000</f>
        <v>9.5666180000000018</v>
      </c>
      <c r="T4" s="35">
        <f>SUMIFS('Daily KPI'!$AI:$AI,'Daily KPI'!$D:$D,$A$4)</f>
        <v>9566.6180000000022</v>
      </c>
      <c r="U4" s="37">
        <f>IFERROR(AVERAGEIFS('Daily KPI'!$AN:$AN,'Daily KPI'!$D:$D,MonthlyKPI!$A$4,'Daily KPI'!$A:$A,"&lt;="&amp;MonthlyKPI!$B$1),"")</f>
        <v>1.0179227707169345E-2</v>
      </c>
      <c r="V4" s="38">
        <f>AVERAGEIFS('Daily KPI'!$AO:$AO,'Daily KPI'!$A:$A,"&lt;="&amp;MonthlyKPI!$B$1,'Daily KPI'!$D:$D,$A$4)</f>
        <v>1.8434915720103535E-5</v>
      </c>
    </row>
    <row r="6" spans="1:22" ht="29.1" customHeight="1">
      <c r="Q6" s="3"/>
    </row>
    <row r="7" spans="1:22" ht="29.1" customHeight="1">
      <c r="A7" s="26" t="s">
        <v>69</v>
      </c>
      <c r="B7" s="27">
        <f>B8-6</f>
        <v>45851</v>
      </c>
      <c r="D7" s="40"/>
      <c r="F7" s="40"/>
    </row>
    <row r="8" spans="1:22" ht="29.1" customHeight="1">
      <c r="A8" s="26" t="s">
        <v>70</v>
      </c>
      <c r="B8" s="27">
        <f>B1</f>
        <v>45857</v>
      </c>
    </row>
    <row r="9" spans="1:22" ht="29.1" customHeight="1">
      <c r="A9" s="392" t="s">
        <v>71</v>
      </c>
      <c r="B9" s="393"/>
      <c r="C9" s="393"/>
      <c r="D9" s="393"/>
      <c r="E9" s="393"/>
      <c r="F9" s="393"/>
      <c r="G9" s="393"/>
      <c r="H9" s="393"/>
      <c r="I9" s="393"/>
      <c r="J9" s="393"/>
      <c r="K9" s="393"/>
      <c r="L9" s="393"/>
      <c r="M9" s="393"/>
      <c r="N9" s="393"/>
      <c r="O9" s="393"/>
      <c r="P9" s="393"/>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45839</v>
      </c>
      <c r="B11" s="32">
        <f>(B8-B7)+1</f>
        <v>7</v>
      </c>
      <c r="C11" s="33">
        <f>_xlfn.XLOOKUP($A$11,'Modelling New'!$D:$D,'Modelling New'!$AC:$AC)</f>
        <v>7.1310648756787653</v>
      </c>
      <c r="D11" s="34">
        <f>AVERAGEIFS('Daily KPI'!$M:$M,'Daily KPI'!$A:$A,"&gt;="&amp;$B$7,'Daily KPI'!$A:$A,"&lt;="&amp;$B$8)</f>
        <v>4.1242341708215715</v>
      </c>
      <c r="E11" s="32">
        <f>SUMIFS('Daily KPI'!$AD:$AD,'Daily KPI'!$A:$A,"&gt;="&amp;$B$7,'Daily KPI'!$A:$A,"&lt;="&amp;$B$8)/1000</f>
        <v>4100.5847358471574</v>
      </c>
      <c r="F11" s="35">
        <f>SUMIFS('Daily KPI'!$AA:$AA,'Daily KPI'!$A:$A,"&gt;="&amp;$B$7,'Daily KPI'!$A:$A,"&lt;="&amp;$B$8)/1000</f>
        <v>2061.6</v>
      </c>
      <c r="G11" s="36">
        <f>E11/(24*$B$11*'Basic Data'!$K$3)</f>
        <v>0.31292618558052177</v>
      </c>
      <c r="H11" s="37">
        <f>F11/(24*B11*'Basic Data'!$K$3)</f>
        <v>0.15732600732600732</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0.92427002307315675</v>
      </c>
      <c r="M11" s="36">
        <f>_xlfn.XLOOKUP($A$4,'Modelling New'!$D:$D,'Modelling New'!$AI:$AI)</f>
        <v>0.99</v>
      </c>
      <c r="N11" s="37">
        <f>AVERAGEIFS('Daily KPI'!$Q:$Q,'Daily KPI'!$A:$A,"&gt;="&amp;$B$7,'Daily KPI'!$A:$A,"&lt;="&amp;$B$8)</f>
        <v>0.9992242256284164</v>
      </c>
      <c r="O11" s="36">
        <f>K11*M11</f>
        <v>0.96029999999999993</v>
      </c>
      <c r="P11" s="38">
        <f>L11*N11</f>
        <v>0.92355299807683366</v>
      </c>
      <c r="Q11" s="32">
        <f>SUMIFS(Input_Raw!DE:DE,Input_Raw!A:A,"&gt;="&amp;B7,Input_Raw!A:A,"&lt;="&amp;B8)/1000</f>
        <v>2.0878319999999997</v>
      </c>
      <c r="R11"/>
    </row>
    <row r="14" spans="1:22" ht="29.1" customHeight="1">
      <c r="A14" s="26" t="s">
        <v>69</v>
      </c>
      <c r="B14" s="27">
        <f>B15-29</f>
        <v>45828</v>
      </c>
      <c r="D14" s="40"/>
      <c r="F14" s="40"/>
    </row>
    <row r="15" spans="1:22" ht="29.1" customHeight="1">
      <c r="A15" s="26" t="s">
        <v>70</v>
      </c>
      <c r="B15" s="27">
        <f>B8</f>
        <v>45857</v>
      </c>
    </row>
    <row r="16" spans="1:22" ht="29.1" customHeight="1">
      <c r="A16" s="392" t="s">
        <v>72</v>
      </c>
      <c r="B16" s="393"/>
      <c r="C16" s="393"/>
      <c r="D16" s="393"/>
      <c r="E16" s="393"/>
      <c r="F16" s="393"/>
      <c r="G16" s="393"/>
      <c r="H16" s="393"/>
      <c r="I16" s="393"/>
      <c r="J16" s="393"/>
      <c r="K16" s="393"/>
      <c r="L16" s="393"/>
      <c r="M16" s="393"/>
      <c r="N16" s="393"/>
      <c r="O16" s="393"/>
      <c r="P16" s="393"/>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45839</v>
      </c>
      <c r="B18" s="32">
        <f>(B15-B14)+1</f>
        <v>30</v>
      </c>
      <c r="C18" s="33">
        <f>_xlfn.XLOOKUP($A$18,'Modelling New'!$D:$D,'Modelling New'!$AC:$AC)</f>
        <v>7.1310648756787653</v>
      </c>
      <c r="D18" s="34">
        <f>AVERAGEIFS('Daily KPI'!$M:$M,'Daily KPI'!$A:$A,"&gt;="&amp;$B$14,'Daily KPI'!$A:$A,"&lt;="&amp;$B$15)</f>
        <v>5.8489028649032084</v>
      </c>
      <c r="E18" s="32">
        <f>SUMIFS('Daily KPI'!$AD:$AD,'Daily KPI'!$A:$A,"&gt;="&amp;$B$14,'Daily KPI'!$A:$A,"&lt;="&amp;$B$15)/1000</f>
        <v>16644.187331976278</v>
      </c>
      <c r="F18" s="35">
        <f>SUMIFS('Daily KPI'!$AA:$AA,'Daily KPI'!$A:$A,"&gt;="&amp;$B$14,'Daily KPI'!$A:$A,"&lt;="&amp;$B$15)/1000</f>
        <v>18931.2</v>
      </c>
      <c r="G18" s="36">
        <f>E18/(24*$B$18*'Basic Data'!$K$3)</f>
        <v>0.29637085705085964</v>
      </c>
      <c r="H18" s="37">
        <f>F18/(24*B18*'Basic Data'!$K$3)</f>
        <v>0.3370940170940171</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0.91854427099553793</v>
      </c>
      <c r="M18" s="36">
        <f>_xlfn.XLOOKUP($A$4,'Modelling New'!$D:$D,'Modelling New'!$AI:$AI)</f>
        <v>0.99</v>
      </c>
      <c r="N18" s="37">
        <f>AVERAGEIFS('Daily KPI'!$Q:$Q,'Daily KPI'!$A:$A,"&gt;="&amp;$B$14,'Daily KPI'!$A:$A,"&lt;="&amp;$B$15)</f>
        <v>0.9975395471746682</v>
      </c>
      <c r="O18" s="36">
        <f>K18*M18</f>
        <v>0.96029999999999993</v>
      </c>
      <c r="P18" s="38">
        <f>L18*N18</f>
        <v>0.91628423614877463</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D20" sqref="D20"/>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45839</v>
      </c>
    </row>
    <row r="3" spans="1:40" ht="29.1" customHeight="1">
      <c r="A3" s="357" t="s">
        <v>70</v>
      </c>
      <c r="B3" s="355">
        <f>O2Summary!B4</f>
        <v>45857</v>
      </c>
      <c r="C3">
        <f>((B3-B2)+1)*24</f>
        <v>456</v>
      </c>
      <c r="D3" s="358">
        <f>MEDIAN(B21:AN21)</f>
        <v>5.4</v>
      </c>
    </row>
    <row r="4" spans="1:40" ht="29.1" customHeight="1">
      <c r="A4" s="359" t="s">
        <v>73</v>
      </c>
      <c r="B4" s="360" t="s">
        <v>74</v>
      </c>
      <c r="C4" s="360" t="s">
        <v>75</v>
      </c>
      <c r="D4" s="360" t="s">
        <v>76</v>
      </c>
      <c r="E4" s="360" t="s">
        <v>77</v>
      </c>
      <c r="F4" s="360" t="s">
        <v>78</v>
      </c>
      <c r="G4" s="360" t="s">
        <v>79</v>
      </c>
      <c r="H4" s="360" t="s">
        <v>80</v>
      </c>
      <c r="I4" s="360" t="s">
        <v>81</v>
      </c>
      <c r="J4" s="360" t="s">
        <v>82</v>
      </c>
      <c r="K4" s="360" t="s">
        <v>83</v>
      </c>
      <c r="L4" s="360" t="s">
        <v>84</v>
      </c>
      <c r="M4" s="360" t="s">
        <v>85</v>
      </c>
      <c r="N4" s="360" t="s">
        <v>86</v>
      </c>
      <c r="O4" s="360" t="s">
        <v>87</v>
      </c>
      <c r="P4" s="360" t="s">
        <v>88</v>
      </c>
      <c r="Q4" s="360" t="s">
        <v>89</v>
      </c>
      <c r="R4" s="360" t="s">
        <v>90</v>
      </c>
      <c r="S4" s="360" t="s">
        <v>91</v>
      </c>
      <c r="T4" s="360" t="s">
        <v>92</v>
      </c>
      <c r="U4" s="360" t="s">
        <v>93</v>
      </c>
      <c r="V4" s="360" t="s">
        <v>94</v>
      </c>
      <c r="W4" s="360" t="s">
        <v>95</v>
      </c>
      <c r="X4" s="360" t="s">
        <v>96</v>
      </c>
      <c r="Y4" s="360" t="s">
        <v>97</v>
      </c>
      <c r="Z4" s="360" t="s">
        <v>98</v>
      </c>
      <c r="AA4" s="360" t="s">
        <v>99</v>
      </c>
      <c r="AB4" s="360" t="s">
        <v>100</v>
      </c>
      <c r="AC4" s="360" t="s">
        <v>101</v>
      </c>
      <c r="AD4" s="360" t="s">
        <v>102</v>
      </c>
      <c r="AE4" s="360" t="s">
        <v>103</v>
      </c>
      <c r="AF4" s="360" t="s">
        <v>104</v>
      </c>
      <c r="AG4" s="360" t="s">
        <v>105</v>
      </c>
      <c r="AH4" s="360" t="s">
        <v>106</v>
      </c>
      <c r="AI4" s="360" t="s">
        <v>107</v>
      </c>
      <c r="AJ4" s="360" t="s">
        <v>108</v>
      </c>
      <c r="AK4" s="360" t="s">
        <v>109</v>
      </c>
      <c r="AL4" s="360" t="s">
        <v>110</v>
      </c>
      <c r="AM4" s="360" t="s">
        <v>111</v>
      </c>
      <c r="AN4" s="360" t="s">
        <v>112</v>
      </c>
    </row>
    <row r="5" spans="1:40" ht="29.1" customHeight="1">
      <c r="A5" s="359" t="s">
        <v>113</v>
      </c>
      <c r="B5" s="361">
        <f>IFERROR(($C$3-B6)/$C$3,1)</f>
        <v>0.97953216374269014</v>
      </c>
      <c r="C5" s="361">
        <f>IFERROR(($C$3-C6)/$C$3,1)</f>
        <v>0.99619883040935664</v>
      </c>
      <c r="D5" s="361">
        <f t="shared" ref="D5:AN5" si="0">IFERROR(($C$3-D6)/$C$3,1)</f>
        <v>0.99616228070175439</v>
      </c>
      <c r="E5" s="361">
        <f t="shared" si="0"/>
        <v>0.9726973684210527</v>
      </c>
      <c r="F5" s="361">
        <f t="shared" si="0"/>
        <v>1</v>
      </c>
      <c r="G5" s="361">
        <f t="shared" si="0"/>
        <v>0.9918494152046784</v>
      </c>
      <c r="H5" s="361">
        <f t="shared" si="0"/>
        <v>1</v>
      </c>
      <c r="I5" s="361">
        <f t="shared" si="0"/>
        <v>1</v>
      </c>
      <c r="J5" s="361">
        <f t="shared" si="0"/>
        <v>0.99524853801169588</v>
      </c>
      <c r="K5" s="361">
        <f t="shared" si="0"/>
        <v>1</v>
      </c>
      <c r="L5" s="361">
        <f t="shared" si="0"/>
        <v>0.9929459064327486</v>
      </c>
      <c r="M5" s="361">
        <f t="shared" si="0"/>
        <v>0.98592836257309935</v>
      </c>
      <c r="N5" s="361">
        <f t="shared" si="0"/>
        <v>0.99671052631578949</v>
      </c>
      <c r="O5" s="361">
        <f t="shared" si="0"/>
        <v>0.99418859649122815</v>
      </c>
      <c r="P5" s="361">
        <f t="shared" si="0"/>
        <v>0.99349415204678371</v>
      </c>
      <c r="Q5" s="361">
        <f t="shared" si="0"/>
        <v>0.9782894736842106</v>
      </c>
      <c r="R5" s="361">
        <f t="shared" si="0"/>
        <v>0.16415387426900588</v>
      </c>
      <c r="S5" s="361">
        <f t="shared" si="0"/>
        <v>1</v>
      </c>
      <c r="T5" s="361">
        <f t="shared" si="0"/>
        <v>1</v>
      </c>
      <c r="U5" s="361">
        <f t="shared" si="0"/>
        <v>0.99682017543859647</v>
      </c>
      <c r="V5" s="361">
        <f t="shared" si="0"/>
        <v>1</v>
      </c>
      <c r="W5" s="361">
        <f t="shared" si="0"/>
        <v>0.99236111111111103</v>
      </c>
      <c r="X5" s="361">
        <f t="shared" si="0"/>
        <v>0.99437134502923974</v>
      </c>
      <c r="Y5" s="361">
        <f t="shared" si="0"/>
        <v>1</v>
      </c>
      <c r="Z5" s="361">
        <f t="shared" si="0"/>
        <v>0.99279970760233927</v>
      </c>
      <c r="AA5" s="361">
        <f t="shared" si="0"/>
        <v>0.98910818713450299</v>
      </c>
      <c r="AB5" s="361">
        <f t="shared" si="0"/>
        <v>0.9846856725146198</v>
      </c>
      <c r="AC5" s="361">
        <f t="shared" si="0"/>
        <v>1.1574074074229756E-5</v>
      </c>
      <c r="AD5" s="361">
        <f t="shared" si="0"/>
        <v>1</v>
      </c>
      <c r="AE5" s="361">
        <f t="shared" si="0"/>
        <v>1.1574074074229756E-5</v>
      </c>
      <c r="AF5" s="361">
        <f t="shared" si="0"/>
        <v>0.96823830409356726</v>
      </c>
      <c r="AG5" s="361">
        <f t="shared" si="0"/>
        <v>0.98523391812865491</v>
      </c>
      <c r="AH5" s="361">
        <f t="shared" si="0"/>
        <v>1</v>
      </c>
      <c r="AI5" s="361">
        <f t="shared" si="0"/>
        <v>0.99407894736842106</v>
      </c>
      <c r="AJ5" s="361">
        <f t="shared" si="0"/>
        <v>0.99053362573099413</v>
      </c>
      <c r="AK5" s="361">
        <f t="shared" si="0"/>
        <v>1</v>
      </c>
      <c r="AL5" s="361">
        <f t="shared" si="0"/>
        <v>1</v>
      </c>
      <c r="AM5" s="361">
        <f t="shared" si="0"/>
        <v>1</v>
      </c>
      <c r="AN5" s="361">
        <f t="shared" si="0"/>
        <v>0.99809941520467838</v>
      </c>
    </row>
    <row r="6" spans="1:40" ht="29.1" hidden="1" customHeight="1">
      <c r="A6" s="362" t="s">
        <v>114</v>
      </c>
      <c r="B6" s="363">
        <f>SUMIFS(WTG_BD!$T:$T,WTG_BD!$F:$F,"&gt;="&amp;Analytices!$B$2,WTG_BD!$F:$F,"&lt;="&amp;Analytices!$B$3,WTG_BD!$G:$G,B4)</f>
        <v>9.3333333333333357</v>
      </c>
      <c r="C6" s="363">
        <f>SUMIFS(WTG_BD!$T:$T,WTG_BD!$F:$F,"&gt;="&amp;Analytices!$B$2,WTG_BD!$F:$F,"&lt;="&amp;Analytices!$B$3,WTG_BD!$G:$G,C4)</f>
        <v>1.7333333333333325</v>
      </c>
      <c r="D6" s="363">
        <f>SUMIFS(WTG_BD!$T:$T,WTG_BD!$F:$F,"&gt;="&amp;Analytices!$B$2,WTG_BD!$F:$F,"&lt;="&amp;Analytices!$B$3,WTG_BD!$G:$G,D4)</f>
        <v>1.7499999999999991</v>
      </c>
      <c r="E6" s="363">
        <f>SUMIFS(WTG_BD!$T:$T,WTG_BD!$F:$F,"&gt;="&amp;Analytices!$B$2,WTG_BD!$F:$F,"&lt;="&amp;Analytices!$B$3,WTG_BD!$G:$G,E4)</f>
        <v>12.450000000000001</v>
      </c>
      <c r="F6" s="363">
        <f>SUMIFS(WTG_BD!$T:$T,WTG_BD!$F:$F,"&gt;="&amp;Analytices!$B$2,WTG_BD!$F:$F,"&lt;="&amp;Analytices!$B$3,WTG_BD!$G:$G,F4)</f>
        <v>0</v>
      </c>
      <c r="G6" s="363">
        <f>SUMIFS(WTG_BD!$T:$T,WTG_BD!$F:$F,"&gt;="&amp;Analytices!$B$2,WTG_BD!$F:$F,"&lt;="&amp;Analytices!$B$3,WTG_BD!$G:$G,G4)</f>
        <v>3.7166666666666641</v>
      </c>
      <c r="H6" s="363">
        <f>SUMIFS(WTG_BD!$T:$T,WTG_BD!$F:$F,"&gt;="&amp;Analytices!$B$2,WTG_BD!$F:$F,"&lt;="&amp;Analytices!$B$3,WTG_BD!$G:$G,H4)</f>
        <v>0</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0</v>
      </c>
      <c r="L6" s="363">
        <f>SUMIFS(WTG_BD!$T:$T,WTG_BD!$F:$F,"&gt;="&amp;Analytices!$B$2,WTG_BD!$F:$F,"&lt;="&amp;Analytices!$B$3,WTG_BD!$G:$G,L4)</f>
        <v>3.2166666666666659</v>
      </c>
      <c r="M6" s="363">
        <f>SUMIFS(WTG_BD!$T:$T,WTG_BD!$F:$F,"&gt;="&amp;Analytices!$B$2,WTG_BD!$F:$F,"&lt;="&amp;Analytices!$B$3,WTG_BD!$G:$G,M4)</f>
        <v>6.4166666666666714</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2.9666666666666668</v>
      </c>
      <c r="Q6" s="363">
        <f>SUMIFS(WTG_BD!$T:$T,WTG_BD!$F:$F,"&gt;="&amp;Analytices!$B$2,WTG_BD!$F:$F,"&lt;="&amp;Analytices!$B$3,WTG_BD!$G:$G,Q4)</f>
        <v>9.8999999999999968</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1.4500000000000002</v>
      </c>
      <c r="V6" s="363">
        <f>SUMIFS(WTG_BD!$T:$T,WTG_BD!$F:$F,"&gt;="&amp;Analytices!$B$2,WTG_BD!$F:$F,"&lt;="&amp;Analytices!$B$3,WTG_BD!$G:$G,V4)</f>
        <v>0</v>
      </c>
      <c r="W6" s="363">
        <f>SUMIFS(WTG_BD!$T:$T,WTG_BD!$F:$F,"&gt;="&amp;Analytices!$B$2,WTG_BD!$F:$F,"&lt;="&amp;Analytices!$B$3,WTG_BD!$G:$G,W4)</f>
        <v>3.4833333333333316</v>
      </c>
      <c r="X6" s="363">
        <f>SUMIFS(WTG_BD!$T:$T,WTG_BD!$F:$F,"&gt;="&amp;Analytices!$B$2,WTG_BD!$F:$F,"&lt;="&amp;Analytices!$B$3,WTG_BD!$G:$G,X4)</f>
        <v>2.5666666666666655</v>
      </c>
      <c r="Y6" s="363">
        <f>SUMIFS(WTG_BD!$T:$T,WTG_BD!$F:$F,"&gt;="&amp;Analytices!$B$2,WTG_BD!$F:$F,"&lt;="&amp;Analytices!$B$3,WTG_BD!$G:$G,Y4)</f>
        <v>0</v>
      </c>
      <c r="Z6" s="363">
        <f>SUMIFS(WTG_BD!$T:$T,WTG_BD!$F:$F,"&gt;="&amp;Analytices!$B$2,WTG_BD!$F:$F,"&lt;="&amp;Analytices!$B$3,WTG_BD!$G:$G,Z4)</f>
        <v>3.283333333333331</v>
      </c>
      <c r="AA6" s="363">
        <f>SUMIFS(WTG_BD!$T:$T,WTG_BD!$F:$F,"&gt;="&amp;Analytices!$B$2,WTG_BD!$F:$F,"&lt;="&amp;Analytices!$B$3,WTG_BD!$G:$G,AA4)</f>
        <v>4.9666666666666668</v>
      </c>
      <c r="AB6" s="363">
        <f>SUMIFS(WTG_BD!$T:$T,WTG_BD!$F:$F,"&gt;="&amp;Analytices!$B$2,WTG_BD!$F:$F,"&lt;="&amp;Analytices!$B$3,WTG_BD!$G:$G,AB4)</f>
        <v>6.9833333333333325</v>
      </c>
      <c r="AC6" s="363">
        <f>SUMIFS(WTG_BD!$T:$T,WTG_BD!$F:$F,"&gt;="&amp;Analytices!$B$2,WTG_BD!$F:$F,"&lt;="&amp;Analytices!$B$3,WTG_BD!$G:$G,AC4)</f>
        <v>455.99472222222215</v>
      </c>
      <c r="AD6" s="363">
        <f>SUMIFS(WTG_BD!$T:$T,WTG_BD!$F:$F,"&gt;="&amp;Analytices!$B$2,WTG_BD!$F:$F,"&lt;="&amp;Analytices!$B$3,WTG_BD!$G:$G,AD4)</f>
        <v>0</v>
      </c>
      <c r="AE6" s="363">
        <f>SUMIFS(WTG_BD!$T:$T,WTG_BD!$F:$F,"&gt;="&amp;Analytices!$B$2,WTG_BD!$F:$F,"&lt;="&amp;Analytices!$B$3,WTG_BD!$G:$G,AE4)</f>
        <v>455.99472222222215</v>
      </c>
      <c r="AF6" s="363">
        <f>SUMIFS(WTG_BD!$T:$T,WTG_BD!$F:$F,"&gt;="&amp;Analytices!$B$2,WTG_BD!$F:$F,"&lt;="&amp;Analytices!$B$3,WTG_BD!$G:$G,AF4)</f>
        <v>14.483333333333329</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2.6999999999999984</v>
      </c>
      <c r="AJ6" s="363">
        <f>SUMIFS(WTG_BD!$T:$T,WTG_BD!$F:$F,"&gt;="&amp;Analytices!$B$2,WTG_BD!$F:$F,"&lt;="&amp;Analytices!$B$3,WTG_BD!$G:$G,AJ4)</f>
        <v>4.3166666666666673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 customHeight="1">
      <c r="A7" s="359" t="s">
        <v>115</v>
      </c>
      <c r="B7" s="364">
        <f>($C$3-SUM(B8:B12))/$C$3</f>
        <v>0.99707602339181289</v>
      </c>
      <c r="C7" s="364">
        <f t="shared" ref="C7:AN7" si="1">($C$3-SUM(C8:C12))/$C$3</f>
        <v>0.99707602339181289</v>
      </c>
      <c r="D7" s="364">
        <f t="shared" si="1"/>
        <v>0.99707602339181289</v>
      </c>
      <c r="E7" s="364">
        <f t="shared" si="1"/>
        <v>0.99707602339181289</v>
      </c>
      <c r="F7" s="364">
        <f t="shared" si="1"/>
        <v>0.99820906432748535</v>
      </c>
      <c r="G7" s="364">
        <f t="shared" si="1"/>
        <v>0.99707602339181289</v>
      </c>
      <c r="H7" s="364">
        <f t="shared" si="1"/>
        <v>0.99707602339181289</v>
      </c>
      <c r="I7" s="364">
        <f t="shared" si="1"/>
        <v>0.99707602339181289</v>
      </c>
      <c r="J7" s="364">
        <f t="shared" si="1"/>
        <v>0.99707602339181289</v>
      </c>
      <c r="K7" s="364">
        <f t="shared" si="1"/>
        <v>0.99707602339181289</v>
      </c>
      <c r="L7" s="364">
        <f t="shared" si="1"/>
        <v>0.99707602339181289</v>
      </c>
      <c r="M7" s="364">
        <f t="shared" si="1"/>
        <v>0.99707602339181289</v>
      </c>
      <c r="N7" s="364">
        <f t="shared" si="1"/>
        <v>0.99707602339181289</v>
      </c>
      <c r="O7" s="364">
        <f t="shared" si="1"/>
        <v>0.99707602339181289</v>
      </c>
      <c r="P7" s="364">
        <f t="shared" si="1"/>
        <v>0.99707602339181289</v>
      </c>
      <c r="Q7" s="364">
        <f t="shared" si="1"/>
        <v>0.99707602339181289</v>
      </c>
      <c r="R7" s="364">
        <f t="shared" si="1"/>
        <v>0.99707602339181289</v>
      </c>
      <c r="S7" s="364">
        <f t="shared" si="1"/>
        <v>0.99707602339181289</v>
      </c>
      <c r="T7" s="364">
        <f t="shared" si="1"/>
        <v>0.99707602339181289</v>
      </c>
      <c r="U7" s="364">
        <f t="shared" si="1"/>
        <v>0.99707602339181289</v>
      </c>
      <c r="V7" s="364">
        <f t="shared" si="1"/>
        <v>0.99820906432748535</v>
      </c>
      <c r="W7" s="364">
        <f t="shared" si="1"/>
        <v>0.99820906432748535</v>
      </c>
      <c r="X7" s="364">
        <f t="shared" si="1"/>
        <v>0.99820906432748535</v>
      </c>
      <c r="Y7" s="364">
        <f t="shared" si="1"/>
        <v>0.99820906432748535</v>
      </c>
      <c r="Z7" s="364">
        <f t="shared" si="1"/>
        <v>1</v>
      </c>
      <c r="AA7" s="364">
        <f t="shared" si="1"/>
        <v>0.99820906432748535</v>
      </c>
      <c r="AB7" s="364">
        <f t="shared" si="1"/>
        <v>0.99820906432748535</v>
      </c>
      <c r="AC7" s="364">
        <f t="shared" si="1"/>
        <v>0.99820906432748535</v>
      </c>
      <c r="AD7" s="364">
        <f t="shared" si="1"/>
        <v>0.99820906432748535</v>
      </c>
      <c r="AE7" s="364">
        <f t="shared" si="1"/>
        <v>0.99820906432748535</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 hidden="1" customHeight="1">
      <c r="A8" s="362" t="s">
        <v>116</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117</v>
      </c>
      <c r="B9" s="363">
        <f>SUMIFS(IGA_BD!$Q:$Q,IGA_BD!$G:$G,(VLOOKUP(B$4,'Basic Data'!$A:$F,6,0)),IGA_BD!$F:$F,"&gt;="&amp;Analytices!$B$2,IGA_BD!$F:$F,"&lt;="&amp;Analytices!$B$3)</f>
        <v>1.3333333333333326</v>
      </c>
      <c r="C9" s="363">
        <f>SUMIFS(IGA_BD!$Q:$Q,IGA_BD!$G:$G,(VLOOKUP(C$4,'Basic Data'!$A:$F,6,0)),IGA_BD!$F:$F,"&gt;="&amp;Analytices!$B$2,IGA_BD!$F:$F,"&lt;="&amp;Analytices!$B$3)</f>
        <v>1.3333333333333326</v>
      </c>
      <c r="D9" s="363">
        <f>SUMIFS(IGA_BD!$Q:$Q,IGA_BD!$G:$G,(VLOOKUP(D$4,'Basic Data'!$A:$F,6,0)),IGA_BD!$F:$F,"&gt;="&amp;Analytices!$B$2,IGA_BD!$F:$F,"&lt;="&amp;Analytices!$B$3)</f>
        <v>1.3333333333333326</v>
      </c>
      <c r="E9" s="363">
        <f>SUMIFS(IGA_BD!$Q:$Q,IGA_BD!$G:$G,(VLOOKUP(E$4,'Basic Data'!$A:$F,6,0)),IGA_BD!$F:$F,"&gt;="&amp;Analytices!$B$2,IGA_BD!$F:$F,"&lt;="&amp;Analytices!$B$3)</f>
        <v>1.3333333333333326</v>
      </c>
      <c r="F9" s="363">
        <f>SUMIFS(IGA_BD!$Q:$Q,IGA_BD!$G:$G,(VLOOKUP(F$4,'Basic Data'!$A:$F,6,0)),IGA_BD!$F:$F,"&gt;="&amp;Analytices!$B$2,IGA_BD!$F:$F,"&lt;="&amp;Analytices!$B$3)</f>
        <v>0.81666666666666643</v>
      </c>
      <c r="G9" s="363">
        <f>SUMIFS(IGA_BD!$Q:$Q,IGA_BD!$G:$G,(VLOOKUP(G$4,'Basic Data'!$A:$F,6,0)),IGA_BD!$F:$F,"&gt;="&amp;Analytices!$B$2,IGA_BD!$F:$F,"&lt;="&amp;Analytices!$B$3)</f>
        <v>1.3333333333333326</v>
      </c>
      <c r="H9" s="363">
        <f>SUMIFS(IGA_BD!$Q:$Q,IGA_BD!$G:$G,(VLOOKUP(H$4,'Basic Data'!$A:$F,6,0)),IGA_BD!$F:$F,"&gt;="&amp;Analytices!$B$2,IGA_BD!$F:$F,"&lt;="&amp;Analytices!$B$3)</f>
        <v>1.3333333333333326</v>
      </c>
      <c r="I9" s="363">
        <f>SUMIFS(IGA_BD!$Q:$Q,IGA_BD!$G:$G,(VLOOKUP(I$4,'Basic Data'!$A:$F,6,0)),IGA_BD!$F:$F,"&gt;="&amp;Analytices!$B$2,IGA_BD!$F:$F,"&lt;="&amp;Analytices!$B$3)</f>
        <v>1.3333333333333326</v>
      </c>
      <c r="J9" s="363">
        <f>SUMIFS(IGA_BD!$Q:$Q,IGA_BD!$G:$G,(VLOOKUP(J$4,'Basic Data'!$A:$F,6,0)),IGA_BD!$F:$F,"&gt;="&amp;Analytices!$B$2,IGA_BD!$F:$F,"&lt;="&amp;Analytices!$B$3)</f>
        <v>1.3333333333333326</v>
      </c>
      <c r="K9" s="363">
        <f>SUMIFS(IGA_BD!$Q:$Q,IGA_BD!$G:$G,(VLOOKUP(K$4,'Basic Data'!$A:$F,6,0)),IGA_BD!$F:$F,"&gt;="&amp;Analytices!$B$2,IGA_BD!$F:$F,"&lt;="&amp;Analytices!$B$3)</f>
        <v>1.3333333333333326</v>
      </c>
      <c r="L9" s="363">
        <f>SUMIFS(IGA_BD!$Q:$Q,IGA_BD!$G:$G,(VLOOKUP(L$4,'Basic Data'!$A:$F,6,0)),IGA_BD!$F:$F,"&gt;="&amp;Analytices!$B$2,IGA_BD!$F:$F,"&lt;="&amp;Analytices!$B$3)</f>
        <v>1.3333333333333326</v>
      </c>
      <c r="M9" s="363">
        <f>SUMIFS(IGA_BD!$Q:$Q,IGA_BD!$G:$G,(VLOOKUP(M$4,'Basic Data'!$A:$F,6,0)),IGA_BD!$F:$F,"&gt;="&amp;Analytices!$B$2,IGA_BD!$F:$F,"&lt;="&amp;Analytices!$B$3)</f>
        <v>1.3333333333333326</v>
      </c>
      <c r="N9" s="363">
        <f>SUMIFS(IGA_BD!$Q:$Q,IGA_BD!$G:$G,(VLOOKUP(N$4,'Basic Data'!$A:$F,6,0)),IGA_BD!$F:$F,"&gt;="&amp;Analytices!$B$2,IGA_BD!$F:$F,"&lt;="&amp;Analytices!$B$3)</f>
        <v>1.3333333333333326</v>
      </c>
      <c r="O9" s="363">
        <f>SUMIFS(IGA_BD!$Q:$Q,IGA_BD!$G:$G,(VLOOKUP(O$4,'Basic Data'!$A:$F,6,0)),IGA_BD!$F:$F,"&gt;="&amp;Analytices!$B$2,IGA_BD!$F:$F,"&lt;="&amp;Analytices!$B$3)</f>
        <v>1.3333333333333326</v>
      </c>
      <c r="P9" s="363">
        <f>SUMIFS(IGA_BD!$Q:$Q,IGA_BD!$G:$G,(VLOOKUP(P$4,'Basic Data'!$A:$F,6,0)),IGA_BD!$F:$F,"&gt;="&amp;Analytices!$B$2,IGA_BD!$F:$F,"&lt;="&amp;Analytices!$B$3)</f>
        <v>1.3333333333333326</v>
      </c>
      <c r="Q9" s="363">
        <f>SUMIFS(IGA_BD!$Q:$Q,IGA_BD!$G:$G,(VLOOKUP(Q$4,'Basic Data'!$A:$F,6,0)),IGA_BD!$F:$F,"&gt;="&amp;Analytices!$B$2,IGA_BD!$F:$F,"&lt;="&amp;Analytices!$B$3)</f>
        <v>1.3333333333333326</v>
      </c>
      <c r="R9" s="363">
        <f>SUMIFS(IGA_BD!$Q:$Q,IGA_BD!$G:$G,(VLOOKUP(R$4,'Basic Data'!$A:$F,6,0)),IGA_BD!$F:$F,"&gt;="&amp;Analytices!$B$2,IGA_BD!$F:$F,"&lt;="&amp;Analytices!$B$3)</f>
        <v>1.3333333333333326</v>
      </c>
      <c r="S9" s="363">
        <f>SUMIFS(IGA_BD!$Q:$Q,IGA_BD!$G:$G,(VLOOKUP(S$4,'Basic Data'!$A:$F,6,0)),IGA_BD!$F:$F,"&gt;="&amp;Analytices!$B$2,IGA_BD!$F:$F,"&lt;="&amp;Analytices!$B$3)</f>
        <v>1.3333333333333326</v>
      </c>
      <c r="T9" s="363">
        <f>SUMIFS(IGA_BD!$Q:$Q,IGA_BD!$G:$G,(VLOOKUP(T$4,'Basic Data'!$A:$F,6,0)),IGA_BD!$F:$F,"&gt;="&amp;Analytices!$B$2,IGA_BD!$F:$F,"&lt;="&amp;Analytices!$B$3)</f>
        <v>1.3333333333333326</v>
      </c>
      <c r="U9" s="363">
        <f>SUMIFS(IGA_BD!$Q:$Q,IGA_BD!$G:$G,(VLOOKUP(U$4,'Basic Data'!$A:$F,6,0)),IGA_BD!$F:$F,"&gt;="&amp;Analytices!$B$2,IGA_BD!$F:$F,"&lt;="&amp;Analytices!$B$3)</f>
        <v>1.3333333333333326</v>
      </c>
      <c r="V9" s="363">
        <f>SUMIFS(IGA_BD!$Q:$Q,IGA_BD!$G:$G,(VLOOKUP(V$4,'Basic Data'!$A:$F,6,0)),IGA_BD!$F:$F,"&gt;="&amp;Analytices!$B$2,IGA_BD!$F:$F,"&lt;="&amp;Analytices!$B$3)</f>
        <v>0.81666666666666643</v>
      </c>
      <c r="W9" s="363">
        <f>SUMIFS(IGA_BD!$Q:$Q,IGA_BD!$G:$G,(VLOOKUP(W$4,'Basic Data'!$A:$F,6,0)),IGA_BD!$F:$F,"&gt;="&amp;Analytices!$B$2,IGA_BD!$F:$F,"&lt;="&amp;Analytices!$B$3)</f>
        <v>0.81666666666666643</v>
      </c>
      <c r="X9" s="363">
        <f>SUMIFS(IGA_BD!$Q:$Q,IGA_BD!$G:$G,(VLOOKUP(X$4,'Basic Data'!$A:$F,6,0)),IGA_BD!$F:$F,"&gt;="&amp;Analytices!$B$2,IGA_BD!$F:$F,"&lt;="&amp;Analytices!$B$3)</f>
        <v>0.81666666666666643</v>
      </c>
      <c r="Y9" s="363">
        <f>SUMIFS(IGA_BD!$Q:$Q,IGA_BD!$G:$G,(VLOOKUP(Y$4,'Basic Data'!$A:$F,6,0)),IGA_BD!$F:$F,"&gt;="&amp;Analytices!$B$2,IGA_BD!$F:$F,"&lt;="&amp;Analytices!$B$3)</f>
        <v>0.81666666666666643</v>
      </c>
      <c r="Z9" s="363">
        <f>SUMIFS(IGA_BD!$Q:$Q,IGA_BD!$G:$G,(VLOOKUP(Z$4,'Basic Data'!$A:$F,6,0)),IGA_BD!$F:$F,"&gt;="&amp;Analytices!$B$2,IGA_BD!$F:$F,"&lt;="&amp;Analytices!$B$3)</f>
        <v>0</v>
      </c>
      <c r="AA9" s="363">
        <f>SUMIFS(IGA_BD!$Q:$Q,IGA_BD!$G:$G,(VLOOKUP(AA$4,'Basic Data'!$A:$F,6,0)),IGA_BD!$F:$F,"&gt;="&amp;Analytices!$B$2,IGA_BD!$F:$F,"&lt;="&amp;Analytices!$B$3)</f>
        <v>0.81666666666666643</v>
      </c>
      <c r="AB9" s="363">
        <f>SUMIFS(IGA_BD!$Q:$Q,IGA_BD!$G:$G,(VLOOKUP(AB$4,'Basic Data'!$A:$F,6,0)),IGA_BD!$F:$F,"&gt;="&amp;Analytices!$B$2,IGA_BD!$F:$F,"&lt;="&amp;Analytices!$B$3)</f>
        <v>0.81666666666666643</v>
      </c>
      <c r="AC9" s="363">
        <f>SUMIFS(IGA_BD!$Q:$Q,IGA_BD!$G:$G,(VLOOKUP(AC$4,'Basic Data'!$A:$F,6,0)),IGA_BD!$F:$F,"&gt;="&amp;Analytices!$B$2,IGA_BD!$F:$F,"&lt;="&amp;Analytices!$B$3)</f>
        <v>0.81666666666666643</v>
      </c>
      <c r="AD9" s="363">
        <f>SUMIFS(IGA_BD!$Q:$Q,IGA_BD!$G:$G,(VLOOKUP(AD$4,'Basic Data'!$A:$F,6,0)),IGA_BD!$F:$F,"&gt;="&amp;Analytices!$B$2,IGA_BD!$F:$F,"&lt;="&amp;Analytices!$B$3)</f>
        <v>0.81666666666666643</v>
      </c>
      <c r="AE9" s="363">
        <f>SUMIFS(IGA_BD!$Q:$Q,IGA_BD!$G:$G,(VLOOKUP(AE$4,'Basic Data'!$A:$F,6,0)),IGA_BD!$F:$F,"&gt;="&amp;Analytices!$B$2,IGA_BD!$F:$F,"&lt;="&amp;Analytices!$B$3)</f>
        <v>0.81666666666666643</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 hidden="1" customHeight="1">
      <c r="A10" s="362" t="s">
        <v>118</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119</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120</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121</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122</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123</v>
      </c>
      <c r="B15" s="84">
        <f>SUMIFS(Input_Raw!F:F,Input_Raw!$A:$A,"&gt;="&amp;Analytices!$B$2,Input_Raw!$A:$A,"&lt;="&amp;Analytices!$B$3)</f>
        <v>274253</v>
      </c>
      <c r="C15" s="84">
        <f>SUMIFS(Input_Raw!G:G,Input_Raw!$A:$A,"&gt;="&amp;Analytices!$B$2,Input_Raw!$A:$A,"&lt;="&amp;Analytices!$B$3)</f>
        <v>282004</v>
      </c>
      <c r="D15" s="84">
        <f>SUMIFS(Input_Raw!H:H,Input_Raw!$A:$A,"&gt;="&amp;Analytices!$B$2,Input_Raw!$A:$A,"&lt;="&amp;Analytices!$B$3)</f>
        <v>278268</v>
      </c>
      <c r="E15" s="84">
        <f>SUMIFS(Input_Raw!I:I,Input_Raw!$A:$A,"&gt;="&amp;Analytices!$B$2,Input_Raw!$A:$A,"&lt;="&amp;Analytices!$B$3)</f>
        <v>272485</v>
      </c>
      <c r="F15" s="84">
        <f>SUMIFS(Input_Raw!J:J,Input_Raw!$A:$A,"&gt;="&amp;Analytices!$B$2,Input_Raw!$A:$A,"&lt;="&amp;Analytices!$B$3)</f>
        <v>255650</v>
      </c>
      <c r="G15" s="84">
        <f>SUMIFS(Input_Raw!K:K,Input_Raw!$A:$A,"&gt;="&amp;Analytices!$B$2,Input_Raw!$A:$A,"&lt;="&amp;Analytices!$B$3)</f>
        <v>280041</v>
      </c>
      <c r="H15" s="84">
        <f>SUMIFS(Input_Raw!L:L,Input_Raw!$A:$A,"&gt;="&amp;Analytices!$B$2,Input_Raw!$A:$A,"&lt;="&amp;Analytices!$B$3)</f>
        <v>282249</v>
      </c>
      <c r="I15" s="84">
        <f>SUMIFS(Input_Raw!M:M,Input_Raw!$A:$A,"&gt;="&amp;Analytices!$B$2,Input_Raw!$A:$A,"&lt;="&amp;Analytices!$B$3)</f>
        <v>283321</v>
      </c>
      <c r="J15" s="84">
        <f>SUMIFS(Input_Raw!N:N,Input_Raw!$A:$A,"&gt;="&amp;Analytices!$B$2,Input_Raw!$A:$A,"&lt;="&amp;Analytices!$B$3)</f>
        <v>302341</v>
      </c>
      <c r="K15" s="84">
        <f>SUMIFS(Input_Raw!O:O,Input_Raw!$A:$A,"&gt;="&amp;Analytices!$B$2,Input_Raw!$A:$A,"&lt;="&amp;Analytices!$B$3)</f>
        <v>281193</v>
      </c>
      <c r="L15" s="84">
        <f>SUMIFS(Input_Raw!P:P,Input_Raw!$A:$A,"&gt;="&amp;Analytices!$B$2,Input_Raw!$A:$A,"&lt;="&amp;Analytices!$B$3)</f>
        <v>282889</v>
      </c>
      <c r="M15" s="84">
        <f>SUMIFS(Input_Raw!Q:Q,Input_Raw!$A:$A,"&gt;="&amp;Analytices!$B$2,Input_Raw!$A:$A,"&lt;="&amp;Analytices!$B$3)</f>
        <v>305083</v>
      </c>
      <c r="N15" s="84">
        <f>SUMIFS(Input_Raw!R:R,Input_Raw!$A:$A,"&gt;="&amp;Analytices!$B$2,Input_Raw!$A:$A,"&lt;="&amp;Analytices!$B$3)</f>
        <v>308254</v>
      </c>
      <c r="O15" s="84">
        <f>SUMIFS(Input_Raw!S:S,Input_Raw!$A:$A,"&gt;="&amp;Analytices!$B$2,Input_Raw!$A:$A,"&lt;="&amp;Analytices!$B$3)</f>
        <v>308330</v>
      </c>
      <c r="P15" s="84">
        <f>SUMIFS(Input_Raw!T:T,Input_Raw!$A:$A,"&gt;="&amp;Analytices!$B$2,Input_Raw!$A:$A,"&lt;="&amp;Analytices!$B$3)</f>
        <v>307393</v>
      </c>
      <c r="Q15" s="84">
        <f>SUMIFS(Input_Raw!U:U,Input_Raw!$A:$A,"&gt;="&amp;Analytices!$B$2,Input_Raw!$A:$A,"&lt;="&amp;Analytices!$B$3)</f>
        <v>299956</v>
      </c>
      <c r="R15" s="84">
        <f>SUMIFS(Input_Raw!V:V,Input_Raw!$A:$A,"&gt;="&amp;Analytices!$B$2,Input_Raw!$A:$A,"&lt;="&amp;Analytices!$B$3)</f>
        <v>12987</v>
      </c>
      <c r="S15" s="84">
        <f>SUMIFS(Input_Raw!W:W,Input_Raw!$A:$A,"&gt;="&amp;Analytices!$B$2,Input_Raw!$A:$A,"&lt;="&amp;Analytices!$B$3)</f>
        <v>304542</v>
      </c>
      <c r="T15" s="84">
        <f>SUMIFS(Input_Raw!X:X,Input_Raw!$A:$A,"&gt;="&amp;Analytices!$B$2,Input_Raw!$A:$A,"&lt;="&amp;Analytices!$B$3)</f>
        <v>309221</v>
      </c>
      <c r="U15" s="84">
        <f>SUMIFS(Input_Raw!Y:Y,Input_Raw!$A:$A,"&gt;="&amp;Analytices!$B$2,Input_Raw!$A:$A,"&lt;="&amp;Analytices!$B$3)</f>
        <v>308131</v>
      </c>
      <c r="V15" s="84">
        <f>SUMIFS(Input_Raw!Z:Z,Input_Raw!$A:$A,"&gt;="&amp;Analytices!$B$2,Input_Raw!$A:$A,"&lt;="&amp;Analytices!$B$3)</f>
        <v>257153</v>
      </c>
      <c r="W15" s="84">
        <f>SUMIFS(Input_Raw!AA:AA,Input_Raw!$A:$A,"&gt;="&amp;Analytices!$B$2,Input_Raw!$A:$A,"&lt;="&amp;Analytices!$B$3)</f>
        <v>254695</v>
      </c>
      <c r="X15" s="84">
        <f>SUMIFS(Input_Raw!AB:AB,Input_Raw!$A:$A,"&gt;="&amp;Analytices!$B$2,Input_Raw!$A:$A,"&lt;="&amp;Analytices!$B$3)</f>
        <v>256121</v>
      </c>
      <c r="Y15" s="84">
        <f>SUMIFS(Input_Raw!AC:AC,Input_Raw!$A:$A,"&gt;="&amp;Analytices!$B$2,Input_Raw!$A:$A,"&lt;="&amp;Analytices!$B$3)</f>
        <v>256972</v>
      </c>
      <c r="Z15" s="84">
        <f>SUMIFS(Input_Raw!AD:AD,Input_Raw!$A:$A,"&gt;="&amp;Analytices!$B$2,Input_Raw!$A:$A,"&lt;="&amp;Analytices!$B$3)</f>
        <v>225443</v>
      </c>
      <c r="AA15" s="84">
        <f>SUMIFS(Input_Raw!AE:AE,Input_Raw!$A:$A,"&gt;="&amp;Analytices!$B$2,Input_Raw!$A:$A,"&lt;="&amp;Analytices!$B$3)</f>
        <v>253635</v>
      </c>
      <c r="AB15" s="84">
        <f>SUMIFS(Input_Raw!AF:AF,Input_Raw!$A:$A,"&gt;="&amp;Analytices!$B$2,Input_Raw!$A:$A,"&lt;="&amp;Analytices!$B$3)</f>
        <v>254949</v>
      </c>
      <c r="AC15" s="84">
        <f>SUMIFS(Input_Raw!AG:AG,Input_Raw!$A:$A,"&gt;="&amp;Analytices!$B$2,Input_Raw!$A:$A,"&lt;="&amp;Analytices!$B$3)</f>
        <v>0</v>
      </c>
      <c r="AD15" s="84">
        <f>SUMIFS(Input_Raw!AH:AH,Input_Raw!$A:$A,"&gt;="&amp;Analytices!$B$2,Input_Raw!$A:$A,"&lt;="&amp;Analytices!$B$3)</f>
        <v>249095</v>
      </c>
      <c r="AE15" s="84">
        <f>SUMIFS(Input_Raw!AI:AI,Input_Raw!$A:$A,"&gt;="&amp;Analytices!$B$2,Input_Raw!$A:$A,"&lt;="&amp;Analytices!$B$3)</f>
        <v>0</v>
      </c>
      <c r="AF15" s="84">
        <f>SUMIFS(Input_Raw!AJ:AJ,Input_Raw!$A:$A,"&gt;="&amp;Analytices!$B$2,Input_Raw!$A:$A,"&lt;="&amp;Analytices!$B$3)</f>
        <v>216464</v>
      </c>
      <c r="AG15" s="84">
        <f>SUMIFS(Input_Raw!AK:AK,Input_Raw!$A:$A,"&gt;="&amp;Analytices!$B$2,Input_Raw!$A:$A,"&lt;="&amp;Analytices!$B$3)</f>
        <v>225757</v>
      </c>
      <c r="AH15" s="84">
        <f>SUMIFS(Input_Raw!AL:AL,Input_Raw!$A:$A,"&gt;="&amp;Analytices!$B$2,Input_Raw!$A:$A,"&lt;="&amp;Analytices!$B$3)</f>
        <v>226556</v>
      </c>
      <c r="AI15" s="84">
        <f>SUMIFS(Input_Raw!AM:AM,Input_Raw!$A:$A,"&gt;="&amp;Analytices!$B$2,Input_Raw!$A:$A,"&lt;="&amp;Analytices!$B$3)</f>
        <v>224390</v>
      </c>
      <c r="AJ15" s="84">
        <f>SUMIFS(Input_Raw!AN:AN,Input_Raw!$A:$A,"&gt;="&amp;Analytices!$B$2,Input_Raw!$A:$A,"&lt;="&amp;Analytices!$B$3)</f>
        <v>226762</v>
      </c>
      <c r="AK15" s="84">
        <f>SUMIFS(Input_Raw!AO:AO,Input_Raw!$A:$A,"&gt;="&amp;Analytices!$B$2,Input_Raw!$A:$A,"&lt;="&amp;Analytices!$B$3)</f>
        <v>226304</v>
      </c>
      <c r="AL15" s="84">
        <f>SUMIFS(Input_Raw!AP:AP,Input_Raw!$A:$A,"&gt;="&amp;Analytices!$B$2,Input_Raw!$A:$A,"&lt;="&amp;Analytices!$B$3)</f>
        <v>225145</v>
      </c>
      <c r="AM15" s="84">
        <f>SUMIFS(Input_Raw!AQ:AQ,Input_Raw!$A:$A,"&gt;="&amp;Analytices!$B$2,Input_Raw!$A:$A,"&lt;="&amp;Analytices!$B$3)</f>
        <v>224318</v>
      </c>
      <c r="AN15" s="84">
        <f>SUMIFS(Input_Raw!AR:AR,Input_Raw!$A:$A,"&gt;="&amp;Analytices!$B$2,Input_Raw!$A:$A,"&lt;="&amp;Analytices!$B$3)</f>
        <v>224272</v>
      </c>
    </row>
    <row r="16" spans="1:40" ht="34.5" customHeight="1">
      <c r="A16" s="359" t="s">
        <v>124</v>
      </c>
      <c r="B16" s="361">
        <f>IFERROR(($C$3-(SUM(B8:B12,B14,B6)))/$C$3,1)</f>
        <v>0.97660818713450293</v>
      </c>
      <c r="C16" s="361">
        <f t="shared" ref="C16:AN16" si="4">IFERROR(($C$3-(SUM(C8:C12,C14,C6)))/$C$3,1)</f>
        <v>0.99327485380116964</v>
      </c>
      <c r="D16" s="361">
        <f t="shared" si="4"/>
        <v>0.99323830409356728</v>
      </c>
      <c r="E16" s="361">
        <f t="shared" si="4"/>
        <v>0.96977339181286548</v>
      </c>
      <c r="F16" s="361">
        <f t="shared" si="4"/>
        <v>0.99820906432748535</v>
      </c>
      <c r="G16" s="361">
        <f t="shared" si="4"/>
        <v>0.98892543859649118</v>
      </c>
      <c r="H16" s="361">
        <f t="shared" si="4"/>
        <v>0.99707602339181289</v>
      </c>
      <c r="I16" s="361">
        <f t="shared" si="4"/>
        <v>0.99707602339181289</v>
      </c>
      <c r="J16" s="361">
        <f t="shared" si="4"/>
        <v>0.99232456140350878</v>
      </c>
      <c r="K16" s="361">
        <f t="shared" si="4"/>
        <v>0.99707602339181289</v>
      </c>
      <c r="L16" s="361">
        <f t="shared" si="4"/>
        <v>0.99002192982456139</v>
      </c>
      <c r="M16" s="361">
        <f t="shared" si="4"/>
        <v>0.98300438596491224</v>
      </c>
      <c r="N16" s="361">
        <f t="shared" si="4"/>
        <v>0.99378654970760238</v>
      </c>
      <c r="O16" s="361">
        <f t="shared" si="4"/>
        <v>0.99126461988304093</v>
      </c>
      <c r="P16" s="361">
        <f t="shared" si="4"/>
        <v>0.99057017543859649</v>
      </c>
      <c r="Q16" s="361">
        <f t="shared" si="4"/>
        <v>0.97536549707602338</v>
      </c>
      <c r="R16" s="361">
        <f t="shared" si="4"/>
        <v>0.1612298976608188</v>
      </c>
      <c r="S16" s="361">
        <f t="shared" si="4"/>
        <v>0.99707602339181289</v>
      </c>
      <c r="T16" s="361">
        <f t="shared" si="4"/>
        <v>0.99707602339181289</v>
      </c>
      <c r="U16" s="361">
        <f t="shared" si="4"/>
        <v>0.99389619883040925</v>
      </c>
      <c r="V16" s="361">
        <f t="shared" si="4"/>
        <v>0.99820906432748535</v>
      </c>
      <c r="W16" s="361">
        <f t="shared" si="4"/>
        <v>0.99057017543859649</v>
      </c>
      <c r="X16" s="361">
        <f t="shared" si="4"/>
        <v>0.9925804093567252</v>
      </c>
      <c r="Y16" s="361">
        <f t="shared" si="4"/>
        <v>0.99820906432748535</v>
      </c>
      <c r="Z16" s="361">
        <f t="shared" si="4"/>
        <v>0.99279970760233927</v>
      </c>
      <c r="AA16" s="361">
        <f t="shared" si="4"/>
        <v>0.98731725146198823</v>
      </c>
      <c r="AB16" s="361">
        <f t="shared" si="4"/>
        <v>0.98289473684210527</v>
      </c>
      <c r="AC16" s="361">
        <f t="shared" si="4"/>
        <v>-1.7793615984403818E-3</v>
      </c>
      <c r="AD16" s="361">
        <f t="shared" si="4"/>
        <v>0.99820906432748535</v>
      </c>
      <c r="AE16" s="361">
        <f t="shared" si="4"/>
        <v>-1.7793615984403818E-3</v>
      </c>
      <c r="AF16" s="361">
        <f t="shared" si="4"/>
        <v>0.96823830409356726</v>
      </c>
      <c r="AG16" s="361">
        <f t="shared" si="4"/>
        <v>0.98523391812865491</v>
      </c>
      <c r="AH16" s="361">
        <f t="shared" si="4"/>
        <v>1</v>
      </c>
      <c r="AI16" s="361">
        <f t="shared" si="4"/>
        <v>0.99407894736842106</v>
      </c>
      <c r="AJ16" s="361">
        <f t="shared" si="4"/>
        <v>0.99053362573099413</v>
      </c>
      <c r="AK16" s="361">
        <f t="shared" si="4"/>
        <v>1</v>
      </c>
      <c r="AL16" s="361">
        <f t="shared" si="4"/>
        <v>1</v>
      </c>
      <c r="AM16" s="361">
        <f t="shared" si="4"/>
        <v>1</v>
      </c>
      <c r="AN16" s="361">
        <f t="shared" si="4"/>
        <v>0.99809941520467838</v>
      </c>
    </row>
    <row r="17" spans="1:40" ht="14.45" hidden="1" customHeight="1">
      <c r="A17" s="362" t="s">
        <v>125</v>
      </c>
      <c r="B17" s="363">
        <f>SUMIFS(WTG_BD!$T:$T,WTG_BD!$F:$F,"&gt;="&amp;Analytices!$B$2,WTG_BD!$F:$F,"&lt;="&amp;Analytices!$B$3,WTG_BD!$G:$G,B4,WTG_BD!$M:$M,'Basic Data'!$N$10)</f>
        <v>9.3333333333333357</v>
      </c>
      <c r="C17" s="363">
        <f>SUMIFS(WTG_BD!$T:$T,WTG_BD!$F:$F,"&gt;="&amp;Analytices!$B$2,WTG_BD!$F:$F,"&lt;="&amp;Analytices!$B$3,WTG_BD!$G:$G,C4,WTG_BD!$M:$M,'Basic Data'!$N$10)</f>
        <v>1.7333333333333325</v>
      </c>
      <c r="D17" s="363">
        <f>SUMIFS(WTG_BD!$T:$T,WTG_BD!$F:$F,"&gt;="&amp;Analytices!$B$2,WTG_BD!$F:$F,"&lt;="&amp;Analytices!$B$3,WTG_BD!$G:$G,D4,WTG_BD!$M:$M,'Basic Data'!$N$10)</f>
        <v>0</v>
      </c>
      <c r="E17" s="363">
        <f>SUMIFS(WTG_BD!$T:$T,WTG_BD!$F:$F,"&gt;="&amp;Analytices!$B$2,WTG_BD!$F:$F,"&lt;="&amp;Analytices!$B$3,WTG_BD!$G:$G,E4,WTG_BD!$M:$M,'Basic Data'!$N$10)</f>
        <v>12.450000000000001</v>
      </c>
      <c r="F17" s="363">
        <f>SUMIFS(WTG_BD!$T:$T,WTG_BD!$F:$F,"&gt;="&amp;Analytices!$B$2,WTG_BD!$F:$F,"&lt;="&amp;Analytices!$B$3,WTG_BD!$G:$G,F4,WTG_BD!$M:$M,'Basic Data'!$N$10)</f>
        <v>0</v>
      </c>
      <c r="G17" s="363">
        <f>SUMIFS(WTG_BD!$T:$T,WTG_BD!$F:$F,"&gt;="&amp;Analytices!$B$2,WTG_BD!$F:$F,"&lt;="&amp;Analytices!$B$3,WTG_BD!$G:$G,G4,WTG_BD!$M:$M,'Basic Data'!$N$10)</f>
        <v>3.7166666666666641</v>
      </c>
      <c r="H17" s="363">
        <f>SUMIFS(WTG_BD!$T:$T,WTG_BD!$F:$F,"&gt;="&amp;Analytices!$B$2,WTG_BD!$F:$F,"&lt;="&amp;Analytices!$B$3,WTG_BD!$G:$G,H4,WTG_BD!$M:$M,'Basic Data'!$N$10)</f>
        <v>0</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0</v>
      </c>
      <c r="L17" s="363">
        <f>SUMIFS(WTG_BD!$T:$T,WTG_BD!$F:$F,"&gt;="&amp;Analytices!$B$2,WTG_BD!$F:$F,"&lt;="&amp;Analytices!$B$3,WTG_BD!$G:$G,L4,WTG_BD!$M:$M,'Basic Data'!$N$10)</f>
        <v>3.2166666666666659</v>
      </c>
      <c r="M17" s="363">
        <f>SUMIFS(WTG_BD!$T:$T,WTG_BD!$F:$F,"&gt;="&amp;Analytices!$B$2,WTG_BD!$F:$F,"&lt;="&amp;Analytices!$B$3,WTG_BD!$G:$G,M4,WTG_BD!$M:$M,'Basic Data'!$N$10)</f>
        <v>6.4166666666666714</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0</v>
      </c>
      <c r="Q17" s="363">
        <f>SUMIFS(WTG_BD!$T:$T,WTG_BD!$F:$F,"&gt;="&amp;Analytices!$B$2,WTG_BD!$F:$F,"&lt;="&amp;Analytices!$B$3,WTG_BD!$G:$G,Q4,WTG_BD!$M:$M,'Basic Data'!$N$10)</f>
        <v>7.2999999999999954</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1.4500000000000002</v>
      </c>
      <c r="V17" s="363">
        <f>SUMIFS(WTG_BD!$T:$T,WTG_BD!$F:$F,"&gt;="&amp;Analytices!$B$2,WTG_BD!$F:$F,"&lt;="&amp;Analytices!$B$3,WTG_BD!$G:$G,V4,WTG_BD!$M:$M,'Basic Data'!$N$10)</f>
        <v>0</v>
      </c>
      <c r="W17" s="363">
        <f>SUMIFS(WTG_BD!$T:$T,WTG_BD!$F:$F,"&gt;="&amp;Analytices!$B$2,WTG_BD!$F:$F,"&lt;="&amp;Analytices!$B$3,WTG_BD!$G:$G,W4,WTG_BD!$M:$M,'Basic Data'!$N$10)</f>
        <v>0</v>
      </c>
      <c r="X17" s="363">
        <f>SUMIFS(WTG_BD!$T:$T,WTG_BD!$F:$F,"&gt;="&amp;Analytices!$B$2,WTG_BD!$F:$F,"&lt;="&amp;Analytices!$B$3,WTG_BD!$G:$G,X4,WTG_BD!$M:$M,'Basic Data'!$N$10)</f>
        <v>2.5666666666666655</v>
      </c>
      <c r="Y17" s="363">
        <f>SUMIFS(WTG_BD!$T:$T,WTG_BD!$F:$F,"&gt;="&amp;Analytices!$B$2,WTG_BD!$F:$F,"&lt;="&amp;Analytices!$B$3,WTG_BD!$G:$G,Y4,WTG_BD!$M:$M,'Basic Data'!$N$10)</f>
        <v>0</v>
      </c>
      <c r="Z17" s="363">
        <f>SUMIFS(WTG_BD!$T:$T,WTG_BD!$F:$F,"&gt;="&amp;Analytices!$B$2,WTG_BD!$F:$F,"&lt;="&amp;Analytices!$B$3,WTG_BD!$G:$G,Z4,WTG_BD!$M:$M,'Basic Data'!$N$10)</f>
        <v>3.283333333333331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0</v>
      </c>
      <c r="AD17" s="363">
        <f>SUMIFS(WTG_BD!$T:$T,WTG_BD!$F:$F,"&gt;="&amp;Analytices!$B$2,WTG_BD!$F:$F,"&lt;="&amp;Analytices!$B$3,WTG_BD!$G:$G,AD4,WTG_BD!$M:$M,'Basic Data'!$N$10)</f>
        <v>0</v>
      </c>
      <c r="AE17" s="363">
        <f>SUMIFS(WTG_BD!$T:$T,WTG_BD!$F:$F,"&gt;="&amp;Analytices!$B$2,WTG_BD!$F:$F,"&lt;="&amp;Analytices!$B$3,WTG_BD!$G:$G,AE4,WTG_BD!$M:$M,'Basic Data'!$N$10)</f>
        <v>215.99750000000006</v>
      </c>
      <c r="AF17" s="363">
        <f>SUMIFS(WTG_BD!$T:$T,WTG_BD!$F:$F,"&gt;="&amp;Analytices!$B$2,WTG_BD!$F:$F,"&lt;="&amp;Analytices!$B$3,WTG_BD!$G:$G,AF4,WTG_BD!$M:$M,'Basic Data'!$N$10)</f>
        <v>14.483333333333329</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0.94999999999999929</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45" hidden="1" customHeight="1">
      <c r="A18" s="362" t="s">
        <v>126</v>
      </c>
      <c r="B18" s="363">
        <f>COUNTIFS(WTG_BD!$F:$F,"&gt;="&amp;Analytices!$B$2,WTG_BD!$F:$F,"&lt;="&amp;Analytices!$B$3,WTG_BD!$G:$G,B4,WTG_BD!$M:$M,'Basic Data'!$N$10)</f>
        <v>5</v>
      </c>
      <c r="C18" s="363">
        <f>COUNTIFS(WTG_BD!$F:$F,"&gt;="&amp;Analytices!$B$2,WTG_BD!$F:$F,"&lt;="&amp;Analytices!$B$3,WTG_BD!$G:$G,C4,WTG_BD!$M:$M,'Basic Data'!$N$10)</f>
        <v>1</v>
      </c>
      <c r="D18" s="363">
        <f>COUNTIFS(WTG_BD!$F:$F,"&gt;="&amp;Analytices!$B$2,WTG_BD!$F:$F,"&lt;="&amp;Analytices!$B$3,WTG_BD!$G:$G,D4,WTG_BD!$M:$M,'Basic Data'!$N$10)</f>
        <v>0</v>
      </c>
      <c r="E18" s="363">
        <f>COUNTIFS(WTG_BD!$F:$F,"&gt;="&amp;Analytices!$B$2,WTG_BD!$F:$F,"&lt;="&amp;Analytices!$B$3,WTG_BD!$G:$G,E4,WTG_BD!$M:$M,'Basic Data'!$N$10)</f>
        <v>4</v>
      </c>
      <c r="F18" s="363">
        <f>COUNTIFS(WTG_BD!$F:$F,"&gt;="&amp;Analytices!$B$2,WTG_BD!$F:$F,"&lt;="&amp;Analytices!$B$3,WTG_BD!$G:$G,F4,WTG_BD!$M:$M,'Basic Data'!$N$10)</f>
        <v>0</v>
      </c>
      <c r="G18" s="363">
        <f>COUNTIFS(WTG_BD!$F:$F,"&gt;="&amp;Analytices!$B$2,WTG_BD!$F:$F,"&lt;="&amp;Analytices!$B$3,WTG_BD!$G:$G,G4,WTG_BD!$M:$M,'Basic Data'!$N$10)</f>
        <v>2</v>
      </c>
      <c r="H18" s="363">
        <f>COUNTIFS(WTG_BD!$F:$F,"&gt;="&amp;Analytices!$B$2,WTG_BD!$F:$F,"&lt;="&amp;Analytices!$B$3,WTG_BD!$G:$G,H4,WTG_BD!$M:$M,'Basic Data'!$N$10)</f>
        <v>0</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0</v>
      </c>
      <c r="L18" s="363">
        <f>COUNTIFS(WTG_BD!$F:$F,"&gt;="&amp;Analytices!$B$2,WTG_BD!$F:$F,"&lt;="&amp;Analytices!$B$3,WTG_BD!$G:$G,L4,WTG_BD!$M:$M,'Basic Data'!$N$10)</f>
        <v>3</v>
      </c>
      <c r="M18" s="363">
        <f>COUNTIFS(WTG_BD!$F:$F,"&gt;="&amp;Analytices!$B$2,WTG_BD!$F:$F,"&lt;="&amp;Analytices!$B$3,WTG_BD!$G:$G,M4,WTG_BD!$M:$M,'Basic Data'!$N$10)</f>
        <v>6</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0</v>
      </c>
      <c r="Q18" s="363">
        <f>COUNTIFS(WTG_BD!$F:$F,"&gt;="&amp;Analytices!$B$2,WTG_BD!$F:$F,"&lt;="&amp;Analytices!$B$3,WTG_BD!$G:$G,Q4,WTG_BD!$M:$M,'Basic Data'!$N$10)</f>
        <v>4</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1</v>
      </c>
      <c r="V18" s="363">
        <f>COUNTIFS(WTG_BD!$F:$F,"&gt;="&amp;Analytices!$B$2,WTG_BD!$F:$F,"&lt;="&amp;Analytices!$B$3,WTG_BD!$G:$G,V4,WTG_BD!$M:$M,'Basic Data'!$N$10)</f>
        <v>0</v>
      </c>
      <c r="W18" s="363">
        <f>COUNTIFS(WTG_BD!$F:$F,"&gt;="&amp;Analytices!$B$2,WTG_BD!$F:$F,"&lt;="&amp;Analytices!$B$3,WTG_BD!$G:$G,W4,WTG_BD!$M:$M,'Basic Data'!$N$10)</f>
        <v>0</v>
      </c>
      <c r="X18" s="363">
        <f>COUNTIFS(WTG_BD!$F:$F,"&gt;="&amp;Analytices!$B$2,WTG_BD!$F:$F,"&lt;="&amp;Analytices!$B$3,WTG_BD!$G:$G,X4,WTG_BD!$M:$M,'Basic Data'!$N$10)</f>
        <v>2</v>
      </c>
      <c r="Y18" s="363">
        <f>COUNTIFS(WTG_BD!$F:$F,"&gt;="&amp;Analytices!$B$2,WTG_BD!$F:$F,"&lt;="&amp;Analytices!$B$3,WTG_BD!$G:$G,Y4,WTG_BD!$M:$M,'Basic Data'!$N$10)</f>
        <v>0</v>
      </c>
      <c r="Z18" s="363">
        <f>COUNTIFS(WTG_BD!$F:$F,"&gt;="&amp;Analytices!$B$2,WTG_BD!$F:$F,"&lt;="&amp;Analytices!$B$3,WTG_BD!$G:$G,Z4,WTG_BD!$M:$M,'Basic Data'!$N$10)</f>
        <v>3</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0</v>
      </c>
      <c r="AD18" s="363">
        <f>COUNTIFS(WTG_BD!$F:$F,"&gt;="&amp;Analytices!$B$2,WTG_BD!$F:$F,"&lt;="&amp;Analytices!$B$3,WTG_BD!$G:$G,AD4,WTG_BD!$M:$M,'Basic Data'!$N$10)</f>
        <v>0</v>
      </c>
      <c r="AE18" s="363">
        <f>COUNTIFS(WTG_BD!$F:$F,"&gt;="&amp;Analytices!$B$2,WTG_BD!$F:$F,"&lt;="&amp;Analytices!$B$3,WTG_BD!$G:$G,AE4,WTG_BD!$M:$M,'Basic Data'!$N$10)</f>
        <v>9</v>
      </c>
      <c r="AF18" s="363">
        <f>COUNTIFS(WTG_BD!$F:$F,"&gt;="&amp;Analytices!$B$2,WTG_BD!$F:$F,"&lt;="&amp;Analytices!$B$3,WTG_BD!$G:$G,AF4,WTG_BD!$M:$M,'Basic Data'!$N$10)</f>
        <v>7</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1</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 customHeight="1">
      <c r="A19" s="359" t="s">
        <v>127</v>
      </c>
      <c r="B19" s="363">
        <f>IFERROR(B17/B18,0)</f>
        <v>1.8666666666666671</v>
      </c>
      <c r="C19" s="363">
        <f t="shared" ref="C19:AN19" si="5">IFERROR(C17/C18,0)</f>
        <v>1.7333333333333325</v>
      </c>
      <c r="D19" s="363">
        <f t="shared" si="5"/>
        <v>0</v>
      </c>
      <c r="E19" s="363">
        <f t="shared" si="5"/>
        <v>3.1125000000000003</v>
      </c>
      <c r="F19" s="363">
        <f t="shared" si="5"/>
        <v>0</v>
      </c>
      <c r="G19" s="363">
        <f t="shared" si="5"/>
        <v>1.8583333333333321</v>
      </c>
      <c r="H19" s="363">
        <f t="shared" si="5"/>
        <v>0</v>
      </c>
      <c r="I19" s="363">
        <f t="shared" si="5"/>
        <v>0</v>
      </c>
      <c r="J19" s="363">
        <f t="shared" si="5"/>
        <v>0.72222222222222232</v>
      </c>
      <c r="K19" s="363">
        <f t="shared" si="5"/>
        <v>0</v>
      </c>
      <c r="L19" s="363">
        <f t="shared" si="5"/>
        <v>1.072222222222222</v>
      </c>
      <c r="M19" s="363">
        <f t="shared" si="5"/>
        <v>1.0694444444444453</v>
      </c>
      <c r="N19" s="363">
        <f t="shared" si="5"/>
        <v>1.5</v>
      </c>
      <c r="O19" s="363">
        <f t="shared" si="5"/>
        <v>2.6499999999999986</v>
      </c>
      <c r="P19" s="363">
        <f t="shared" si="5"/>
        <v>0</v>
      </c>
      <c r="Q19" s="363">
        <f t="shared" si="5"/>
        <v>1.8249999999999988</v>
      </c>
      <c r="R19" s="363">
        <f t="shared" si="5"/>
        <v>22.4203431372549</v>
      </c>
      <c r="S19" s="363">
        <f t="shared" si="5"/>
        <v>0</v>
      </c>
      <c r="T19" s="363">
        <f t="shared" si="5"/>
        <v>0</v>
      </c>
      <c r="U19" s="363">
        <f t="shared" si="5"/>
        <v>1.4500000000000002</v>
      </c>
      <c r="V19" s="363">
        <f t="shared" si="5"/>
        <v>0</v>
      </c>
      <c r="W19" s="363">
        <f t="shared" si="5"/>
        <v>0</v>
      </c>
      <c r="X19" s="363">
        <f t="shared" si="5"/>
        <v>1.2833333333333328</v>
      </c>
      <c r="Y19" s="363">
        <f t="shared" si="5"/>
        <v>0</v>
      </c>
      <c r="Z19" s="363">
        <f t="shared" si="5"/>
        <v>1.0944444444444437</v>
      </c>
      <c r="AA19" s="363">
        <f t="shared" si="5"/>
        <v>0</v>
      </c>
      <c r="AB19" s="363">
        <f t="shared" si="5"/>
        <v>3.4916666666666663</v>
      </c>
      <c r="AC19" s="363">
        <f t="shared" si="5"/>
        <v>0</v>
      </c>
      <c r="AD19" s="363">
        <f t="shared" si="5"/>
        <v>0</v>
      </c>
      <c r="AE19" s="363">
        <f t="shared" si="5"/>
        <v>23.999722222222228</v>
      </c>
      <c r="AF19" s="363">
        <f t="shared" si="5"/>
        <v>2.0690476190476184</v>
      </c>
      <c r="AG19" s="363">
        <f t="shared" si="5"/>
        <v>0.61666666666666448</v>
      </c>
      <c r="AH19" s="363">
        <f t="shared" si="5"/>
        <v>0</v>
      </c>
      <c r="AI19" s="363">
        <f t="shared" si="5"/>
        <v>1.3499999999999992</v>
      </c>
      <c r="AJ19" s="363">
        <f t="shared" si="5"/>
        <v>0.94999999999999929</v>
      </c>
      <c r="AK19" s="363">
        <f t="shared" si="5"/>
        <v>0</v>
      </c>
      <c r="AL19" s="363">
        <f t="shared" si="5"/>
        <v>0</v>
      </c>
      <c r="AM19" s="363">
        <f t="shared" si="5"/>
        <v>0</v>
      </c>
      <c r="AN19" s="363">
        <f t="shared" si="5"/>
        <v>0.86666666666666625</v>
      </c>
    </row>
    <row r="20" spans="1:40" ht="29.1" customHeight="1">
      <c r="A20" s="359" t="s">
        <v>128</v>
      </c>
      <c r="B20" s="363">
        <f>IFERROR(($C$3-B17)/B18,$C$3)</f>
        <v>89.333333333333343</v>
      </c>
      <c r="C20" s="363">
        <f t="shared" ref="C20:AN20" si="6">IFERROR(($C$3-C17)/C18,$C$3)</f>
        <v>454.26666666666665</v>
      </c>
      <c r="D20" s="363">
        <f t="shared" si="6"/>
        <v>456</v>
      </c>
      <c r="E20" s="363">
        <f t="shared" si="6"/>
        <v>110.8875</v>
      </c>
      <c r="F20" s="363">
        <f t="shared" si="6"/>
        <v>456</v>
      </c>
      <c r="G20" s="363">
        <f t="shared" si="6"/>
        <v>226.14166666666668</v>
      </c>
      <c r="H20" s="363">
        <f t="shared" si="6"/>
        <v>456</v>
      </c>
      <c r="I20" s="363">
        <f t="shared" si="6"/>
        <v>456</v>
      </c>
      <c r="J20" s="363">
        <f t="shared" si="6"/>
        <v>151.27777777777777</v>
      </c>
      <c r="K20" s="363">
        <f t="shared" si="6"/>
        <v>456</v>
      </c>
      <c r="L20" s="363">
        <f t="shared" si="6"/>
        <v>150.92777777777778</v>
      </c>
      <c r="M20" s="363">
        <f t="shared" si="6"/>
        <v>74.930555555555557</v>
      </c>
      <c r="N20" s="363">
        <f t="shared" si="6"/>
        <v>454.5</v>
      </c>
      <c r="O20" s="363">
        <f t="shared" si="6"/>
        <v>453.35</v>
      </c>
      <c r="P20" s="363">
        <f t="shared" si="6"/>
        <v>456</v>
      </c>
      <c r="Q20" s="363">
        <f t="shared" si="6"/>
        <v>112.175</v>
      </c>
      <c r="R20" s="363">
        <f t="shared" si="6"/>
        <v>4.4031862745098049</v>
      </c>
      <c r="S20" s="363">
        <f t="shared" si="6"/>
        <v>456</v>
      </c>
      <c r="T20" s="363">
        <f t="shared" si="6"/>
        <v>456</v>
      </c>
      <c r="U20" s="363">
        <f t="shared" si="6"/>
        <v>454.55</v>
      </c>
      <c r="V20" s="363">
        <f t="shared" si="6"/>
        <v>456</v>
      </c>
      <c r="W20" s="363">
        <f t="shared" si="6"/>
        <v>456</v>
      </c>
      <c r="X20" s="363">
        <f t="shared" si="6"/>
        <v>226.71666666666667</v>
      </c>
      <c r="Y20" s="363">
        <f t="shared" si="6"/>
        <v>456</v>
      </c>
      <c r="Z20" s="363">
        <f t="shared" si="6"/>
        <v>150.90555555555557</v>
      </c>
      <c r="AA20" s="363">
        <f t="shared" si="6"/>
        <v>456</v>
      </c>
      <c r="AB20" s="363">
        <f t="shared" si="6"/>
        <v>224.50833333333333</v>
      </c>
      <c r="AC20" s="363">
        <f t="shared" si="6"/>
        <v>456</v>
      </c>
      <c r="AD20" s="363">
        <f t="shared" si="6"/>
        <v>456</v>
      </c>
      <c r="AE20" s="363">
        <f t="shared" si="6"/>
        <v>26.666944444444439</v>
      </c>
      <c r="AF20" s="363">
        <f t="shared" si="6"/>
        <v>63.073809523809523</v>
      </c>
      <c r="AG20" s="363">
        <f t="shared" si="6"/>
        <v>455.38333333333333</v>
      </c>
      <c r="AH20" s="363">
        <f t="shared" si="6"/>
        <v>456</v>
      </c>
      <c r="AI20" s="363">
        <f t="shared" si="6"/>
        <v>226.65</v>
      </c>
      <c r="AJ20" s="363">
        <f t="shared" si="6"/>
        <v>455.05</v>
      </c>
      <c r="AK20" s="363">
        <f t="shared" si="6"/>
        <v>456</v>
      </c>
      <c r="AL20" s="363">
        <f t="shared" si="6"/>
        <v>456</v>
      </c>
      <c r="AM20" s="363">
        <f t="shared" si="6"/>
        <v>456</v>
      </c>
      <c r="AN20" s="363">
        <f t="shared" si="6"/>
        <v>455.13333333333333</v>
      </c>
    </row>
    <row r="21" spans="1:40" ht="29.1" customHeight="1">
      <c r="A21" s="359" t="s">
        <v>129</v>
      </c>
      <c r="B21" s="363">
        <f>ROUND(AVERAGEIFS(Input_Raw!AS:AS,Input_Raw!$A:$A,"&gt;="&amp;Analytices!$B$2,Input_Raw!$A:$A,"&lt;="&amp;Analytices!$B$3),1)</f>
        <v>5.6</v>
      </c>
      <c r="C21" s="363">
        <f>ROUND(AVERAGEIFS(Input_Raw!AT:AT,Input_Raw!$A:$A,"&gt;="&amp;Analytices!$B$2,Input_Raw!$A:$A,"&lt;="&amp;Analytices!$B$3),1)</f>
        <v>5.5</v>
      </c>
      <c r="D21" s="363">
        <f>ROUND(AVERAGEIFS(Input_Raw!AU:AU,Input_Raw!$A:$A,"&gt;="&amp;Analytices!$B$2,Input_Raw!$A:$A,"&lt;="&amp;Analytices!$B$3),1)</f>
        <v>5.3</v>
      </c>
      <c r="E21" s="363">
        <f>ROUND(AVERAGEIFS(Input_Raw!AV:AV,Input_Raw!$A:$A,"&gt;="&amp;Analytices!$B$2,Input_Raw!$A:$A,"&lt;="&amp;Analytices!$B$3),1)</f>
        <v>5.4</v>
      </c>
      <c r="F21" s="363">
        <f>ROUND(AVERAGEIFS(Input_Raw!AW:AW,Input_Raw!$A:$A,"&gt;="&amp;Analytices!$B$2,Input_Raw!$A:$A,"&lt;="&amp;Analytices!$B$3),1)</f>
        <v>5.5</v>
      </c>
      <c r="G21" s="363">
        <f>ROUND(AVERAGEIFS(Input_Raw!AX:AX,Input_Raw!$A:$A,"&gt;="&amp;Analytices!$B$2,Input_Raw!$A:$A,"&lt;="&amp;Analytices!$B$3),1)</f>
        <v>5.5</v>
      </c>
      <c r="H21" s="363">
        <f>ROUND(AVERAGEIFS(Input_Raw!AY:AY,Input_Raw!$A:$A,"&gt;="&amp;Analytices!$B$2,Input_Raw!$A:$A,"&lt;="&amp;Analytices!$B$3),1)</f>
        <v>5.2</v>
      </c>
      <c r="I21" s="363">
        <f>ROUND(AVERAGEIFS(Input_Raw!AZ:AZ,Input_Raw!$A:$A,"&gt;="&amp;Analytices!$B$2,Input_Raw!$A:$A,"&lt;="&amp;Analytices!$B$3),1)</f>
        <v>5.5</v>
      </c>
      <c r="J21" s="363">
        <f>ROUND(AVERAGEIFS(Input_Raw!BA:BA,Input_Raw!$A:$A,"&gt;="&amp;Analytices!$B$2,Input_Raw!$A:$A,"&lt;="&amp;Analytices!$B$3),1)</f>
        <v>5.2</v>
      </c>
      <c r="K21" s="363">
        <f>ROUND(AVERAGEIFS(Input_Raw!BB:BB,Input_Raw!$A:$A,"&gt;="&amp;Analytices!$B$2,Input_Raw!$A:$A,"&lt;="&amp;Analytices!$B$3),1)</f>
        <v>5.5</v>
      </c>
      <c r="L21" s="363">
        <f>ROUND(AVERAGEIFS(Input_Raw!BC:BC,Input_Raw!$A:$A,"&gt;="&amp;Analytices!$B$2,Input_Raw!$A:$A,"&lt;="&amp;Analytices!$B$3),1)</f>
        <v>5.6</v>
      </c>
      <c r="M21" s="363">
        <f>ROUND(AVERAGEIFS(Input_Raw!BD:BD,Input_Raw!$A:$A,"&gt;="&amp;Analytices!$B$2,Input_Raw!$A:$A,"&lt;="&amp;Analytices!$B$3),1)</f>
        <v>5.4</v>
      </c>
      <c r="N21" s="363">
        <f>ROUND(AVERAGEIFS(Input_Raw!BE:BE,Input_Raw!$A:$A,"&gt;="&amp;Analytices!$B$2,Input_Raw!$A:$A,"&lt;="&amp;Analytices!$B$3),1)</f>
        <v>5.5</v>
      </c>
      <c r="O21" s="363">
        <f>ROUND(AVERAGEIFS(Input_Raw!BF:BF,Input_Raw!$A:$A,"&gt;="&amp;Analytices!$B$2,Input_Raw!$A:$A,"&lt;="&amp;Analytices!$B$3),1)</f>
        <v>5.6</v>
      </c>
      <c r="P21" s="363">
        <f>ROUND(AVERAGEIFS(Input_Raw!BG:BG,Input_Raw!$A:$A,"&gt;="&amp;Analytices!$B$2,Input_Raw!$A:$A,"&lt;="&amp;Analytices!$B$3),1)</f>
        <v>5.6</v>
      </c>
      <c r="Q21" s="363">
        <f>ROUND(AVERAGEIFS(Input_Raw!BH:BH,Input_Raw!$A:$A,"&gt;="&amp;Analytices!$B$2,Input_Raw!$A:$A,"&lt;="&amp;Analytices!$B$3),1)</f>
        <v>5.4</v>
      </c>
      <c r="R21" s="363">
        <f>ROUND(AVERAGEIFS(Input_Raw!BI:BI,Input_Raw!$A:$A,"&gt;="&amp;Analytices!$B$2,Input_Raw!$A:$A,"&lt;="&amp;Analytices!$B$3),1)</f>
        <v>0.8</v>
      </c>
      <c r="S21" s="363">
        <f>ROUND(AVERAGEIFS(Input_Raw!BJ:BJ,Input_Raw!$A:$A,"&gt;="&amp;Analytices!$B$2,Input_Raw!$A:$A,"&lt;="&amp;Analytices!$B$3),1)</f>
        <v>5.7</v>
      </c>
      <c r="T21" s="363">
        <f>ROUND(AVERAGEIFS(Input_Raw!BK:BK,Input_Raw!$A:$A,"&gt;="&amp;Analytices!$B$2,Input_Raw!$A:$A,"&lt;="&amp;Analytices!$B$3),1)</f>
        <v>5.9</v>
      </c>
      <c r="U21" s="363">
        <f>ROUND(AVERAGEIFS(Input_Raw!BL:BL,Input_Raw!$A:$A,"&gt;="&amp;Analytices!$B$2,Input_Raw!$A:$A,"&lt;="&amp;Analytices!$B$3),1)</f>
        <v>5.7</v>
      </c>
      <c r="V21" s="363">
        <f>ROUND(AVERAGEIFS(Input_Raw!BM:BM,Input_Raw!$A:$A,"&gt;="&amp;Analytices!$B$2,Input_Raw!$A:$A,"&lt;="&amp;Analytices!$B$3),1)</f>
        <v>5.6</v>
      </c>
      <c r="W21" s="363">
        <f>ROUND(AVERAGEIFS(Input_Raw!BN:BN,Input_Raw!$A:$A,"&gt;="&amp;Analytices!$B$2,Input_Raw!$A:$A,"&lt;="&amp;Analytices!$B$3),1)</f>
        <v>5.6</v>
      </c>
      <c r="X21" s="363">
        <f>ROUND(AVERAGEIFS(Input_Raw!BO:BO,Input_Raw!$A:$A,"&gt;="&amp;Analytices!$B$2,Input_Raw!$A:$A,"&lt;="&amp;Analytices!$B$3),1)</f>
        <v>4.7</v>
      </c>
      <c r="Y21" s="363">
        <f>ROUND(AVERAGEIFS(Input_Raw!BP:BP,Input_Raw!$A:$A,"&gt;="&amp;Analytices!$B$2,Input_Raw!$A:$A,"&lt;="&amp;Analytices!$B$3),1)</f>
        <v>5.4</v>
      </c>
      <c r="Z21" s="363">
        <f>ROUND(AVERAGEIFS(Input_Raw!BQ:BQ,Input_Raw!$A:$A,"&gt;="&amp;Analytices!$B$2,Input_Raw!$A:$A,"&lt;="&amp;Analytices!$B$3),1)</f>
        <v>5.4</v>
      </c>
      <c r="AA21" s="363">
        <f>ROUND(AVERAGEIFS(Input_Raw!BR:BR,Input_Raw!$A:$A,"&gt;="&amp;Analytices!$B$2,Input_Raw!$A:$A,"&lt;="&amp;Analytices!$B$3),1)</f>
        <v>5.4</v>
      </c>
      <c r="AB21" s="363">
        <f>ROUND(AVERAGEIFS(Input_Raw!BS:BS,Input_Raw!$A:$A,"&gt;="&amp;Analytices!$B$2,Input_Raw!$A:$A,"&lt;="&amp;Analytices!$B$3),1)</f>
        <v>5.2</v>
      </c>
      <c r="AC21" s="363">
        <f>ROUND(AVERAGEIFS(Input_Raw!BT:BT,Input_Raw!$A:$A,"&gt;="&amp;Analytices!$B$2,Input_Raw!$A:$A,"&lt;="&amp;Analytices!$B$3),1)</f>
        <v>0</v>
      </c>
      <c r="AD21" s="363">
        <f>ROUND(AVERAGEIFS(Input_Raw!BU:BU,Input_Raw!$A:$A,"&gt;="&amp;Analytices!$B$2,Input_Raw!$A:$A,"&lt;="&amp;Analytices!$B$3),1)</f>
        <v>5.2</v>
      </c>
      <c r="AE21" s="363">
        <f>ROUND(AVERAGEIFS(Input_Raw!BV:BV,Input_Raw!$A:$A,"&gt;="&amp;Analytices!$B$2,Input_Raw!$A:$A,"&lt;="&amp;Analytices!$B$3),1)</f>
        <v>0</v>
      </c>
      <c r="AF21" s="363">
        <f>ROUND(AVERAGEIFS(Input_Raw!BW:BW,Input_Raw!$A:$A,"&gt;="&amp;Analytices!$B$2,Input_Raw!$A:$A,"&lt;="&amp;Analytices!$B$3),1)</f>
        <v>5.2</v>
      </c>
      <c r="AG21" s="363">
        <f>ROUND(AVERAGEIFS(Input_Raw!BX:BX,Input_Raw!$A:$A,"&gt;="&amp;Analytices!$B$2,Input_Raw!$A:$A,"&lt;="&amp;Analytices!$B$3),1)</f>
        <v>5.3</v>
      </c>
      <c r="AH21" s="363">
        <f>ROUND(AVERAGEIFS(Input_Raw!BY:BY,Input_Raw!$A:$A,"&gt;="&amp;Analytices!$B$2,Input_Raw!$A:$A,"&lt;="&amp;Analytices!$B$3),1)</f>
        <v>5.6</v>
      </c>
      <c r="AI21" s="363">
        <f>ROUND(AVERAGEIFS(Input_Raw!BZ:BZ,Input_Raw!$A:$A,"&gt;="&amp;Analytices!$B$2,Input_Raw!$A:$A,"&lt;="&amp;Analytices!$B$3),1)</f>
        <v>5.5</v>
      </c>
      <c r="AJ21" s="363">
        <f>ROUND(AVERAGEIFS(Input_Raw!CA:CA,Input_Raw!$A:$A,"&gt;="&amp;Analytices!$B$2,Input_Raw!$A:$A,"&lt;="&amp;Analytices!$B$3),1)</f>
        <v>5.5</v>
      </c>
      <c r="AK21" s="363">
        <f>ROUND(AVERAGEIFS(Input_Raw!CB:CB,Input_Raw!$A:$A,"&gt;="&amp;Analytices!$B$2,Input_Raw!$A:$A,"&lt;="&amp;Analytices!$B$3),1)</f>
        <v>5.5</v>
      </c>
      <c r="AL21" s="363">
        <f>ROUND(AVERAGEIFS(Input_Raw!CC:CC,Input_Raw!$A:$A,"&gt;="&amp;Analytices!$B$2,Input_Raw!$A:$A,"&lt;="&amp;Analytices!$B$3),1)</f>
        <v>5.3</v>
      </c>
      <c r="AM21" s="363">
        <f>ROUND(AVERAGEIFS(Input_Raw!CD:CD,Input_Raw!$A:$A,"&gt;="&amp;Analytices!$B$2,Input_Raw!$A:$A,"&lt;="&amp;Analytices!$B$3),1)</f>
        <v>5.2</v>
      </c>
      <c r="AN21" s="363">
        <f>ROUND(AVERAGEIFS(Input_Raw!CE:CE,Input_Raw!$A:$A,"&gt;="&amp;Analytices!$B$2,Input_Raw!$A:$A,"&lt;="&amp;Analytices!$B$3),1)</f>
        <v>5.4</v>
      </c>
    </row>
    <row r="22" spans="1:40" ht="29.1" customHeight="1">
      <c r="A22" s="367"/>
    </row>
    <row r="23" spans="1:40" ht="29.1" customHeight="1">
      <c r="A23" s="396" t="s">
        <v>130</v>
      </c>
      <c r="B23" s="396"/>
      <c r="C23" s="396"/>
      <c r="D23" s="396"/>
      <c r="E23" s="396"/>
      <c r="F23" s="396"/>
      <c r="G23" s="396"/>
    </row>
    <row r="24" spans="1:40" ht="29.1" customHeight="1">
      <c r="A24" s="368">
        <v>45017</v>
      </c>
    </row>
    <row r="25" spans="1:40" ht="29.1" customHeight="1">
      <c r="D25" s="394" t="s">
        <v>131</v>
      </c>
      <c r="E25" s="394"/>
      <c r="F25" s="394" t="s">
        <v>132</v>
      </c>
      <c r="G25" s="394"/>
    </row>
    <row r="26" spans="1:40" ht="29.1" customHeight="1">
      <c r="D26" s="394">
        <f ca="1">F26</f>
        <v>20160</v>
      </c>
      <c r="E26" s="394"/>
      <c r="F26" s="395">
        <f ca="1">((TODAY()-1)-(A24))*24</f>
        <v>20160</v>
      </c>
      <c r="G26" s="395"/>
    </row>
    <row r="27" spans="1:40" ht="29.1" customHeight="1">
      <c r="A27" s="369" t="s">
        <v>133</v>
      </c>
      <c r="B27" s="84" t="s">
        <v>134</v>
      </c>
    </row>
    <row r="29" spans="1:40" ht="29.1" customHeight="1">
      <c r="A29" s="369" t="s">
        <v>135</v>
      </c>
      <c r="B29" s="84" t="s">
        <v>136</v>
      </c>
      <c r="C29" s="84" t="s">
        <v>137</v>
      </c>
      <c r="D29" s="84" t="s">
        <v>138</v>
      </c>
      <c r="E29" s="84" t="s">
        <v>139</v>
      </c>
    </row>
    <row r="30" spans="1:40" ht="29.1" customHeight="1">
      <c r="A30" s="98" t="s">
        <v>140</v>
      </c>
      <c r="B30" s="370">
        <v>0.21666666666666856</v>
      </c>
      <c r="C30" s="370">
        <v>1</v>
      </c>
      <c r="D30" s="363">
        <f>B30/C30</f>
        <v>0.21666666666666856</v>
      </c>
      <c r="E30" s="363">
        <f ca="1">$D$26/C30</f>
        <v>20160</v>
      </c>
    </row>
    <row r="31" spans="1:40" ht="29.1" customHeight="1">
      <c r="A31" s="98" t="s">
        <v>141</v>
      </c>
      <c r="B31" s="370">
        <v>9.3333333333333357</v>
      </c>
      <c r="C31" s="370">
        <v>2</v>
      </c>
      <c r="D31" s="363">
        <f t="shared" ref="D31:D94" si="7">B31/C31</f>
        <v>4.6666666666666679</v>
      </c>
      <c r="E31" s="363">
        <f t="shared" ref="E31:E94" ca="1" si="8">$D$26/C31</f>
        <v>10080</v>
      </c>
    </row>
    <row r="32" spans="1:40" ht="29.1" customHeight="1">
      <c r="A32" s="98" t="s">
        <v>142</v>
      </c>
      <c r="B32" s="370">
        <v>6.0666666666666691</v>
      </c>
      <c r="C32" s="370">
        <v>2</v>
      </c>
      <c r="D32" s="363">
        <f t="shared" si="7"/>
        <v>3.0333333333333345</v>
      </c>
      <c r="E32" s="363">
        <f t="shared" ca="1" si="8"/>
        <v>10080</v>
      </c>
    </row>
    <row r="33" spans="1:5" ht="29.1" customHeight="1">
      <c r="A33" s="98" t="s">
        <v>143</v>
      </c>
      <c r="B33" s="370">
        <v>33.93333333333333</v>
      </c>
      <c r="C33" s="370">
        <v>20</v>
      </c>
      <c r="D33" s="363">
        <f t="shared" si="7"/>
        <v>1.6966666666666665</v>
      </c>
      <c r="E33" s="363">
        <f t="shared" ca="1" si="8"/>
        <v>1008</v>
      </c>
    </row>
    <row r="34" spans="1:5" ht="29.1" customHeight="1">
      <c r="A34" s="98" t="s">
        <v>144</v>
      </c>
      <c r="B34" s="370">
        <v>14.616666666666678</v>
      </c>
      <c r="C34" s="370">
        <v>7</v>
      </c>
      <c r="D34" s="363">
        <f t="shared" si="7"/>
        <v>2.0880952380952396</v>
      </c>
      <c r="E34" s="363">
        <f t="shared" ca="1" si="8"/>
        <v>2880</v>
      </c>
    </row>
    <row r="35" spans="1:5" ht="29.1" customHeight="1">
      <c r="A35" s="98" t="s">
        <v>145</v>
      </c>
      <c r="B35" s="370">
        <v>22.416666666666664</v>
      </c>
      <c r="C35" s="370">
        <v>6</v>
      </c>
      <c r="D35" s="363">
        <f t="shared" si="7"/>
        <v>3.7361111111111107</v>
      </c>
      <c r="E35" s="363">
        <f t="shared" ca="1" si="8"/>
        <v>3360</v>
      </c>
    </row>
    <row r="36" spans="1:5" ht="29.1" customHeight="1">
      <c r="A36" s="98" t="s">
        <v>146</v>
      </c>
      <c r="B36" s="370">
        <v>325.73333333333335</v>
      </c>
      <c r="C36" s="370">
        <v>93</v>
      </c>
      <c r="D36" s="363">
        <f t="shared" si="7"/>
        <v>3.5025089605734769</v>
      </c>
      <c r="E36" s="363">
        <f t="shared" ca="1" si="8"/>
        <v>216.7741935483871</v>
      </c>
    </row>
    <row r="37" spans="1:5" ht="29.1" customHeight="1">
      <c r="A37" s="98" t="s">
        <v>147</v>
      </c>
      <c r="B37" s="370">
        <v>31.283333333333331</v>
      </c>
      <c r="C37" s="370">
        <v>12</v>
      </c>
      <c r="D37" s="363">
        <f t="shared" si="7"/>
        <v>2.6069444444444443</v>
      </c>
      <c r="E37" s="363">
        <f t="shared" ca="1" si="8"/>
        <v>1680</v>
      </c>
    </row>
    <row r="38" spans="1:5" ht="29.1" customHeight="1">
      <c r="A38" s="98" t="s">
        <v>148</v>
      </c>
      <c r="B38" s="370">
        <v>30.949999999999996</v>
      </c>
      <c r="C38" s="370">
        <v>19</v>
      </c>
      <c r="D38" s="363">
        <f t="shared" si="7"/>
        <v>1.6289473684210525</v>
      </c>
      <c r="E38" s="363">
        <f t="shared" ca="1" si="8"/>
        <v>1061.0526315789473</v>
      </c>
    </row>
    <row r="39" spans="1:5" ht="29.1" customHeight="1">
      <c r="A39" s="98" t="s">
        <v>149</v>
      </c>
      <c r="B39" s="370">
        <v>72.816666666666649</v>
      </c>
      <c r="C39" s="370">
        <v>10</v>
      </c>
      <c r="D39" s="363">
        <f t="shared" si="7"/>
        <v>7.2816666666666645</v>
      </c>
      <c r="E39" s="363">
        <f t="shared" ca="1" si="8"/>
        <v>2016</v>
      </c>
    </row>
    <row r="40" spans="1:5" ht="29.1" customHeight="1">
      <c r="A40" s="98" t="s">
        <v>150</v>
      </c>
      <c r="B40" s="370">
        <v>5.1666666666666679</v>
      </c>
      <c r="C40" s="370">
        <v>1</v>
      </c>
      <c r="D40" s="363">
        <f t="shared" si="7"/>
        <v>5.1666666666666679</v>
      </c>
      <c r="E40" s="363">
        <f t="shared" ca="1" si="8"/>
        <v>20160</v>
      </c>
    </row>
    <row r="41" spans="1:5" ht="29.1" customHeight="1">
      <c r="A41" s="98" t="s">
        <v>151</v>
      </c>
      <c r="B41" s="370">
        <v>13.316666666666663</v>
      </c>
      <c r="C41" s="370">
        <v>5</v>
      </c>
      <c r="D41" s="363">
        <f t="shared" si="7"/>
        <v>2.6633333333333327</v>
      </c>
      <c r="E41" s="363">
        <f t="shared" ca="1" si="8"/>
        <v>4032</v>
      </c>
    </row>
    <row r="42" spans="1:5" ht="29.1" customHeight="1">
      <c r="A42" s="98" t="s">
        <v>152</v>
      </c>
      <c r="B42" s="370">
        <v>0.41666666666666785</v>
      </c>
      <c r="C42" s="370">
        <v>1</v>
      </c>
      <c r="D42" s="363">
        <f t="shared" si="7"/>
        <v>0.41666666666666785</v>
      </c>
      <c r="E42" s="363">
        <f t="shared" ca="1" si="8"/>
        <v>20160</v>
      </c>
    </row>
    <row r="43" spans="1:5" ht="29.1" customHeight="1">
      <c r="A43" s="98" t="s">
        <v>153</v>
      </c>
      <c r="B43" s="370">
        <v>0.33333333333333215</v>
      </c>
      <c r="C43" s="370">
        <v>2</v>
      </c>
      <c r="D43" s="363">
        <f t="shared" si="7"/>
        <v>0.16666666666666607</v>
      </c>
      <c r="E43" s="363">
        <f t="shared" ca="1" si="8"/>
        <v>10080</v>
      </c>
    </row>
    <row r="44" spans="1:5" ht="29.1" customHeight="1">
      <c r="A44" s="98" t="s">
        <v>154</v>
      </c>
      <c r="B44" s="370">
        <v>40.266666666666673</v>
      </c>
      <c r="C44" s="370">
        <v>13</v>
      </c>
      <c r="D44" s="363">
        <f t="shared" si="7"/>
        <v>3.097435897435898</v>
      </c>
      <c r="E44" s="363">
        <f t="shared" ca="1" si="8"/>
        <v>1550.7692307692307</v>
      </c>
    </row>
    <row r="45" spans="1:5" ht="29.1" customHeight="1">
      <c r="A45" s="98" t="s">
        <v>155</v>
      </c>
      <c r="B45" s="370">
        <v>9.9666666666666615</v>
      </c>
      <c r="C45" s="370">
        <v>7</v>
      </c>
      <c r="D45" s="363">
        <f t="shared" si="7"/>
        <v>1.423809523809523</v>
      </c>
      <c r="E45" s="363">
        <f t="shared" ca="1" si="8"/>
        <v>2880</v>
      </c>
    </row>
    <row r="46" spans="1:5" ht="29.1" customHeight="1">
      <c r="A46" s="98" t="s">
        <v>156</v>
      </c>
      <c r="B46" s="370">
        <v>45.133333333333333</v>
      </c>
      <c r="C46" s="370">
        <v>18</v>
      </c>
      <c r="D46" s="363">
        <f t="shared" si="7"/>
        <v>2.5074074074074075</v>
      </c>
      <c r="E46" s="363">
        <f t="shared" ca="1" si="8"/>
        <v>1120</v>
      </c>
    </row>
    <row r="47" spans="1:5" ht="29.1" customHeight="1">
      <c r="A47" s="98" t="s">
        <v>157</v>
      </c>
      <c r="B47" s="370">
        <v>1.8999999999999981</v>
      </c>
      <c r="C47" s="370">
        <v>2</v>
      </c>
      <c r="D47" s="363">
        <f t="shared" si="7"/>
        <v>0.94999999999999907</v>
      </c>
      <c r="E47" s="363">
        <f t="shared" ca="1" si="8"/>
        <v>10080</v>
      </c>
    </row>
    <row r="48" spans="1:5" ht="29.1" customHeight="1">
      <c r="A48" s="98" t="s">
        <v>158</v>
      </c>
      <c r="B48" s="370">
        <v>9.9833333333333307</v>
      </c>
      <c r="C48" s="370">
        <v>4</v>
      </c>
      <c r="D48" s="363">
        <f t="shared" si="7"/>
        <v>2.4958333333333327</v>
      </c>
      <c r="E48" s="363">
        <f t="shared" ca="1" si="8"/>
        <v>5040</v>
      </c>
    </row>
    <row r="49" spans="1:5" ht="29.1" customHeight="1">
      <c r="A49" s="98" t="s">
        <v>159</v>
      </c>
      <c r="B49" s="370">
        <v>13.5</v>
      </c>
      <c r="C49" s="370">
        <v>2</v>
      </c>
      <c r="D49" s="363">
        <f t="shared" si="7"/>
        <v>6.75</v>
      </c>
      <c r="E49" s="363">
        <f t="shared" ca="1" si="8"/>
        <v>10080</v>
      </c>
    </row>
    <row r="50" spans="1:5" ht="29.1" customHeight="1">
      <c r="A50" s="98" t="s">
        <v>160</v>
      </c>
      <c r="B50" s="370">
        <v>3.2500000000000018</v>
      </c>
      <c r="C50" s="370">
        <v>2</v>
      </c>
      <c r="D50" s="363">
        <f t="shared" si="7"/>
        <v>1.6250000000000009</v>
      </c>
      <c r="E50" s="363">
        <f t="shared" ca="1" si="8"/>
        <v>10080</v>
      </c>
    </row>
    <row r="51" spans="1:5" ht="29.1" customHeight="1">
      <c r="A51" s="98" t="s">
        <v>161</v>
      </c>
      <c r="B51" s="370">
        <v>14.86666666666666</v>
      </c>
      <c r="C51" s="370">
        <v>4</v>
      </c>
      <c r="D51" s="363">
        <f t="shared" si="7"/>
        <v>3.716666666666665</v>
      </c>
      <c r="E51" s="363">
        <f t="shared" ca="1" si="8"/>
        <v>5040</v>
      </c>
    </row>
    <row r="52" spans="1:5" ht="29.1" customHeight="1">
      <c r="A52" s="98" t="s">
        <v>162</v>
      </c>
      <c r="B52" s="370">
        <v>1.5166666666666666</v>
      </c>
      <c r="C52" s="370">
        <v>1</v>
      </c>
      <c r="D52" s="363">
        <f t="shared" si="7"/>
        <v>1.5166666666666666</v>
      </c>
      <c r="E52" s="363">
        <f t="shared" ca="1" si="8"/>
        <v>20160</v>
      </c>
    </row>
    <row r="53" spans="1:5" ht="29.1" customHeight="1">
      <c r="A53" s="98" t="s">
        <v>163</v>
      </c>
      <c r="B53" s="370">
        <v>0.36666666666666803</v>
      </c>
      <c r="C53" s="370">
        <v>1</v>
      </c>
      <c r="D53" s="363">
        <f t="shared" si="7"/>
        <v>0.36666666666666803</v>
      </c>
      <c r="E53" s="363">
        <f t="shared" ca="1" si="8"/>
        <v>20160</v>
      </c>
    </row>
    <row r="54" spans="1:5" ht="29.1" customHeight="1">
      <c r="A54" s="98" t="s">
        <v>164</v>
      </c>
      <c r="B54" s="370">
        <v>7.0833333333333339</v>
      </c>
      <c r="C54" s="370">
        <v>3</v>
      </c>
      <c r="D54" s="363">
        <f t="shared" si="7"/>
        <v>2.3611111111111112</v>
      </c>
      <c r="E54" s="363">
        <f t="shared" ca="1" si="8"/>
        <v>6720</v>
      </c>
    </row>
    <row r="55" spans="1:5" ht="29.1" customHeight="1">
      <c r="A55" s="98" t="s">
        <v>165</v>
      </c>
      <c r="B55" s="370">
        <v>13.066666666666663</v>
      </c>
      <c r="C55" s="370">
        <v>19</v>
      </c>
      <c r="D55" s="363">
        <f t="shared" si="7"/>
        <v>0.68771929824561384</v>
      </c>
      <c r="E55" s="363">
        <f t="shared" ca="1" si="8"/>
        <v>1061.0526315789473</v>
      </c>
    </row>
    <row r="56" spans="1:5" ht="29.1" customHeight="1">
      <c r="A56" s="98" t="s">
        <v>166</v>
      </c>
      <c r="B56" s="370">
        <v>2.35</v>
      </c>
      <c r="C56" s="370">
        <v>2</v>
      </c>
      <c r="D56" s="363">
        <f t="shared" si="7"/>
        <v>1.175</v>
      </c>
      <c r="E56" s="363">
        <f t="shared" ca="1" si="8"/>
        <v>10080</v>
      </c>
    </row>
    <row r="57" spans="1:5" ht="29.1" customHeight="1">
      <c r="A57" s="98" t="s">
        <v>167</v>
      </c>
      <c r="B57" s="370">
        <v>50.683333333333337</v>
      </c>
      <c r="C57" s="370">
        <v>11</v>
      </c>
      <c r="D57" s="363">
        <f t="shared" si="7"/>
        <v>4.6075757575757583</v>
      </c>
      <c r="E57" s="363">
        <f t="shared" ca="1" si="8"/>
        <v>1832.7272727272727</v>
      </c>
    </row>
    <row r="58" spans="1:5" ht="29.1" customHeight="1">
      <c r="A58" s="98" t="s">
        <v>168</v>
      </c>
      <c r="B58" s="370">
        <v>6.6666666666666679</v>
      </c>
      <c r="C58" s="370">
        <v>2</v>
      </c>
      <c r="D58" s="363">
        <f t="shared" si="7"/>
        <v>3.3333333333333339</v>
      </c>
      <c r="E58" s="363">
        <f t="shared" ca="1" si="8"/>
        <v>10080</v>
      </c>
    </row>
    <row r="59" spans="1:5" ht="29.1" customHeight="1">
      <c r="A59" s="98" t="s">
        <v>169</v>
      </c>
      <c r="B59" s="370">
        <v>7.9999999999999947</v>
      </c>
      <c r="C59" s="370">
        <v>7</v>
      </c>
      <c r="D59" s="363">
        <f t="shared" si="7"/>
        <v>1.1428571428571421</v>
      </c>
      <c r="E59" s="363">
        <f t="shared" ca="1" si="8"/>
        <v>2880</v>
      </c>
    </row>
    <row r="60" spans="1:5" ht="29.1" customHeight="1">
      <c r="A60" s="98" t="s">
        <v>170</v>
      </c>
      <c r="B60" s="370">
        <v>7.0833333333333313</v>
      </c>
      <c r="C60" s="370">
        <v>8</v>
      </c>
      <c r="D60" s="363">
        <f t="shared" si="7"/>
        <v>0.88541666666666641</v>
      </c>
      <c r="E60" s="363">
        <f t="shared" ca="1" si="8"/>
        <v>2520</v>
      </c>
    </row>
    <row r="61" spans="1:5" ht="29.1" customHeight="1">
      <c r="A61" s="98" t="s">
        <v>171</v>
      </c>
      <c r="B61" s="370">
        <v>45.050000000000004</v>
      </c>
      <c r="C61" s="370">
        <v>18</v>
      </c>
      <c r="D61" s="363">
        <f t="shared" si="7"/>
        <v>2.5027777777777782</v>
      </c>
      <c r="E61" s="363">
        <f t="shared" ca="1" si="8"/>
        <v>1120</v>
      </c>
    </row>
    <row r="62" spans="1:5" ht="29.1" customHeight="1">
      <c r="A62" s="98" t="s">
        <v>172</v>
      </c>
      <c r="B62" s="370">
        <v>168.99999999999997</v>
      </c>
      <c r="C62" s="370">
        <v>71</v>
      </c>
      <c r="D62" s="363">
        <f t="shared" si="7"/>
        <v>2.3802816901408446</v>
      </c>
      <c r="E62" s="363">
        <f t="shared" ca="1" si="8"/>
        <v>283.94366197183098</v>
      </c>
    </row>
    <row r="63" spans="1:5" ht="29.1" customHeight="1">
      <c r="A63" s="98" t="s">
        <v>173</v>
      </c>
      <c r="B63" s="84">
        <v>3.6333333333333337</v>
      </c>
      <c r="C63" s="84">
        <v>2</v>
      </c>
      <c r="D63" s="363">
        <f t="shared" si="7"/>
        <v>1.8166666666666669</v>
      </c>
      <c r="E63" s="363">
        <f t="shared" ca="1" si="8"/>
        <v>10080</v>
      </c>
    </row>
    <row r="64" spans="1:5" ht="29.1" customHeight="1">
      <c r="A64" s="98" t="s">
        <v>174</v>
      </c>
      <c r="B64" s="370">
        <v>107.58333333333334</v>
      </c>
      <c r="C64" s="370">
        <v>18</v>
      </c>
      <c r="D64" s="363">
        <f t="shared" si="7"/>
        <v>5.9768518518518521</v>
      </c>
      <c r="E64" s="363">
        <f t="shared" ca="1" si="8"/>
        <v>1120</v>
      </c>
    </row>
    <row r="65" spans="1:5" ht="29.1" customHeight="1">
      <c r="A65" s="98" t="s">
        <v>175</v>
      </c>
      <c r="B65" s="370">
        <v>3.8833333333333302</v>
      </c>
      <c r="C65" s="370">
        <v>2</v>
      </c>
      <c r="D65" s="363">
        <f t="shared" si="7"/>
        <v>1.9416666666666651</v>
      </c>
      <c r="E65" s="363">
        <f t="shared" ca="1" si="8"/>
        <v>10080</v>
      </c>
    </row>
    <row r="66" spans="1:5" ht="29.1" customHeight="1">
      <c r="A66" s="98" t="s">
        <v>176</v>
      </c>
      <c r="B66" s="370">
        <v>0.46666666666666501</v>
      </c>
      <c r="C66" s="370">
        <v>1</v>
      </c>
      <c r="D66" s="363">
        <f t="shared" si="7"/>
        <v>0.46666666666666501</v>
      </c>
      <c r="E66" s="363">
        <f t="shared" ca="1" si="8"/>
        <v>20160</v>
      </c>
    </row>
    <row r="67" spans="1:5" ht="29.1" customHeight="1">
      <c r="A67" s="98" t="s">
        <v>177</v>
      </c>
      <c r="B67" s="370">
        <v>21.883333333333333</v>
      </c>
      <c r="C67" s="370">
        <v>11</v>
      </c>
      <c r="D67" s="363">
        <f t="shared" si="7"/>
        <v>1.9893939393939393</v>
      </c>
      <c r="E67" s="363">
        <f t="shared" ca="1" si="8"/>
        <v>1832.7272727272727</v>
      </c>
    </row>
    <row r="68" spans="1:5" ht="29.1" customHeight="1">
      <c r="A68" s="98" t="s">
        <v>178</v>
      </c>
      <c r="B68" s="370">
        <v>3.5499999999999994</v>
      </c>
      <c r="C68" s="370">
        <v>3</v>
      </c>
      <c r="D68" s="363">
        <f t="shared" si="7"/>
        <v>1.1833333333333331</v>
      </c>
      <c r="E68" s="363">
        <f t="shared" ca="1" si="8"/>
        <v>6720</v>
      </c>
    </row>
    <row r="69" spans="1:5" ht="29.1" customHeight="1">
      <c r="A69" s="98" t="s">
        <v>179</v>
      </c>
      <c r="B69" s="370">
        <v>10.433333333333334</v>
      </c>
      <c r="C69" s="370">
        <v>5</v>
      </c>
      <c r="D69" s="363">
        <f t="shared" si="7"/>
        <v>2.0866666666666669</v>
      </c>
      <c r="E69" s="363">
        <f t="shared" ca="1" si="8"/>
        <v>4032</v>
      </c>
    </row>
    <row r="70" spans="1:5" ht="29.1" customHeight="1">
      <c r="A70" s="98" t="s">
        <v>180</v>
      </c>
      <c r="B70" s="370">
        <v>120.08333333333333</v>
      </c>
      <c r="C70" s="370">
        <v>23</v>
      </c>
      <c r="D70" s="363">
        <f t="shared" si="7"/>
        <v>5.2210144927536231</v>
      </c>
      <c r="E70" s="363">
        <f t="shared" ca="1" si="8"/>
        <v>876.52173913043475</v>
      </c>
    </row>
    <row r="71" spans="1:5" ht="29.1" customHeight="1">
      <c r="A71" s="98" t="s">
        <v>181</v>
      </c>
      <c r="B71" s="370">
        <v>48.433333333333337</v>
      </c>
      <c r="C71" s="370">
        <v>12</v>
      </c>
      <c r="D71" s="363">
        <f t="shared" si="7"/>
        <v>4.0361111111111114</v>
      </c>
      <c r="E71" s="363">
        <f t="shared" ca="1" si="8"/>
        <v>1680</v>
      </c>
    </row>
    <row r="72" spans="1:5" ht="29.1" customHeight="1">
      <c r="A72" s="98" t="s">
        <v>182</v>
      </c>
      <c r="B72" s="370">
        <v>40.04999999999999</v>
      </c>
      <c r="C72" s="370">
        <v>13</v>
      </c>
      <c r="D72" s="363">
        <f t="shared" si="7"/>
        <v>3.08076923076923</v>
      </c>
      <c r="E72" s="363">
        <f t="shared" ca="1" si="8"/>
        <v>1550.7692307692307</v>
      </c>
    </row>
    <row r="73" spans="1:5" ht="29.1" customHeight="1">
      <c r="A73" s="98" t="s">
        <v>183</v>
      </c>
      <c r="B73" s="370">
        <v>917.15000000000055</v>
      </c>
      <c r="C73" s="370">
        <v>200</v>
      </c>
      <c r="D73" s="363">
        <f t="shared" si="7"/>
        <v>4.5857500000000027</v>
      </c>
      <c r="E73" s="363">
        <f t="shared" ca="1" si="8"/>
        <v>100.8</v>
      </c>
    </row>
    <row r="74" spans="1:5" ht="29.1" customHeight="1">
      <c r="A74" s="98" t="s">
        <v>184</v>
      </c>
      <c r="B74" s="370">
        <v>147.41666666666669</v>
      </c>
      <c r="C74" s="370">
        <v>7</v>
      </c>
      <c r="D74" s="363">
        <f t="shared" si="7"/>
        <v>21.059523809523814</v>
      </c>
      <c r="E74" s="363">
        <f t="shared" ca="1" si="8"/>
        <v>2880</v>
      </c>
    </row>
    <row r="75" spans="1:5" ht="29.1" customHeight="1">
      <c r="A75" s="98" t="s">
        <v>185</v>
      </c>
      <c r="B75" s="370">
        <v>35.799999999999997</v>
      </c>
      <c r="C75" s="370">
        <v>10</v>
      </c>
      <c r="D75" s="363">
        <f t="shared" si="7"/>
        <v>3.5799999999999996</v>
      </c>
      <c r="E75" s="363">
        <f t="shared" ca="1" si="8"/>
        <v>2016</v>
      </c>
    </row>
    <row r="76" spans="1:5" ht="29.1" customHeight="1">
      <c r="A76" s="98" t="s">
        <v>186</v>
      </c>
      <c r="B76" s="370">
        <v>152.71666666666673</v>
      </c>
      <c r="C76" s="370">
        <v>47</v>
      </c>
      <c r="D76" s="363">
        <f t="shared" si="7"/>
        <v>3.2492907801418451</v>
      </c>
      <c r="E76" s="363">
        <f t="shared" ca="1" si="8"/>
        <v>428.93617021276594</v>
      </c>
    </row>
    <row r="77" spans="1:5" ht="29.1" customHeight="1">
      <c r="A77" s="98" t="s">
        <v>187</v>
      </c>
      <c r="B77" s="370">
        <v>15.916666666666663</v>
      </c>
      <c r="C77" s="370">
        <v>4</v>
      </c>
      <c r="D77" s="363">
        <f t="shared" si="7"/>
        <v>3.9791666666666656</v>
      </c>
      <c r="E77" s="363">
        <f t="shared" ca="1" si="8"/>
        <v>5040</v>
      </c>
    </row>
    <row r="78" spans="1:5" ht="29.1" customHeight="1">
      <c r="A78" s="98" t="s">
        <v>188</v>
      </c>
      <c r="B78" s="370">
        <v>74.63333333333334</v>
      </c>
      <c r="C78" s="370">
        <v>34</v>
      </c>
      <c r="D78" s="363">
        <f t="shared" si="7"/>
        <v>2.1950980392156865</v>
      </c>
      <c r="E78" s="363">
        <f t="shared" ca="1" si="8"/>
        <v>592.94117647058829</v>
      </c>
    </row>
    <row r="79" spans="1:5" ht="29.1" customHeight="1">
      <c r="A79" s="98" t="s">
        <v>189</v>
      </c>
      <c r="B79" s="370">
        <v>241.31611111111107</v>
      </c>
      <c r="C79" s="370">
        <v>69</v>
      </c>
      <c r="D79" s="363">
        <f t="shared" si="7"/>
        <v>3.4973349436392906</v>
      </c>
      <c r="E79" s="363">
        <f t="shared" ca="1" si="8"/>
        <v>292.17391304347825</v>
      </c>
    </row>
    <row r="80" spans="1:5" ht="29.1" customHeight="1">
      <c r="A80" s="98" t="s">
        <v>190</v>
      </c>
      <c r="B80" s="370">
        <v>12.233333333333338</v>
      </c>
      <c r="C80" s="370">
        <v>4</v>
      </c>
      <c r="D80" s="363">
        <f t="shared" si="7"/>
        <v>3.0583333333333345</v>
      </c>
      <c r="E80" s="363">
        <f t="shared" ca="1" si="8"/>
        <v>5040</v>
      </c>
    </row>
    <row r="81" spans="1:5" ht="29.1" customHeight="1">
      <c r="A81" s="98" t="s">
        <v>191</v>
      </c>
      <c r="B81" s="370">
        <v>25.333333333333329</v>
      </c>
      <c r="C81" s="370">
        <v>6</v>
      </c>
      <c r="D81" s="363">
        <f t="shared" si="7"/>
        <v>4.2222222222222214</v>
      </c>
      <c r="E81" s="363">
        <f t="shared" ca="1" si="8"/>
        <v>3360</v>
      </c>
    </row>
    <row r="82" spans="1:5" ht="29.1" customHeight="1">
      <c r="A82" s="98" t="s">
        <v>192</v>
      </c>
      <c r="B82" s="370">
        <v>20.683333333333341</v>
      </c>
      <c r="C82" s="370">
        <v>5</v>
      </c>
      <c r="D82" s="363">
        <f t="shared" si="7"/>
        <v>4.1366666666666685</v>
      </c>
      <c r="E82" s="363">
        <f t="shared" ca="1" si="8"/>
        <v>4032</v>
      </c>
    </row>
    <row r="83" spans="1:5" ht="29.1" customHeight="1">
      <c r="A83" s="98" t="s">
        <v>193</v>
      </c>
      <c r="B83" s="370">
        <v>4.9833333333333325</v>
      </c>
      <c r="C83" s="370">
        <v>1</v>
      </c>
      <c r="D83" s="363">
        <f t="shared" si="7"/>
        <v>4.9833333333333325</v>
      </c>
      <c r="E83" s="363">
        <f t="shared" ca="1" si="8"/>
        <v>20160</v>
      </c>
    </row>
    <row r="84" spans="1:5" ht="29.1" customHeight="1">
      <c r="A84" s="98" t="s">
        <v>194</v>
      </c>
      <c r="B84" s="370">
        <v>3.5166666666666693</v>
      </c>
      <c r="C84" s="370">
        <v>3</v>
      </c>
      <c r="D84" s="363">
        <f t="shared" si="7"/>
        <v>1.1722222222222232</v>
      </c>
      <c r="E84" s="363">
        <f t="shared" ca="1" si="8"/>
        <v>6720</v>
      </c>
    </row>
    <row r="85" spans="1:5" ht="29.1" customHeight="1">
      <c r="A85" s="98" t="s">
        <v>195</v>
      </c>
      <c r="B85" s="370">
        <v>287.5333333333333</v>
      </c>
      <c r="C85" s="370">
        <v>50</v>
      </c>
      <c r="D85" s="363">
        <f t="shared" si="7"/>
        <v>5.7506666666666657</v>
      </c>
      <c r="E85" s="363">
        <f t="shared" ca="1" si="8"/>
        <v>403.2</v>
      </c>
    </row>
    <row r="86" spans="1:5" ht="29.1" customHeight="1">
      <c r="A86" s="98" t="s">
        <v>196</v>
      </c>
      <c r="B86" s="370">
        <v>29.383333333333336</v>
      </c>
      <c r="C86" s="370">
        <v>12</v>
      </c>
      <c r="D86" s="363">
        <f t="shared" si="7"/>
        <v>2.4486111111111115</v>
      </c>
      <c r="E86" s="363">
        <f t="shared" ca="1" si="8"/>
        <v>1680</v>
      </c>
    </row>
    <row r="87" spans="1:5" ht="29.1" customHeight="1">
      <c r="A87" s="98" t="s">
        <v>197</v>
      </c>
      <c r="B87" s="370">
        <v>420.54999999999995</v>
      </c>
      <c r="C87" s="370">
        <v>64</v>
      </c>
      <c r="D87" s="363">
        <f t="shared" si="7"/>
        <v>6.5710937499999993</v>
      </c>
      <c r="E87" s="363">
        <f t="shared" ca="1" si="8"/>
        <v>315</v>
      </c>
    </row>
    <row r="88" spans="1:5" ht="29.1" customHeight="1">
      <c r="A88" s="98" t="s">
        <v>198</v>
      </c>
      <c r="B88" s="370">
        <v>24.283333333333335</v>
      </c>
      <c r="C88" s="370">
        <v>8</v>
      </c>
      <c r="D88" s="363">
        <f t="shared" si="7"/>
        <v>3.0354166666666669</v>
      </c>
      <c r="E88" s="363">
        <f t="shared" ca="1" si="8"/>
        <v>2520</v>
      </c>
    </row>
    <row r="89" spans="1:5" ht="29.1" customHeight="1">
      <c r="A89" s="98" t="s">
        <v>199</v>
      </c>
      <c r="B89" s="370">
        <v>9.1499999999999986</v>
      </c>
      <c r="C89" s="370">
        <v>3</v>
      </c>
      <c r="D89" s="363">
        <f t="shared" si="7"/>
        <v>3.0499999999999994</v>
      </c>
      <c r="E89" s="363">
        <f t="shared" ca="1" si="8"/>
        <v>6720</v>
      </c>
    </row>
    <row r="90" spans="1:5" ht="29.1" customHeight="1">
      <c r="A90" s="98" t="s">
        <v>200</v>
      </c>
      <c r="B90" s="370">
        <v>3.5999999999999979</v>
      </c>
      <c r="C90" s="370">
        <v>1</v>
      </c>
      <c r="D90" s="363">
        <f t="shared" si="7"/>
        <v>3.5999999999999979</v>
      </c>
      <c r="E90" s="363">
        <f t="shared" ca="1" si="8"/>
        <v>20160</v>
      </c>
    </row>
    <row r="91" spans="1:5" ht="29.1" customHeight="1">
      <c r="A91" s="98" t="s">
        <v>201</v>
      </c>
      <c r="B91" s="370">
        <v>7.2333333333333325</v>
      </c>
      <c r="C91" s="370">
        <v>4</v>
      </c>
      <c r="D91" s="363">
        <f t="shared" si="7"/>
        <v>1.8083333333333331</v>
      </c>
      <c r="E91" s="363">
        <f t="shared" ca="1" si="8"/>
        <v>5040</v>
      </c>
    </row>
    <row r="92" spans="1:5" ht="29.1" customHeight="1">
      <c r="A92" s="98" t="s">
        <v>202</v>
      </c>
      <c r="B92" s="370">
        <v>92.783333333333346</v>
      </c>
      <c r="C92" s="370">
        <v>15</v>
      </c>
      <c r="D92" s="363">
        <f t="shared" si="7"/>
        <v>6.1855555555555561</v>
      </c>
      <c r="E92" s="363">
        <f t="shared" ca="1" si="8"/>
        <v>1344</v>
      </c>
    </row>
    <row r="93" spans="1:5" ht="29.1" customHeight="1">
      <c r="A93" s="98" t="s">
        <v>203</v>
      </c>
      <c r="B93" s="370">
        <v>4.2333333333333343</v>
      </c>
      <c r="C93" s="370">
        <v>3</v>
      </c>
      <c r="D93" s="363">
        <f t="shared" si="7"/>
        <v>1.4111111111111114</v>
      </c>
      <c r="E93" s="363">
        <f t="shared" ca="1" si="8"/>
        <v>6720</v>
      </c>
    </row>
    <row r="94" spans="1:5" ht="29.1" customHeight="1">
      <c r="A94" s="98" t="s">
        <v>204</v>
      </c>
      <c r="B94" s="370">
        <v>2.6833333333333327</v>
      </c>
      <c r="C94" s="370">
        <v>4</v>
      </c>
      <c r="D94" s="363">
        <f t="shared" si="7"/>
        <v>0.67083333333333317</v>
      </c>
      <c r="E94" s="363">
        <f t="shared" ca="1" si="8"/>
        <v>5040</v>
      </c>
    </row>
    <row r="95" spans="1:5" ht="29.1" customHeight="1">
      <c r="A95" s="98" t="s">
        <v>205</v>
      </c>
      <c r="B95" s="370">
        <v>8.5333333333333314</v>
      </c>
      <c r="C95" s="370">
        <v>10</v>
      </c>
      <c r="D95" s="363">
        <f t="shared" ref="D95:D108" si="9">B95/C95</f>
        <v>0.85333333333333317</v>
      </c>
      <c r="E95" s="363">
        <f t="shared" ref="E95:E108" ca="1" si="10">$D$26/C95</f>
        <v>2016</v>
      </c>
    </row>
    <row r="96" spans="1:5" ht="29.1" customHeight="1">
      <c r="A96" s="98" t="s">
        <v>206</v>
      </c>
      <c r="B96" s="370">
        <v>5.6666666666666679</v>
      </c>
      <c r="C96" s="370">
        <v>1</v>
      </c>
      <c r="D96" s="363">
        <f t="shared" si="9"/>
        <v>5.6666666666666679</v>
      </c>
      <c r="E96" s="363">
        <f t="shared" ca="1" si="10"/>
        <v>20160</v>
      </c>
    </row>
    <row r="97" spans="1:5" ht="29.1" customHeight="1">
      <c r="A97" s="98" t="s">
        <v>207</v>
      </c>
      <c r="B97" s="370">
        <v>33.916666666666671</v>
      </c>
      <c r="C97" s="370">
        <v>11</v>
      </c>
      <c r="D97" s="363">
        <f t="shared" si="9"/>
        <v>3.0833333333333339</v>
      </c>
      <c r="E97" s="363">
        <f t="shared" ca="1" si="10"/>
        <v>1832.7272727272727</v>
      </c>
    </row>
    <row r="98" spans="1:5" ht="29.1" customHeight="1">
      <c r="A98" s="98" t="s">
        <v>208</v>
      </c>
      <c r="B98" s="370">
        <v>22.583333333333336</v>
      </c>
      <c r="C98" s="370">
        <v>4</v>
      </c>
      <c r="D98" s="363">
        <f t="shared" si="9"/>
        <v>5.6458333333333339</v>
      </c>
      <c r="E98" s="363">
        <f t="shared" ca="1" si="10"/>
        <v>5040</v>
      </c>
    </row>
    <row r="99" spans="1:5" ht="29.1" customHeight="1">
      <c r="A99" s="98" t="s">
        <v>209</v>
      </c>
      <c r="B99" s="370">
        <v>6.6499999999999995</v>
      </c>
      <c r="C99" s="370">
        <v>5</v>
      </c>
      <c r="D99" s="363">
        <f t="shared" si="9"/>
        <v>1.3299999999999998</v>
      </c>
      <c r="E99" s="363">
        <f t="shared" ca="1" si="10"/>
        <v>4032</v>
      </c>
    </row>
    <row r="100" spans="1:5" ht="29.1" customHeight="1">
      <c r="A100" s="98" t="s">
        <v>210</v>
      </c>
      <c r="B100" s="370">
        <v>3.1666666666666661</v>
      </c>
      <c r="C100" s="370">
        <v>1</v>
      </c>
      <c r="D100" s="363">
        <f t="shared" si="9"/>
        <v>3.1666666666666661</v>
      </c>
      <c r="E100" s="363">
        <f t="shared" ca="1" si="10"/>
        <v>20160</v>
      </c>
    </row>
    <row r="101" spans="1:5" ht="29.1" customHeight="1">
      <c r="A101" s="98" t="s">
        <v>211</v>
      </c>
      <c r="B101" s="370">
        <v>12.033333333333333</v>
      </c>
      <c r="C101" s="370">
        <v>4</v>
      </c>
      <c r="D101" s="363">
        <f t="shared" si="9"/>
        <v>3.0083333333333333</v>
      </c>
      <c r="E101" s="363">
        <f t="shared" ca="1" si="10"/>
        <v>5040</v>
      </c>
    </row>
    <row r="102" spans="1:5" ht="29.1" customHeight="1">
      <c r="A102" s="98" t="s">
        <v>212</v>
      </c>
      <c r="B102" s="370">
        <v>74.649999999999991</v>
      </c>
      <c r="C102" s="370">
        <v>24</v>
      </c>
      <c r="D102" s="363">
        <f t="shared" si="9"/>
        <v>3.1104166666666662</v>
      </c>
      <c r="E102" s="363">
        <f t="shared" ca="1" si="10"/>
        <v>840</v>
      </c>
    </row>
    <row r="103" spans="1:5" ht="29.1" customHeight="1">
      <c r="A103" s="98" t="s">
        <v>213</v>
      </c>
      <c r="B103" s="370">
        <v>11.083333333333332</v>
      </c>
      <c r="C103" s="370">
        <v>5</v>
      </c>
      <c r="D103" s="363">
        <f t="shared" si="9"/>
        <v>2.2166666666666663</v>
      </c>
      <c r="E103" s="363">
        <f t="shared" ca="1" si="10"/>
        <v>4032</v>
      </c>
    </row>
    <row r="104" spans="1:5" ht="29.1" customHeight="1">
      <c r="A104" s="98" t="s">
        <v>214</v>
      </c>
      <c r="B104" s="370">
        <v>79.483333333333348</v>
      </c>
      <c r="C104" s="370">
        <v>40</v>
      </c>
      <c r="D104" s="363">
        <f t="shared" si="9"/>
        <v>1.9870833333333338</v>
      </c>
      <c r="E104" s="363">
        <f t="shared" ca="1" si="10"/>
        <v>504</v>
      </c>
    </row>
    <row r="105" spans="1:5" ht="29.1" customHeight="1">
      <c r="A105" s="98" t="s">
        <v>215</v>
      </c>
      <c r="B105" s="370">
        <v>9.8333333333333357</v>
      </c>
      <c r="C105" s="370">
        <v>3</v>
      </c>
      <c r="D105" s="363">
        <f t="shared" si="9"/>
        <v>3.2777777777777786</v>
      </c>
      <c r="E105" s="363">
        <f t="shared" ca="1" si="10"/>
        <v>6720</v>
      </c>
    </row>
    <row r="106" spans="1:5" ht="29.1" customHeight="1">
      <c r="A106" s="98" t="s">
        <v>216</v>
      </c>
      <c r="B106" s="370">
        <v>9.2166666666666668</v>
      </c>
      <c r="C106" s="370">
        <v>2</v>
      </c>
      <c r="D106" s="363">
        <f t="shared" si="9"/>
        <v>4.6083333333333334</v>
      </c>
      <c r="E106" s="363">
        <f t="shared" ca="1" si="10"/>
        <v>10080</v>
      </c>
    </row>
    <row r="107" spans="1:5" ht="29.1" customHeight="1">
      <c r="A107" s="98" t="s">
        <v>217</v>
      </c>
      <c r="B107" s="84">
        <v>0</v>
      </c>
      <c r="C107" s="84"/>
      <c r="D107" s="363" t="e">
        <f t="shared" si="9"/>
        <v>#DIV/0!</v>
      </c>
      <c r="E107" s="363" t="e">
        <f t="shared" ca="1" si="10"/>
        <v>#DIV/0!</v>
      </c>
    </row>
    <row r="108" spans="1:5" ht="29.1" customHeight="1">
      <c r="A108" s="98" t="s">
        <v>218</v>
      </c>
      <c r="B108" s="84">
        <v>4.9000000000000012</v>
      </c>
      <c r="C108" s="84">
        <v>1</v>
      </c>
      <c r="D108" s="363">
        <f t="shared" si="9"/>
        <v>4.9000000000000012</v>
      </c>
      <c r="E108" s="363">
        <f t="shared" ca="1" si="10"/>
        <v>20160</v>
      </c>
    </row>
    <row r="109" spans="1:5" ht="29.1" customHeight="1">
      <c r="A109" s="98" t="s">
        <v>219</v>
      </c>
      <c r="B109" s="84">
        <v>1.5833333333333357</v>
      </c>
      <c r="C109" s="84">
        <v>1</v>
      </c>
    </row>
    <row r="110" spans="1:5" ht="29.1" customHeight="1">
      <c r="A110" s="98" t="s">
        <v>220</v>
      </c>
      <c r="B110" s="84">
        <v>9.1666666666666679</v>
      </c>
      <c r="C110" s="84">
        <v>3</v>
      </c>
    </row>
    <row r="111" spans="1:5" ht="29.1" customHeight="1">
      <c r="A111" s="98" t="s">
        <v>221</v>
      </c>
      <c r="B111" s="84">
        <v>46.416666666666664</v>
      </c>
      <c r="C111" s="84">
        <v>15</v>
      </c>
    </row>
    <row r="112" spans="1:5" ht="29.1" customHeight="1">
      <c r="A112" s="98" t="s">
        <v>222</v>
      </c>
      <c r="B112" s="84">
        <v>69.316666666666649</v>
      </c>
      <c r="C112" s="84">
        <v>12</v>
      </c>
    </row>
    <row r="113" spans="1:3" ht="29.1" customHeight="1">
      <c r="A113" s="98" t="s">
        <v>223</v>
      </c>
      <c r="B113" s="84">
        <v>12.083333333333332</v>
      </c>
      <c r="C113" s="84">
        <v>1</v>
      </c>
    </row>
    <row r="114" spans="1:3" ht="29.1" customHeight="1">
      <c r="A114" s="98" t="s">
        <v>224</v>
      </c>
      <c r="B114" s="84">
        <v>7.5166666666666666</v>
      </c>
      <c r="C114" s="84">
        <v>1</v>
      </c>
    </row>
    <row r="115" spans="1:3" ht="29.1" customHeight="1">
      <c r="A115" s="98" t="s">
        <v>225</v>
      </c>
      <c r="B115" s="84">
        <v>8.0499999999999972</v>
      </c>
      <c r="C115" s="84">
        <v>1</v>
      </c>
    </row>
    <row r="116" spans="1:3" ht="29.1" customHeight="1">
      <c r="A116" s="98" t="s">
        <v>226</v>
      </c>
      <c r="B116" s="84">
        <v>20.916666666666664</v>
      </c>
      <c r="C116" s="84">
        <v>3</v>
      </c>
    </row>
    <row r="117" spans="1:3" ht="29.1" customHeight="1">
      <c r="A117" s="98" t="s">
        <v>227</v>
      </c>
      <c r="B117" s="84">
        <v>97.38333333333334</v>
      </c>
      <c r="C117" s="84">
        <v>27</v>
      </c>
    </row>
    <row r="118" spans="1:3" ht="29.1" customHeight="1">
      <c r="A118" s="98" t="s">
        <v>228</v>
      </c>
      <c r="B118" s="84">
        <v>751.81666666666695</v>
      </c>
      <c r="C118" s="84">
        <v>49</v>
      </c>
    </row>
    <row r="119" spans="1:3" ht="29.1" customHeight="1">
      <c r="A119" s="98" t="s">
        <v>229</v>
      </c>
      <c r="B119" s="84">
        <v>6.5</v>
      </c>
      <c r="C119" s="84">
        <v>2</v>
      </c>
    </row>
    <row r="120" spans="1:3" ht="29.1" customHeight="1">
      <c r="A120" s="98" t="s">
        <v>230</v>
      </c>
      <c r="B120" s="84">
        <v>141.13333333333341</v>
      </c>
      <c r="C120" s="84">
        <v>74</v>
      </c>
    </row>
    <row r="121" spans="1:3" ht="29.1" customHeight="1">
      <c r="A121" s="98" t="s">
        <v>231</v>
      </c>
      <c r="B121" s="84">
        <v>1141.2666666666657</v>
      </c>
      <c r="C121" s="84">
        <v>151</v>
      </c>
    </row>
    <row r="122" spans="1:3" ht="29.1" customHeight="1">
      <c r="A122" s="98" t="s">
        <v>232</v>
      </c>
      <c r="B122" s="84">
        <v>626.25000000000034</v>
      </c>
      <c r="C122" s="84">
        <v>174</v>
      </c>
    </row>
    <row r="123" spans="1:3" ht="29.1" customHeight="1">
      <c r="A123" s="98" t="s">
        <v>233</v>
      </c>
      <c r="B123" s="84">
        <v>27.383055555555551</v>
      </c>
      <c r="C123" s="84">
        <v>8</v>
      </c>
    </row>
    <row r="124" spans="1:3" ht="29.1" customHeight="1">
      <c r="A124" s="98" t="s">
        <v>234</v>
      </c>
      <c r="B124" s="84">
        <v>19.45</v>
      </c>
      <c r="C124" s="84">
        <v>2</v>
      </c>
    </row>
    <row r="125" spans="1:3" ht="29.1" customHeight="1">
      <c r="A125" s="98" t="s">
        <v>235</v>
      </c>
      <c r="B125" s="84">
        <v>37.866666666666667</v>
      </c>
      <c r="C125" s="84">
        <v>19</v>
      </c>
    </row>
    <row r="126" spans="1:3" ht="29.1" customHeight="1">
      <c r="A126" s="98" t="s">
        <v>236</v>
      </c>
      <c r="B126" s="84">
        <v>7.5499999999999989</v>
      </c>
      <c r="C126" s="84">
        <v>4</v>
      </c>
    </row>
    <row r="127" spans="1:3" ht="29.1" customHeight="1">
      <c r="A127" s="98" t="s">
        <v>237</v>
      </c>
      <c r="B127" s="84">
        <v>0.61666666666666714</v>
      </c>
      <c r="C127" s="84">
        <v>1</v>
      </c>
    </row>
    <row r="128" spans="1:3" ht="29.1" customHeight="1">
      <c r="A128" s="98" t="s">
        <v>238</v>
      </c>
      <c r="B128" s="84">
        <v>6.6666666666666679</v>
      </c>
      <c r="C128" s="84">
        <v>1</v>
      </c>
    </row>
    <row r="129" spans="1:3" ht="29.1" customHeight="1">
      <c r="A129" s="98" t="s">
        <v>239</v>
      </c>
      <c r="B129" s="84">
        <v>28.116666666666667</v>
      </c>
      <c r="C129" s="84">
        <v>8</v>
      </c>
    </row>
    <row r="130" spans="1:3" ht="29.1" customHeight="1">
      <c r="A130" s="98" t="s">
        <v>240</v>
      </c>
      <c r="B130" s="84">
        <v>8.716666666666665</v>
      </c>
      <c r="C130" s="84">
        <v>5</v>
      </c>
    </row>
    <row r="131" spans="1:3" ht="29.1" customHeight="1">
      <c r="A131" s="98" t="s">
        <v>241</v>
      </c>
      <c r="B131" s="84">
        <v>1528.4150000000009</v>
      </c>
      <c r="C131" s="84">
        <v>65</v>
      </c>
    </row>
    <row r="132" spans="1:3" ht="29.1" customHeight="1">
      <c r="A132" s="98" t="s">
        <v>242</v>
      </c>
      <c r="B132" s="84">
        <v>3511.6666666666551</v>
      </c>
      <c r="C132" s="84">
        <v>148</v>
      </c>
    </row>
    <row r="133" spans="1:3" ht="29.1" customHeight="1">
      <c r="A133" s="98" t="s">
        <v>243</v>
      </c>
      <c r="B133" s="84">
        <v>61.566666666666663</v>
      </c>
      <c r="C133" s="84">
        <v>6</v>
      </c>
    </row>
    <row r="134" spans="1:3" ht="29.1" customHeight="1">
      <c r="A134" s="98" t="s">
        <v>244</v>
      </c>
      <c r="B134" s="84">
        <v>86.966666666666669</v>
      </c>
      <c r="C134" s="84">
        <v>5</v>
      </c>
    </row>
    <row r="135" spans="1:3" ht="29.1" customHeight="1">
      <c r="A135" s="98" t="s">
        <v>245</v>
      </c>
      <c r="B135" s="84">
        <v>3.3166666666666695</v>
      </c>
      <c r="C135" s="84">
        <v>13</v>
      </c>
    </row>
    <row r="136" spans="1:3" ht="29.1" customHeight="1">
      <c r="A136" s="98" t="s">
        <v>246</v>
      </c>
      <c r="B136" s="84">
        <v>2.4000000000000021</v>
      </c>
      <c r="C136" s="84">
        <v>1</v>
      </c>
    </row>
    <row r="137" spans="1:3" ht="29.1" customHeight="1">
      <c r="A137" s="98" t="s">
        <v>247</v>
      </c>
      <c r="B137" s="84">
        <v>16.766666666666662</v>
      </c>
      <c r="C137" s="84">
        <v>6</v>
      </c>
    </row>
    <row r="138" spans="1:3" ht="29.1" customHeight="1">
      <c r="A138" s="98" t="s">
        <v>248</v>
      </c>
      <c r="B138" s="84">
        <v>2.9000000000000004</v>
      </c>
      <c r="C138" s="84">
        <v>1</v>
      </c>
    </row>
    <row r="139" spans="1:3" ht="29.1" customHeight="1">
      <c r="A139" s="98" t="s">
        <v>249</v>
      </c>
      <c r="B139" s="84">
        <v>37.049999999999997</v>
      </c>
      <c r="C139" s="84">
        <v>5</v>
      </c>
    </row>
    <row r="140" spans="1:3" ht="29.1" customHeight="1">
      <c r="A140" s="98" t="s">
        <v>250</v>
      </c>
      <c r="B140" s="84">
        <v>2.9333333333333358</v>
      </c>
      <c r="C140" s="84">
        <v>2</v>
      </c>
    </row>
    <row r="141" spans="1:3" ht="29.1" customHeight="1">
      <c r="A141" s="98" t="s">
        <v>251</v>
      </c>
      <c r="B141" s="84">
        <v>326.2166666666667</v>
      </c>
      <c r="C141" s="84">
        <v>16</v>
      </c>
    </row>
    <row r="142" spans="1:3" ht="29.1" customHeight="1">
      <c r="A142" s="98" t="s">
        <v>252</v>
      </c>
      <c r="B142" s="84">
        <v>4.5666666666666664</v>
      </c>
      <c r="C142" s="84">
        <v>1</v>
      </c>
    </row>
    <row r="143" spans="1:3" ht="29.1" customHeight="1">
      <c r="A143" s="98" t="s">
        <v>253</v>
      </c>
      <c r="B143" s="84">
        <v>25.150000000000006</v>
      </c>
      <c r="C143" s="84">
        <v>4</v>
      </c>
    </row>
    <row r="144" spans="1:3" ht="29.1" customHeight="1">
      <c r="A144" s="98" t="s">
        <v>254</v>
      </c>
      <c r="B144" s="84">
        <v>28.6</v>
      </c>
      <c r="C144" s="84">
        <v>3</v>
      </c>
    </row>
    <row r="145" spans="1:3" ht="29.1" customHeight="1">
      <c r="A145" s="98" t="s">
        <v>255</v>
      </c>
      <c r="B145" s="84">
        <v>7.9666666666666686</v>
      </c>
      <c r="C145" s="84">
        <v>2</v>
      </c>
    </row>
    <row r="146" spans="1:3" ht="29.1" customHeight="1">
      <c r="A146" s="98" t="s">
        <v>256</v>
      </c>
      <c r="B146" s="84">
        <v>85.916666666666714</v>
      </c>
      <c r="C146" s="84">
        <v>34</v>
      </c>
    </row>
    <row r="147" spans="1:3" ht="29.1" customHeight="1">
      <c r="A147" s="98" t="s">
        <v>257</v>
      </c>
      <c r="B147" s="84">
        <v>3.4833333333333343</v>
      </c>
      <c r="C147" s="84">
        <v>2</v>
      </c>
    </row>
    <row r="148" spans="1:3" ht="29.1" customHeight="1">
      <c r="A148" s="98" t="s">
        <v>258</v>
      </c>
      <c r="B148" s="84">
        <v>0.4499999999999984</v>
      </c>
      <c r="C148" s="84">
        <v>1</v>
      </c>
    </row>
    <row r="149" spans="1:3" ht="29.1" customHeight="1">
      <c r="A149" s="98" t="s">
        <v>259</v>
      </c>
      <c r="B149" s="84">
        <v>9.0500000000000007</v>
      </c>
      <c r="C149" s="84">
        <v>3</v>
      </c>
    </row>
    <row r="150" spans="1:3" ht="29.1" customHeight="1">
      <c r="A150" s="98" t="s">
        <v>260</v>
      </c>
      <c r="B150" s="84">
        <v>6.5000000000000009</v>
      </c>
      <c r="C150" s="84">
        <v>3</v>
      </c>
    </row>
    <row r="151" spans="1:3" ht="29.1" customHeight="1">
      <c r="A151" s="98" t="s">
        <v>261</v>
      </c>
      <c r="B151" s="84">
        <v>4.7666666666666675</v>
      </c>
      <c r="C151" s="84">
        <v>1</v>
      </c>
    </row>
    <row r="152" spans="1:3" ht="29.1" customHeight="1">
      <c r="A152" s="98" t="s">
        <v>262</v>
      </c>
      <c r="B152" s="84">
        <v>230.83333333333337</v>
      </c>
      <c r="C152" s="84">
        <v>50</v>
      </c>
    </row>
    <row r="153" spans="1:3" ht="29.1" customHeight="1">
      <c r="A153" s="98" t="s">
        <v>263</v>
      </c>
      <c r="B153" s="84">
        <v>4.6999999999999993</v>
      </c>
      <c r="C153" s="84">
        <v>1</v>
      </c>
    </row>
    <row r="154" spans="1:3" ht="29.1" customHeight="1">
      <c r="A154" s="98" t="s">
        <v>264</v>
      </c>
      <c r="B154" s="84">
        <v>2.3833333333333355</v>
      </c>
      <c r="C154" s="84">
        <v>2</v>
      </c>
    </row>
    <row r="155" spans="1:3" ht="29.1" customHeight="1">
      <c r="A155" s="98" t="s">
        <v>265</v>
      </c>
      <c r="B155" s="84">
        <v>4.0666666666666655</v>
      </c>
      <c r="C155" s="84">
        <v>1</v>
      </c>
    </row>
    <row r="156" spans="1:3" ht="29.1" customHeight="1">
      <c r="A156" s="98" t="s">
        <v>266</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77" priority="10" operator="lessThan">
      <formula>$D$2+$D$3</formula>
    </cfRule>
    <cfRule type="cellIs" dxfId="376"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B100" activePane="bottomRight" state="frozen"/>
      <selection pane="bottomRight" activeCell="A117" sqref="A117"/>
      <selection pane="bottomLeft" activeCell="A5" sqref="A5"/>
      <selection pane="topRight" activeCell="B1" sqref="B1"/>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267</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268</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269</v>
      </c>
      <c r="CK3" s="7"/>
      <c r="CL3" s="7"/>
      <c r="CM3" s="7"/>
      <c r="CN3" s="7"/>
      <c r="CO3" s="7"/>
      <c r="CP3" s="7"/>
      <c r="CQ3" s="7"/>
      <c r="CR3" s="6" t="s">
        <v>270</v>
      </c>
      <c r="CS3" s="6"/>
      <c r="CT3" s="6"/>
      <c r="CU3" s="6"/>
      <c r="CV3" s="6"/>
      <c r="CW3" s="6"/>
      <c r="CX3" s="6"/>
      <c r="CY3" s="6"/>
      <c r="CZ3" s="6"/>
      <c r="DA3" s="6"/>
      <c r="DB3" s="6"/>
    </row>
    <row r="4" spans="1:112" ht="48">
      <c r="A4" s="8" t="s">
        <v>271</v>
      </c>
      <c r="B4" s="9" t="s">
        <v>133</v>
      </c>
      <c r="C4" s="9" t="s">
        <v>272</v>
      </c>
      <c r="D4" s="9" t="s">
        <v>273</v>
      </c>
      <c r="E4" s="9" t="s">
        <v>46</v>
      </c>
      <c r="F4" s="10" t="s">
        <v>74</v>
      </c>
      <c r="G4" s="10" t="s">
        <v>75</v>
      </c>
      <c r="H4" s="10" t="s">
        <v>76</v>
      </c>
      <c r="I4" s="10" t="s">
        <v>77</v>
      </c>
      <c r="J4" s="10" t="s">
        <v>78</v>
      </c>
      <c r="K4" s="10" t="s">
        <v>79</v>
      </c>
      <c r="L4" s="10" t="s">
        <v>80</v>
      </c>
      <c r="M4" s="10" t="s">
        <v>81</v>
      </c>
      <c r="N4" s="10" t="s">
        <v>82</v>
      </c>
      <c r="O4" s="10" t="s">
        <v>83</v>
      </c>
      <c r="P4" s="10" t="s">
        <v>84</v>
      </c>
      <c r="Q4" s="10" t="s">
        <v>85</v>
      </c>
      <c r="R4" s="10" t="s">
        <v>86</v>
      </c>
      <c r="S4" s="10" t="s">
        <v>87</v>
      </c>
      <c r="T4" s="10" t="s">
        <v>88</v>
      </c>
      <c r="U4" s="10" t="s">
        <v>89</v>
      </c>
      <c r="V4" s="10" t="s">
        <v>90</v>
      </c>
      <c r="W4" s="10" t="s">
        <v>91</v>
      </c>
      <c r="X4" s="10" t="s">
        <v>92</v>
      </c>
      <c r="Y4" s="10" t="s">
        <v>93</v>
      </c>
      <c r="Z4" s="10" t="s">
        <v>94</v>
      </c>
      <c r="AA4" s="10" t="s">
        <v>95</v>
      </c>
      <c r="AB4" s="10" t="s">
        <v>96</v>
      </c>
      <c r="AC4" s="10" t="s">
        <v>97</v>
      </c>
      <c r="AD4" s="10" t="s">
        <v>98</v>
      </c>
      <c r="AE4" s="10" t="s">
        <v>99</v>
      </c>
      <c r="AF4" s="10" t="s">
        <v>100</v>
      </c>
      <c r="AG4" s="10" t="s">
        <v>101</v>
      </c>
      <c r="AH4" s="10" t="s">
        <v>102</v>
      </c>
      <c r="AI4" s="10" t="s">
        <v>103</v>
      </c>
      <c r="AJ4" s="10" t="s">
        <v>104</v>
      </c>
      <c r="AK4" s="10" t="s">
        <v>105</v>
      </c>
      <c r="AL4" s="10" t="s">
        <v>106</v>
      </c>
      <c r="AM4" s="10" t="s">
        <v>107</v>
      </c>
      <c r="AN4" s="10" t="s">
        <v>108</v>
      </c>
      <c r="AO4" s="10" t="s">
        <v>109</v>
      </c>
      <c r="AP4" s="10" t="s">
        <v>110</v>
      </c>
      <c r="AQ4" s="10" t="s">
        <v>111</v>
      </c>
      <c r="AR4" s="10" t="s">
        <v>112</v>
      </c>
      <c r="AS4" s="10" t="s">
        <v>274</v>
      </c>
      <c r="AT4" s="10" t="s">
        <v>275</v>
      </c>
      <c r="AU4" s="10" t="s">
        <v>276</v>
      </c>
      <c r="AV4" s="10" t="s">
        <v>277</v>
      </c>
      <c r="AW4" s="10" t="s">
        <v>278</v>
      </c>
      <c r="AX4" s="10" t="s">
        <v>279</v>
      </c>
      <c r="AY4" s="10" t="s">
        <v>280</v>
      </c>
      <c r="AZ4" s="10" t="s">
        <v>281</v>
      </c>
      <c r="BA4" s="10" t="s">
        <v>282</v>
      </c>
      <c r="BB4" s="10" t="s">
        <v>283</v>
      </c>
      <c r="BC4" s="10" t="s">
        <v>284</v>
      </c>
      <c r="BD4" s="10" t="s">
        <v>285</v>
      </c>
      <c r="BE4" s="10" t="s">
        <v>286</v>
      </c>
      <c r="BF4" s="10" t="s">
        <v>287</v>
      </c>
      <c r="BG4" s="10" t="s">
        <v>288</v>
      </c>
      <c r="BH4" s="10" t="s">
        <v>289</v>
      </c>
      <c r="BI4" s="10" t="s">
        <v>290</v>
      </c>
      <c r="BJ4" s="10" t="s">
        <v>291</v>
      </c>
      <c r="BK4" s="10" t="s">
        <v>292</v>
      </c>
      <c r="BL4" s="10" t="s">
        <v>293</v>
      </c>
      <c r="BM4" s="10" t="s">
        <v>294</v>
      </c>
      <c r="BN4" s="10" t="s">
        <v>295</v>
      </c>
      <c r="BO4" s="10" t="s">
        <v>296</v>
      </c>
      <c r="BP4" s="10" t="s">
        <v>297</v>
      </c>
      <c r="BQ4" s="10" t="s">
        <v>298</v>
      </c>
      <c r="BR4" s="10" t="s">
        <v>299</v>
      </c>
      <c r="BS4" s="10" t="s">
        <v>300</v>
      </c>
      <c r="BT4" s="10" t="s">
        <v>301</v>
      </c>
      <c r="BU4" s="10" t="s">
        <v>302</v>
      </c>
      <c r="BV4" s="10" t="s">
        <v>303</v>
      </c>
      <c r="BW4" s="10" t="s">
        <v>304</v>
      </c>
      <c r="BX4" s="10" t="s">
        <v>305</v>
      </c>
      <c r="BY4" s="10" t="s">
        <v>306</v>
      </c>
      <c r="BZ4" s="10" t="s">
        <v>307</v>
      </c>
      <c r="CA4" s="10" t="s">
        <v>308</v>
      </c>
      <c r="CB4" s="10" t="s">
        <v>309</v>
      </c>
      <c r="CC4" s="10" t="s">
        <v>310</v>
      </c>
      <c r="CD4" s="10" t="s">
        <v>311</v>
      </c>
      <c r="CE4" s="10" t="s">
        <v>312</v>
      </c>
      <c r="CF4" s="10" t="s">
        <v>313</v>
      </c>
      <c r="CG4" s="10" t="s">
        <v>314</v>
      </c>
      <c r="CH4" s="10" t="s">
        <v>315</v>
      </c>
      <c r="CI4" s="10" t="s">
        <v>316</v>
      </c>
      <c r="CJ4" s="10" t="s">
        <v>317</v>
      </c>
      <c r="CK4" s="10" t="s">
        <v>318</v>
      </c>
      <c r="CL4" s="10" t="s">
        <v>319</v>
      </c>
      <c r="CM4" s="10" t="s">
        <v>320</v>
      </c>
      <c r="CN4" s="10" t="s">
        <v>321</v>
      </c>
      <c r="CO4" s="10" t="s">
        <v>322</v>
      </c>
      <c r="CP4" s="10" t="s">
        <v>323</v>
      </c>
      <c r="CQ4" s="10" t="s">
        <v>324</v>
      </c>
      <c r="CR4" s="10" t="s">
        <v>325</v>
      </c>
      <c r="CS4" s="10" t="s">
        <v>326</v>
      </c>
      <c r="CT4" s="10" t="s">
        <v>327</v>
      </c>
      <c r="CU4" s="10" t="s">
        <v>328</v>
      </c>
      <c r="CV4" s="10" t="s">
        <v>329</v>
      </c>
      <c r="CW4" s="10" t="s">
        <v>330</v>
      </c>
      <c r="CX4" s="10" t="s">
        <v>331</v>
      </c>
      <c r="CY4" s="10" t="s">
        <v>332</v>
      </c>
      <c r="CZ4" s="10" t="s">
        <v>333</v>
      </c>
      <c r="DA4" s="10" t="s">
        <v>334</v>
      </c>
      <c r="DB4" s="11" t="s">
        <v>335</v>
      </c>
      <c r="DC4" s="85" t="s">
        <v>336</v>
      </c>
      <c r="DD4" s="86" t="s">
        <v>337</v>
      </c>
      <c r="DE4" s="86" t="s">
        <v>338</v>
      </c>
      <c r="DF4" s="86" t="s">
        <v>339</v>
      </c>
      <c r="DG4" s="86" t="s">
        <v>340</v>
      </c>
      <c r="DH4" s="86" t="s">
        <v>341</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342</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342</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342</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342</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342</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342</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342</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342</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342</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342</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342</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342</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342</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342</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342</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342</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342</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342</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342</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342</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342</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342</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342</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342</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342</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342</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342</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342</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342</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342</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342</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342</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342</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343</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342</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342</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342</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342</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342</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342</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342</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342</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342</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343</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342</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342</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342</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342</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342</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342</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342</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342</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342</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342</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342</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342</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342</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342</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342</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342</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342</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342</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342</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342</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342</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342</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342</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342</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342</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342</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342</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342</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342</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342</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342</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342</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342</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342</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342</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342</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342</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342</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342</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342</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342</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342</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342</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342</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342</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342</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342</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342</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342</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342</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342</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88">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342</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342</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342</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8">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342</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342</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342</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342</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342</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7">
        <f>SUM(Input_Raw[[#This Row],[G01]:[G40]])</f>
        <v>0</v>
      </c>
      <c r="CG118" s="18" t="str">
        <f>IFERROR(AVERAGE(Input_Raw[[#This Row],[WS_G01]:[WS_G40]]),"")</f>
        <v/>
      </c>
      <c r="CH118" s="19"/>
      <c r="CI118" s="19"/>
      <c r="CJ118" s="15"/>
      <c r="CK118" s="15"/>
      <c r="CL118" s="15"/>
      <c r="CM118" s="15"/>
      <c r="CN118" s="15"/>
      <c r="CO118" s="15"/>
      <c r="CP118" s="15"/>
      <c r="CQ118" s="15"/>
      <c r="CR118" s="91">
        <f>IF(((Input_Raw[[#This Row],[33 kV_Wind_F1_Export reading]]-CJ117)*1200)&gt;0,(Input_Raw[[#This Row],[33 kV_Wind_F1_Export reading]]-CJ117)*1200,0)</f>
        <v>0</v>
      </c>
      <c r="CS118" s="91">
        <f>IF(((Input_Raw[[#This Row],[33 kV_Wind_F1_Import reading]]-CK117)*1200)&gt;0,(Input_Raw[[#This Row],[33 kV_Wind_F1_Import reading]]-CK117)*1200,0)</f>
        <v>0</v>
      </c>
      <c r="CT118" s="91">
        <f>IF(((Input_Raw[[#This Row],[33 kV_Wind_F2_Export_reading]]-CL117)*1200)&gt;0,(Input_Raw[[#This Row],[33 kV_Wind_F2_Export_reading]]-CL117)*1200,0)</f>
        <v>0</v>
      </c>
      <c r="CU118" s="91">
        <f>IF(((Input_Raw[[#This Row],[33 kV_Wind_F2_Import_reading]]-CM117)*1200)&gt;0,(Input_Raw[[#This Row],[33 kV_Wind_F2_Import_reading]]-CM117)*1200,0)</f>
        <v>0</v>
      </c>
      <c r="CV118" s="91">
        <f>IF(((Input_Raw[[#This Row],[33 kV_Wind_F3_Export_Reading]]-CN117)*1200)&gt;0,(Input_Raw[[#This Row],[33 kV_Wind_F3_Export_Reading]]-CN117)*1200,0)</f>
        <v>0</v>
      </c>
      <c r="CW118" s="91">
        <f>IF(((Input_Raw[[#This Row],[33 kV_Wind_F3_Import_Reading]]-CO117)*1200)&gt;0,(Input_Raw[[#This Row],[33 kV_Wind_F3_Import_Reading]]-CO117)*1200,0)</f>
        <v>0</v>
      </c>
      <c r="CX118" s="91">
        <f>IF(((Input_Raw[[#This Row],[33 kV_Wind_F4_Export Reading]]-CP117)*1200)&gt;0,(Input_Raw[[#This Row],[33 kV_Wind_F4_Export Reading]]-CP117)*1200,0)</f>
        <v>0</v>
      </c>
      <c r="CY118" s="172"/>
      <c r="CZ118" s="172">
        <f>Input_Raw[[#This Row],[33 kV_F1_Total_Export (KWh)]]+Input_Raw[[#This Row],[33 kV_F2_Total_Export (KWh)2]]+Input_Raw[[#This Row],[33 kV_Wind_F3_Export (KWh)]]+Input_Raw[[#This Row],[33 kV_Wind_F4_Export (KWh)]]</f>
        <v>0</v>
      </c>
      <c r="DA118" s="172">
        <f>Input_Raw[[#This Row],[33 kV_Wind_F1_Import (KWh)]]+Input_Raw[[#This Row],[33 kV_Wind_F2_Import (KWh)]]+Input_Raw[[#This Row],[33 kV_Wind_F3_Import (KWh)2]]+Input_Raw[[#This Row],[33 kV_Wind_F4_Import (KWh)2]]</f>
        <v>0</v>
      </c>
      <c r="DB118" s="21">
        <f>IFERROR(1-Input_Raw[[#This Row],[33 kV_Wind_Total_Export (KWh)]]/Input_Raw[[#This Row],[WTG Total Gneration (KWh)]],0)</f>
        <v>0</v>
      </c>
      <c r="DC118" s="100"/>
      <c r="DD118" s="100"/>
      <c r="DE118" s="102"/>
      <c r="DF118" s="99"/>
      <c r="DG118" s="101"/>
      <c r="DH118" s="99"/>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7">
        <f>SUM(Input_Raw[[#This Row],[G01]:[G40]])</f>
        <v>0</v>
      </c>
      <c r="CG119" s="18" t="str">
        <f>IFERROR(AVERAGE(Input_Raw[[#This Row],[WS_G01]:[WS_G40]]),"")</f>
        <v/>
      </c>
      <c r="CH119" s="19"/>
      <c r="CI119" s="19"/>
      <c r="CJ119" s="15"/>
      <c r="CK119" s="15"/>
      <c r="CL119" s="15"/>
      <c r="CM119" s="15"/>
      <c r="CN119" s="15"/>
      <c r="CO119" s="15"/>
      <c r="CP119" s="15"/>
      <c r="CQ119" s="15"/>
      <c r="CR119" s="91">
        <f>IF(((Input_Raw[[#This Row],[33 kV_Wind_F1_Export reading]]-CJ118)*1200)&gt;0,(Input_Raw[[#This Row],[33 kV_Wind_F1_Export reading]]-CJ118)*1200,0)</f>
        <v>0</v>
      </c>
      <c r="CS119" s="91">
        <f>IF(((Input_Raw[[#This Row],[33 kV_Wind_F1_Import reading]]-CK118)*1200)&gt;0,(Input_Raw[[#This Row],[33 kV_Wind_F1_Import reading]]-CK118)*1200,0)</f>
        <v>0</v>
      </c>
      <c r="CT119" s="91">
        <f>IF(((Input_Raw[[#This Row],[33 kV_Wind_F2_Export_reading]]-CL118)*1200)&gt;0,(Input_Raw[[#This Row],[33 kV_Wind_F2_Export_reading]]-CL118)*1200,0)</f>
        <v>0</v>
      </c>
      <c r="CU119" s="91">
        <f>IF(((Input_Raw[[#This Row],[33 kV_Wind_F2_Import_reading]]-CM118)*1200)&gt;0,(Input_Raw[[#This Row],[33 kV_Wind_F2_Import_reading]]-CM118)*1200,0)</f>
        <v>0</v>
      </c>
      <c r="CV119" s="91">
        <f>IF(((Input_Raw[[#This Row],[33 kV_Wind_F3_Export_Reading]]-CN118)*1200)&gt;0,(Input_Raw[[#This Row],[33 kV_Wind_F3_Export_Reading]]-CN118)*1200,0)</f>
        <v>0</v>
      </c>
      <c r="CW119" s="91">
        <f>IF(((Input_Raw[[#This Row],[33 kV_Wind_F3_Import_Reading]]-CO118)*1200)&gt;0,(Input_Raw[[#This Row],[33 kV_Wind_F3_Import_Reading]]-CO118)*1200,0)</f>
        <v>0</v>
      </c>
      <c r="CX119" s="91">
        <f>IF(((Input_Raw[[#This Row],[33 kV_Wind_F4_Export Reading]]-CP118)*1200)&gt;0,(Input_Raw[[#This Row],[33 kV_Wind_F4_Export Reading]]-CP118)*1200,0)</f>
        <v>0</v>
      </c>
      <c r="CY119" s="172"/>
      <c r="CZ119" s="172">
        <f>Input_Raw[[#This Row],[33 kV_F1_Total_Export (KWh)]]+Input_Raw[[#This Row],[33 kV_F2_Total_Export (KWh)2]]+Input_Raw[[#This Row],[33 kV_Wind_F3_Export (KWh)]]+Input_Raw[[#This Row],[33 kV_Wind_F4_Export (KWh)]]</f>
        <v>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0</v>
      </c>
      <c r="DC119" s="100"/>
      <c r="DD119" s="100"/>
      <c r="DE119" s="102"/>
      <c r="DF119" s="99"/>
      <c r="DG119" s="101"/>
      <c r="DH119" s="99"/>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7">
        <f>SUM(Input_Raw[[#This Row],[G01]:[G40]])</f>
        <v>0</v>
      </c>
      <c r="CG120" s="18" t="str">
        <f>IFERROR(AVERAGE(Input_Raw[[#This Row],[WS_G01]:[WS_G40]]),"")</f>
        <v/>
      </c>
      <c r="CH120" s="19"/>
      <c r="CI120" s="19"/>
      <c r="CJ120" s="15"/>
      <c r="CK120" s="15"/>
      <c r="CL120" s="15"/>
      <c r="CM120" s="15"/>
      <c r="CN120" s="15"/>
      <c r="CO120" s="15"/>
      <c r="CP120" s="15"/>
      <c r="CQ120" s="15"/>
      <c r="CR120" s="91">
        <f>IF(((Input_Raw[[#This Row],[33 kV_Wind_F1_Export reading]]-CJ119)*1200)&gt;0,(Input_Raw[[#This Row],[33 kV_Wind_F1_Export reading]]-CJ119)*1200,0)</f>
        <v>0</v>
      </c>
      <c r="CS120" s="91">
        <f>IF(((Input_Raw[[#This Row],[33 kV_Wind_F1_Import reading]]-CK119)*1200)&gt;0,(Input_Raw[[#This Row],[33 kV_Wind_F1_Import reading]]-CK119)*1200,0)</f>
        <v>0</v>
      </c>
      <c r="CT120" s="91">
        <f>IF(((Input_Raw[[#This Row],[33 kV_Wind_F2_Export_reading]]-CL119)*1200)&gt;0,(Input_Raw[[#This Row],[33 kV_Wind_F2_Export_reading]]-CL119)*1200,0)</f>
        <v>0</v>
      </c>
      <c r="CU120" s="91">
        <f>IF(((Input_Raw[[#This Row],[33 kV_Wind_F2_Import_reading]]-CM119)*1200)&gt;0,(Input_Raw[[#This Row],[33 kV_Wind_F2_Import_reading]]-CM119)*1200,0)</f>
        <v>0</v>
      </c>
      <c r="CV120" s="91">
        <f>IF(((Input_Raw[[#This Row],[33 kV_Wind_F3_Export_Reading]]-CN119)*1200)&gt;0,(Input_Raw[[#This Row],[33 kV_Wind_F3_Export_Reading]]-CN119)*1200,0)</f>
        <v>0</v>
      </c>
      <c r="CW120" s="91">
        <f>IF(((Input_Raw[[#This Row],[33 kV_Wind_F3_Import_Reading]]-CO119)*1200)&gt;0,(Input_Raw[[#This Row],[33 kV_Wind_F3_Import_Reading]]-CO119)*1200,0)</f>
        <v>0</v>
      </c>
      <c r="CX120" s="91">
        <f>IF(((Input_Raw[[#This Row],[33 kV_Wind_F4_Export Reading]]-CP119)*1200)&gt;0,(Input_Raw[[#This Row],[33 kV_Wind_F4_Export Reading]]-CP119)*1200,0)</f>
        <v>0</v>
      </c>
      <c r="CY120" s="172"/>
      <c r="CZ120" s="172">
        <f>Input_Raw[[#This Row],[33 kV_F1_Total_Export (KWh)]]+Input_Raw[[#This Row],[33 kV_F2_Total_Export (KWh)2]]+Input_Raw[[#This Row],[33 kV_Wind_F3_Export (KWh)]]+Input_Raw[[#This Row],[33 kV_Wind_F4_Export (KWh)]]</f>
        <v>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0</v>
      </c>
      <c r="DC120" s="100"/>
      <c r="DD120" s="100"/>
      <c r="DE120" s="102"/>
      <c r="DF120" s="99"/>
      <c r="DG120" s="101"/>
      <c r="DH120" s="99"/>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7">
        <f>SUM(Input_Raw[[#This Row],[G01]:[G40]])</f>
        <v>0</v>
      </c>
      <c r="CG121" s="18" t="str">
        <f>IFERROR(AVERAGE(Input_Raw[[#This Row],[WS_G01]:[WS_G40]]),"")</f>
        <v/>
      </c>
      <c r="CH121" s="19"/>
      <c r="CI121" s="19"/>
      <c r="CJ121" s="15"/>
      <c r="CK121" s="15"/>
      <c r="CL121" s="15"/>
      <c r="CM121" s="15"/>
      <c r="CN121" s="15"/>
      <c r="CO121" s="15"/>
      <c r="CP121" s="15"/>
      <c r="CQ121" s="15"/>
      <c r="CR121" s="91">
        <f>IF(((Input_Raw[[#This Row],[33 kV_Wind_F1_Export reading]]-CJ120)*1200)&gt;0,(Input_Raw[[#This Row],[33 kV_Wind_F1_Export reading]]-CJ120)*1200,0)</f>
        <v>0</v>
      </c>
      <c r="CS121" s="91">
        <f>IF(((Input_Raw[[#This Row],[33 kV_Wind_F1_Import reading]]-CK120)*1200)&gt;0,(Input_Raw[[#This Row],[33 kV_Wind_F1_Import reading]]-CK120)*1200,0)</f>
        <v>0</v>
      </c>
      <c r="CT121" s="91">
        <f>IF(((Input_Raw[[#This Row],[33 kV_Wind_F2_Export_reading]]-CL120)*1200)&gt;0,(Input_Raw[[#This Row],[33 kV_Wind_F2_Export_reading]]-CL120)*1200,0)</f>
        <v>0</v>
      </c>
      <c r="CU121" s="91">
        <f>IF(((Input_Raw[[#This Row],[33 kV_Wind_F2_Import_reading]]-CM120)*1200)&gt;0,(Input_Raw[[#This Row],[33 kV_Wind_F2_Import_reading]]-CM120)*1200,0)</f>
        <v>0</v>
      </c>
      <c r="CV121" s="91">
        <f>IF(((Input_Raw[[#This Row],[33 kV_Wind_F3_Export_Reading]]-CN120)*1200)&gt;0,(Input_Raw[[#This Row],[33 kV_Wind_F3_Export_Reading]]-CN120)*1200,0)</f>
        <v>0</v>
      </c>
      <c r="CW121" s="91">
        <f>IF(((Input_Raw[[#This Row],[33 kV_Wind_F3_Import_Reading]]-CO120)*1200)&gt;0,(Input_Raw[[#This Row],[33 kV_Wind_F3_Import_Reading]]-CO120)*1200,0)</f>
        <v>0</v>
      </c>
      <c r="CX121" s="91">
        <f>IF(((Input_Raw[[#This Row],[33 kV_Wind_F4_Export Reading]]-CP120)*1200)&gt;0,(Input_Raw[[#This Row],[33 kV_Wind_F4_Export Reading]]-CP120)*1200,0)</f>
        <v>0</v>
      </c>
      <c r="CY121" s="172"/>
      <c r="CZ121" s="172">
        <f>Input_Raw[[#This Row],[33 kV_F1_Total_Export (KWh)]]+Input_Raw[[#This Row],[33 kV_F2_Total_Export (KWh)2]]+Input_Raw[[#This Row],[33 kV_Wind_F3_Export (KWh)]]+Input_Raw[[#This Row],[33 kV_Wind_F4_Export (KWh)]]</f>
        <v>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0</v>
      </c>
      <c r="DC121" s="100"/>
      <c r="DD121" s="100"/>
      <c r="DE121" s="102"/>
      <c r="DF121" s="99"/>
      <c r="DG121" s="101"/>
      <c r="DH121" s="99"/>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7">
        <f>SUM(Input_Raw[[#This Row],[G01]:[G40]])</f>
        <v>0</v>
      </c>
      <c r="CG122" s="18" t="str">
        <f>IFERROR(AVERAGE(Input_Raw[[#This Row],[WS_G01]:[WS_G40]]),"")</f>
        <v/>
      </c>
      <c r="CH122" s="19"/>
      <c r="CI122" s="19"/>
      <c r="CJ122" s="15"/>
      <c r="CK122" s="15"/>
      <c r="CL122" s="15"/>
      <c r="CM122" s="15"/>
      <c r="CN122" s="15"/>
      <c r="CO122" s="15"/>
      <c r="CP122" s="15"/>
      <c r="CQ122" s="15"/>
      <c r="CR122" s="91">
        <f>IF(((Input_Raw[[#This Row],[33 kV_Wind_F1_Export reading]]-CJ121)*1200)&gt;0,(Input_Raw[[#This Row],[33 kV_Wind_F1_Export reading]]-CJ121)*1200,0)</f>
        <v>0</v>
      </c>
      <c r="CS122" s="91">
        <f>IF(((Input_Raw[[#This Row],[33 kV_Wind_F1_Import reading]]-CK121)*1200)&gt;0,(Input_Raw[[#This Row],[33 kV_Wind_F1_Import reading]]-CK121)*1200,0)</f>
        <v>0</v>
      </c>
      <c r="CT122" s="91">
        <f>IF(((Input_Raw[[#This Row],[33 kV_Wind_F2_Export_reading]]-CL121)*1200)&gt;0,(Input_Raw[[#This Row],[33 kV_Wind_F2_Export_reading]]-CL121)*1200,0)</f>
        <v>0</v>
      </c>
      <c r="CU122" s="91">
        <f>IF(((Input_Raw[[#This Row],[33 kV_Wind_F2_Import_reading]]-CM121)*1200)&gt;0,(Input_Raw[[#This Row],[33 kV_Wind_F2_Import_reading]]-CM121)*1200,0)</f>
        <v>0</v>
      </c>
      <c r="CV122" s="91">
        <f>IF(((Input_Raw[[#This Row],[33 kV_Wind_F3_Export_Reading]]-CN121)*1200)&gt;0,(Input_Raw[[#This Row],[33 kV_Wind_F3_Export_Reading]]-CN121)*1200,0)</f>
        <v>0</v>
      </c>
      <c r="CW122" s="91">
        <f>IF(((Input_Raw[[#This Row],[33 kV_Wind_F3_Import_Reading]]-CO121)*1200)&gt;0,(Input_Raw[[#This Row],[33 kV_Wind_F3_Import_Reading]]-CO121)*1200,0)</f>
        <v>0</v>
      </c>
      <c r="CX122" s="91">
        <f>IF(((Input_Raw[[#This Row],[33 kV_Wind_F4_Export Reading]]-CP121)*1200)&gt;0,(Input_Raw[[#This Row],[33 kV_Wind_F4_Export Reading]]-CP121)*1200,0)</f>
        <v>0</v>
      </c>
      <c r="CY122" s="172"/>
      <c r="CZ122" s="172">
        <f>Input_Raw[[#This Row],[33 kV_F1_Total_Export (KWh)]]+Input_Raw[[#This Row],[33 kV_F2_Total_Export (KWh)2]]+Input_Raw[[#This Row],[33 kV_Wind_F3_Export (KWh)]]+Input_Raw[[#This Row],[33 kV_Wind_F4_Export (KWh)]]</f>
        <v>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0</v>
      </c>
      <c r="DC122" s="100"/>
      <c r="DD122" s="100"/>
      <c r="DE122" s="102"/>
      <c r="DF122" s="99"/>
      <c r="DG122" s="101"/>
      <c r="DH122" s="99"/>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7">
        <f>SUM(Input_Raw[[#This Row],[G01]:[G40]])</f>
        <v>0</v>
      </c>
      <c r="CG123" s="18" t="str">
        <f>IFERROR(AVERAGE(Input_Raw[[#This Row],[WS_G01]:[WS_G40]]),"")</f>
        <v/>
      </c>
      <c r="CH123" s="19"/>
      <c r="CI123" s="19"/>
      <c r="CJ123" s="15"/>
      <c r="CK123" s="15"/>
      <c r="CL123" s="15"/>
      <c r="CM123" s="15"/>
      <c r="CN123" s="15"/>
      <c r="CO123" s="15"/>
      <c r="CP123" s="15"/>
      <c r="CQ123" s="15"/>
      <c r="CR123" s="91">
        <f>IF(((Input_Raw[[#This Row],[33 kV_Wind_F1_Export reading]]-CJ122)*1200)&gt;0,(Input_Raw[[#This Row],[33 kV_Wind_F1_Export reading]]-CJ122)*1200,0)</f>
        <v>0</v>
      </c>
      <c r="CS123" s="91">
        <f>IF(((Input_Raw[[#This Row],[33 kV_Wind_F1_Import reading]]-CK122)*1200)&gt;0,(Input_Raw[[#This Row],[33 kV_Wind_F1_Import reading]]-CK122)*1200,0)</f>
        <v>0</v>
      </c>
      <c r="CT123" s="91">
        <f>IF(((Input_Raw[[#This Row],[33 kV_Wind_F2_Export_reading]]-CL122)*1200)&gt;0,(Input_Raw[[#This Row],[33 kV_Wind_F2_Export_reading]]-CL122)*1200,0)</f>
        <v>0</v>
      </c>
      <c r="CU123" s="91">
        <f>IF(((Input_Raw[[#This Row],[33 kV_Wind_F2_Import_reading]]-CM122)*1200)&gt;0,(Input_Raw[[#This Row],[33 kV_Wind_F2_Import_reading]]-CM122)*1200,0)</f>
        <v>0</v>
      </c>
      <c r="CV123" s="91">
        <f>IF(((Input_Raw[[#This Row],[33 kV_Wind_F3_Export_Reading]]-CN122)*1200)&gt;0,(Input_Raw[[#This Row],[33 kV_Wind_F3_Export_Reading]]-CN122)*1200,0)</f>
        <v>0</v>
      </c>
      <c r="CW123" s="91">
        <f>IF(((Input_Raw[[#This Row],[33 kV_Wind_F3_Import_Reading]]-CO122)*1200)&gt;0,(Input_Raw[[#This Row],[33 kV_Wind_F3_Import_Reading]]-CO122)*1200,0)</f>
        <v>0</v>
      </c>
      <c r="CX123" s="91">
        <f>IF(((Input_Raw[[#This Row],[33 kV_Wind_F4_Export Reading]]-CP122)*1200)&gt;0,(Input_Raw[[#This Row],[33 kV_Wind_F4_Export Reading]]-CP122)*1200,0)</f>
        <v>0</v>
      </c>
      <c r="CY123" s="172"/>
      <c r="CZ123" s="172">
        <f>Input_Raw[[#This Row],[33 kV_F1_Total_Export (KWh)]]+Input_Raw[[#This Row],[33 kV_F2_Total_Export (KWh)2]]+Input_Raw[[#This Row],[33 kV_Wind_F3_Export (KWh)]]+Input_Raw[[#This Row],[33 kV_Wind_F4_Export (KWh)]]</f>
        <v>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0</v>
      </c>
      <c r="DC123" s="100"/>
      <c r="DD123" s="100"/>
      <c r="DE123" s="102"/>
      <c r="DF123" s="99"/>
      <c r="DG123" s="101"/>
      <c r="DH123" s="99"/>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7">
        <f>SUM(Input_Raw[[#This Row],[G01]:[G40]])</f>
        <v>0</v>
      </c>
      <c r="CG124" s="18" t="str">
        <f>IFERROR(AVERAGE(Input_Raw[[#This Row],[WS_G01]:[WS_G40]]),"")</f>
        <v/>
      </c>
      <c r="CH124" s="19"/>
      <c r="CI124" s="19"/>
      <c r="CJ124" s="15"/>
      <c r="CK124" s="15"/>
      <c r="CL124" s="15"/>
      <c r="CM124" s="15"/>
      <c r="CN124" s="15"/>
      <c r="CO124" s="15"/>
      <c r="CP124" s="15"/>
      <c r="CQ124" s="15"/>
      <c r="CR124" s="91">
        <f>IF(((Input_Raw[[#This Row],[33 kV_Wind_F1_Export reading]]-CJ123)*1200)&gt;0,(Input_Raw[[#This Row],[33 kV_Wind_F1_Export reading]]-CJ123)*1200,0)</f>
        <v>0</v>
      </c>
      <c r="CS124" s="91">
        <f>IF(((Input_Raw[[#This Row],[33 kV_Wind_F1_Import reading]]-CK123)*1200)&gt;0,(Input_Raw[[#This Row],[33 kV_Wind_F1_Import reading]]-CK123)*1200,0)</f>
        <v>0</v>
      </c>
      <c r="CT124" s="91">
        <f>IF(((Input_Raw[[#This Row],[33 kV_Wind_F2_Export_reading]]-CL123)*1200)&gt;0,(Input_Raw[[#This Row],[33 kV_Wind_F2_Export_reading]]-CL123)*1200,0)</f>
        <v>0</v>
      </c>
      <c r="CU124" s="91">
        <f>IF(((Input_Raw[[#This Row],[33 kV_Wind_F2_Import_reading]]-CM123)*1200)&gt;0,(Input_Raw[[#This Row],[33 kV_Wind_F2_Import_reading]]-CM123)*1200,0)</f>
        <v>0</v>
      </c>
      <c r="CV124" s="91">
        <f>IF(((Input_Raw[[#This Row],[33 kV_Wind_F3_Export_Reading]]-CN123)*1200)&gt;0,(Input_Raw[[#This Row],[33 kV_Wind_F3_Export_Reading]]-CN123)*1200,0)</f>
        <v>0</v>
      </c>
      <c r="CW124" s="91">
        <f>IF(((Input_Raw[[#This Row],[33 kV_Wind_F3_Import_Reading]]-CO123)*1200)&gt;0,(Input_Raw[[#This Row],[33 kV_Wind_F3_Import_Reading]]-CO123)*1200,0)</f>
        <v>0</v>
      </c>
      <c r="CX124" s="91">
        <f>IF(((Input_Raw[[#This Row],[33 kV_Wind_F4_Export Reading]]-CP123)*1200)&gt;0,(Input_Raw[[#This Row],[33 kV_Wind_F4_Export Reading]]-CP123)*1200,0)</f>
        <v>0</v>
      </c>
      <c r="CY124" s="172"/>
      <c r="CZ124" s="172">
        <f>Input_Raw[[#This Row],[33 kV_F1_Total_Export (KWh)]]+Input_Raw[[#This Row],[33 kV_F2_Total_Export (KWh)2]]+Input_Raw[[#This Row],[33 kV_Wind_F3_Export (KWh)]]+Input_Raw[[#This Row],[33 kV_Wind_F4_Export (KWh)]]</f>
        <v>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0</v>
      </c>
      <c r="DC124" s="100"/>
      <c r="DD124" s="100"/>
      <c r="DE124" s="102"/>
      <c r="DF124" s="99"/>
      <c r="DG124" s="101"/>
      <c r="DH124" s="99"/>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7">
        <f>SUM(Input_Raw[[#This Row],[G01]:[G40]])</f>
        <v>0</v>
      </c>
      <c r="CG125" s="18" t="str">
        <f>IFERROR(AVERAGE(Input_Raw[[#This Row],[WS_G01]:[WS_G40]]),"")</f>
        <v/>
      </c>
      <c r="CH125" s="19"/>
      <c r="CI125" s="19"/>
      <c r="CJ125" s="15"/>
      <c r="CK125" s="15"/>
      <c r="CL125" s="15"/>
      <c r="CM125" s="15"/>
      <c r="CN125" s="15"/>
      <c r="CO125" s="15"/>
      <c r="CP125" s="15"/>
      <c r="CQ125" s="15"/>
      <c r="CR125" s="91">
        <f>IF(((Input_Raw[[#This Row],[33 kV_Wind_F1_Export reading]]-CJ124)*1200)&gt;0,(Input_Raw[[#This Row],[33 kV_Wind_F1_Export reading]]-CJ124)*1200,0)</f>
        <v>0</v>
      </c>
      <c r="CS125" s="91">
        <f>IF(((Input_Raw[[#This Row],[33 kV_Wind_F1_Import reading]]-CK124)*1200)&gt;0,(Input_Raw[[#This Row],[33 kV_Wind_F1_Import reading]]-CK124)*1200,0)</f>
        <v>0</v>
      </c>
      <c r="CT125" s="91">
        <f>IF(((Input_Raw[[#This Row],[33 kV_Wind_F2_Export_reading]]-CL124)*1200)&gt;0,(Input_Raw[[#This Row],[33 kV_Wind_F2_Export_reading]]-CL124)*1200,0)</f>
        <v>0</v>
      </c>
      <c r="CU125" s="91">
        <f>IF(((Input_Raw[[#This Row],[33 kV_Wind_F2_Import_reading]]-CM124)*1200)&gt;0,(Input_Raw[[#This Row],[33 kV_Wind_F2_Import_reading]]-CM124)*1200,0)</f>
        <v>0</v>
      </c>
      <c r="CV125" s="91">
        <f>IF(((Input_Raw[[#This Row],[33 kV_Wind_F3_Export_Reading]]-CN124)*1200)&gt;0,(Input_Raw[[#This Row],[33 kV_Wind_F3_Export_Reading]]-CN124)*1200,0)</f>
        <v>0</v>
      </c>
      <c r="CW125" s="91">
        <f>IF(((Input_Raw[[#This Row],[33 kV_Wind_F3_Import_Reading]]-CO124)*1200)&gt;0,(Input_Raw[[#This Row],[33 kV_Wind_F3_Import_Reading]]-CO124)*1200,0)</f>
        <v>0</v>
      </c>
      <c r="CX125" s="91">
        <f>IF(((Input_Raw[[#This Row],[33 kV_Wind_F4_Export Reading]]-CP124)*1200)&gt;0,(Input_Raw[[#This Row],[33 kV_Wind_F4_Export Reading]]-CP124)*1200,0)</f>
        <v>0</v>
      </c>
      <c r="CY125" s="172"/>
      <c r="CZ125" s="172">
        <f>Input_Raw[[#This Row],[33 kV_F1_Total_Export (KWh)]]+Input_Raw[[#This Row],[33 kV_F2_Total_Export (KWh)2]]+Input_Raw[[#This Row],[33 kV_Wind_F3_Export (KWh)]]+Input_Raw[[#This Row],[33 kV_Wind_F4_Export (KWh)]]</f>
        <v>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0</v>
      </c>
      <c r="DC125" s="100"/>
      <c r="DD125" s="100"/>
      <c r="DE125" s="102"/>
      <c r="DF125" s="99"/>
      <c r="DG125" s="101"/>
      <c r="DH125" s="99"/>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7">
        <f>SUM(Input_Raw[[#This Row],[G01]:[G40]])</f>
        <v>0</v>
      </c>
      <c r="CG126" s="18" t="str">
        <f>IFERROR(AVERAGE(Input_Raw[[#This Row],[WS_G01]:[WS_G40]]),"")</f>
        <v/>
      </c>
      <c r="CH126" s="19"/>
      <c r="CI126" s="19"/>
      <c r="CJ126" s="15"/>
      <c r="CK126" s="15"/>
      <c r="CL126" s="15"/>
      <c r="CM126" s="15"/>
      <c r="CN126" s="15"/>
      <c r="CO126" s="15"/>
      <c r="CP126" s="15"/>
      <c r="CQ126" s="15"/>
      <c r="CR126" s="91">
        <f>IF(((Input_Raw[[#This Row],[33 kV_Wind_F1_Export reading]]-CJ125)*1200)&gt;0,(Input_Raw[[#This Row],[33 kV_Wind_F1_Export reading]]-CJ125)*1200,0)</f>
        <v>0</v>
      </c>
      <c r="CS126" s="91">
        <f>IF(((Input_Raw[[#This Row],[33 kV_Wind_F1_Import reading]]-CK125)*1200)&gt;0,(Input_Raw[[#This Row],[33 kV_Wind_F1_Import reading]]-CK125)*1200,0)</f>
        <v>0</v>
      </c>
      <c r="CT126" s="91">
        <f>IF(((Input_Raw[[#This Row],[33 kV_Wind_F2_Export_reading]]-CL125)*1200)&gt;0,(Input_Raw[[#This Row],[33 kV_Wind_F2_Export_reading]]-CL125)*1200,0)</f>
        <v>0</v>
      </c>
      <c r="CU126" s="91">
        <f>IF(((Input_Raw[[#This Row],[33 kV_Wind_F2_Import_reading]]-CM125)*1200)&gt;0,(Input_Raw[[#This Row],[33 kV_Wind_F2_Import_reading]]-CM125)*1200,0)</f>
        <v>0</v>
      </c>
      <c r="CV126" s="91">
        <f>IF(((Input_Raw[[#This Row],[33 kV_Wind_F3_Export_Reading]]-CN125)*1200)&gt;0,(Input_Raw[[#This Row],[33 kV_Wind_F3_Export_Reading]]-CN125)*1200,0)</f>
        <v>0</v>
      </c>
      <c r="CW126" s="91">
        <f>IF(((Input_Raw[[#This Row],[33 kV_Wind_F3_Import_Reading]]-CO125)*1200)&gt;0,(Input_Raw[[#This Row],[33 kV_Wind_F3_Import_Reading]]-CO125)*1200,0)</f>
        <v>0</v>
      </c>
      <c r="CX126" s="91">
        <f>IF(((Input_Raw[[#This Row],[33 kV_Wind_F4_Export Reading]]-CP125)*1200)&gt;0,(Input_Raw[[#This Row],[33 kV_Wind_F4_Export Reading]]-CP125)*1200,0)</f>
        <v>0</v>
      </c>
      <c r="CY126" s="172"/>
      <c r="CZ126" s="172">
        <f>Input_Raw[[#This Row],[33 kV_F1_Total_Export (KWh)]]+Input_Raw[[#This Row],[33 kV_F2_Total_Export (KWh)2]]+Input_Raw[[#This Row],[33 kV_Wind_F3_Export (KWh)]]+Input_Raw[[#This Row],[33 kV_Wind_F4_Export (KWh)]]</f>
        <v>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0</v>
      </c>
      <c r="DC126" s="100"/>
      <c r="DD126" s="100"/>
      <c r="DE126" s="102"/>
      <c r="DF126" s="99"/>
      <c r="DG126" s="101"/>
      <c r="DH126" s="99"/>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7">
        <f>SUM(Input_Raw[[#This Row],[G01]:[G40]])</f>
        <v>0</v>
      </c>
      <c r="CG127" s="18" t="str">
        <f>IFERROR(AVERAGE(Input_Raw[[#This Row],[WS_G01]:[WS_G40]]),"")</f>
        <v/>
      </c>
      <c r="CH127" s="19"/>
      <c r="CI127" s="19"/>
      <c r="CJ127" s="15"/>
      <c r="CK127" s="15"/>
      <c r="CL127" s="15"/>
      <c r="CM127" s="15"/>
      <c r="CN127" s="15"/>
      <c r="CO127" s="15"/>
      <c r="CP127" s="15"/>
      <c r="CQ127" s="15"/>
      <c r="CR127" s="91">
        <f>IF(((Input_Raw[[#This Row],[33 kV_Wind_F1_Export reading]]-CJ126)*1200)&gt;0,(Input_Raw[[#This Row],[33 kV_Wind_F1_Export reading]]-CJ126)*1200,0)</f>
        <v>0</v>
      </c>
      <c r="CS127" s="91">
        <f>IF(((Input_Raw[[#This Row],[33 kV_Wind_F1_Import reading]]-CK126)*1200)&gt;0,(Input_Raw[[#This Row],[33 kV_Wind_F1_Import reading]]-CK126)*1200,0)</f>
        <v>0</v>
      </c>
      <c r="CT127" s="91">
        <f>IF(((Input_Raw[[#This Row],[33 kV_Wind_F2_Export_reading]]-CL126)*1200)&gt;0,(Input_Raw[[#This Row],[33 kV_Wind_F2_Export_reading]]-CL126)*1200,0)</f>
        <v>0</v>
      </c>
      <c r="CU127" s="91">
        <f>IF(((Input_Raw[[#This Row],[33 kV_Wind_F2_Import_reading]]-CM126)*1200)&gt;0,(Input_Raw[[#This Row],[33 kV_Wind_F2_Import_reading]]-CM126)*1200,0)</f>
        <v>0</v>
      </c>
      <c r="CV127" s="91">
        <f>IF(((Input_Raw[[#This Row],[33 kV_Wind_F3_Export_Reading]]-CN126)*1200)&gt;0,(Input_Raw[[#This Row],[33 kV_Wind_F3_Export_Reading]]-CN126)*1200,0)</f>
        <v>0</v>
      </c>
      <c r="CW127" s="91">
        <f>IF(((Input_Raw[[#This Row],[33 kV_Wind_F3_Import_Reading]]-CO126)*1200)&gt;0,(Input_Raw[[#This Row],[33 kV_Wind_F3_Import_Reading]]-CO126)*1200,0)</f>
        <v>0</v>
      </c>
      <c r="CX127" s="91">
        <f>IF(((Input_Raw[[#This Row],[33 kV_Wind_F4_Export Reading]]-CP126)*1200)&gt;0,(Input_Raw[[#This Row],[33 kV_Wind_F4_Export Reading]]-CP126)*1200,0)</f>
        <v>0</v>
      </c>
      <c r="CY127" s="172"/>
      <c r="CZ127" s="172">
        <f>Input_Raw[[#This Row],[33 kV_F1_Total_Export (KWh)]]+Input_Raw[[#This Row],[33 kV_F2_Total_Export (KWh)2]]+Input_Raw[[#This Row],[33 kV_Wind_F3_Export (KWh)]]+Input_Raw[[#This Row],[33 kV_Wind_F4_Export (KWh)]]</f>
        <v>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0</v>
      </c>
      <c r="DC127" s="100"/>
      <c r="DD127" s="100"/>
      <c r="DE127" s="102"/>
      <c r="DF127" s="99"/>
      <c r="DG127" s="101"/>
      <c r="DH127" s="99"/>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7">
        <f>SUM(Input_Raw[[#This Row],[G01]:[G40]])</f>
        <v>0</v>
      </c>
      <c r="CG128" s="18" t="str">
        <f>IFERROR(AVERAGE(Input_Raw[[#This Row],[WS_G01]:[WS_G40]]),"")</f>
        <v/>
      </c>
      <c r="CH128" s="19"/>
      <c r="CI128" s="19"/>
      <c r="CJ128" s="15"/>
      <c r="CK128" s="15"/>
      <c r="CL128" s="15"/>
      <c r="CM128" s="15"/>
      <c r="CN128" s="15"/>
      <c r="CO128" s="15"/>
      <c r="CP128" s="15"/>
      <c r="CQ128" s="15"/>
      <c r="CR128" s="91">
        <f>IF(((Input_Raw[[#This Row],[33 kV_Wind_F1_Export reading]]-CJ127)*1200)&gt;0,(Input_Raw[[#This Row],[33 kV_Wind_F1_Export reading]]-CJ127)*1200,0)</f>
        <v>0</v>
      </c>
      <c r="CS128" s="91">
        <f>IF(((Input_Raw[[#This Row],[33 kV_Wind_F1_Import reading]]-CK127)*1200)&gt;0,(Input_Raw[[#This Row],[33 kV_Wind_F1_Import reading]]-CK127)*1200,0)</f>
        <v>0</v>
      </c>
      <c r="CT128" s="91">
        <f>IF(((Input_Raw[[#This Row],[33 kV_Wind_F2_Export_reading]]-CL127)*1200)&gt;0,(Input_Raw[[#This Row],[33 kV_Wind_F2_Export_reading]]-CL127)*1200,0)</f>
        <v>0</v>
      </c>
      <c r="CU128" s="91">
        <f>IF(((Input_Raw[[#This Row],[33 kV_Wind_F2_Import_reading]]-CM127)*1200)&gt;0,(Input_Raw[[#This Row],[33 kV_Wind_F2_Import_reading]]-CM127)*1200,0)</f>
        <v>0</v>
      </c>
      <c r="CV128" s="91">
        <f>IF(((Input_Raw[[#This Row],[33 kV_Wind_F3_Export_Reading]]-CN127)*1200)&gt;0,(Input_Raw[[#This Row],[33 kV_Wind_F3_Export_Reading]]-CN127)*1200,0)</f>
        <v>0</v>
      </c>
      <c r="CW128" s="91">
        <f>IF(((Input_Raw[[#This Row],[33 kV_Wind_F3_Import_Reading]]-CO127)*1200)&gt;0,(Input_Raw[[#This Row],[33 kV_Wind_F3_Import_Reading]]-CO127)*1200,0)</f>
        <v>0</v>
      </c>
      <c r="CX128" s="91">
        <f>IF(((Input_Raw[[#This Row],[33 kV_Wind_F4_Export Reading]]-CP127)*1200)&gt;0,(Input_Raw[[#This Row],[33 kV_Wind_F4_Export Reading]]-CP127)*1200,0)</f>
        <v>0</v>
      </c>
      <c r="CY128" s="172"/>
      <c r="CZ128" s="172">
        <f>Input_Raw[[#This Row],[33 kV_F1_Total_Export (KWh)]]+Input_Raw[[#This Row],[33 kV_F2_Total_Export (KWh)2]]+Input_Raw[[#This Row],[33 kV_Wind_F3_Export (KWh)]]+Input_Raw[[#This Row],[33 kV_Wind_F4_Export (KWh)]]</f>
        <v>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0</v>
      </c>
      <c r="DC128" s="100"/>
      <c r="DD128" s="100"/>
      <c r="DE128" s="102"/>
      <c r="DF128" s="99"/>
      <c r="DG128" s="101"/>
      <c r="DH128" s="99"/>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7">
        <f>SUM(Input_Raw[[#This Row],[G01]:[G40]])</f>
        <v>0</v>
      </c>
      <c r="CG129" s="18" t="str">
        <f>IFERROR(AVERAGE(Input_Raw[[#This Row],[WS_G01]:[WS_G40]]),"")</f>
        <v/>
      </c>
      <c r="CH129" s="19"/>
      <c r="CI129" s="19"/>
      <c r="CJ129" s="15"/>
      <c r="CK129" s="15"/>
      <c r="CL129" s="15"/>
      <c r="CM129" s="15"/>
      <c r="CN129" s="15"/>
      <c r="CO129" s="15"/>
      <c r="CP129" s="15"/>
      <c r="CQ129" s="15"/>
      <c r="CR129" s="91">
        <f>IF(((Input_Raw[[#This Row],[33 kV_Wind_F1_Export reading]]-CJ128)*1200)&gt;0,(Input_Raw[[#This Row],[33 kV_Wind_F1_Export reading]]-CJ128)*1200,0)</f>
        <v>0</v>
      </c>
      <c r="CS129" s="91">
        <f>IF(((Input_Raw[[#This Row],[33 kV_Wind_F1_Import reading]]-CK128)*1200)&gt;0,(Input_Raw[[#This Row],[33 kV_Wind_F1_Import reading]]-CK128)*1200,0)</f>
        <v>0</v>
      </c>
      <c r="CT129" s="91">
        <f>IF(((Input_Raw[[#This Row],[33 kV_Wind_F2_Export_reading]]-CL128)*1200)&gt;0,(Input_Raw[[#This Row],[33 kV_Wind_F2_Export_reading]]-CL128)*1200,0)</f>
        <v>0</v>
      </c>
      <c r="CU129" s="91">
        <f>IF(((Input_Raw[[#This Row],[33 kV_Wind_F2_Import_reading]]-CM128)*1200)&gt;0,(Input_Raw[[#This Row],[33 kV_Wind_F2_Import_reading]]-CM128)*1200,0)</f>
        <v>0</v>
      </c>
      <c r="CV129" s="91">
        <f>IF(((Input_Raw[[#This Row],[33 kV_Wind_F3_Export_Reading]]-CN128)*1200)&gt;0,(Input_Raw[[#This Row],[33 kV_Wind_F3_Export_Reading]]-CN128)*1200,0)</f>
        <v>0</v>
      </c>
      <c r="CW129" s="91">
        <f>IF(((Input_Raw[[#This Row],[33 kV_Wind_F3_Import_Reading]]-CO128)*1200)&gt;0,(Input_Raw[[#This Row],[33 kV_Wind_F3_Import_Reading]]-CO128)*1200,0)</f>
        <v>0</v>
      </c>
      <c r="CX129" s="91">
        <f>IF(((Input_Raw[[#This Row],[33 kV_Wind_F4_Export Reading]]-CP128)*1200)&gt;0,(Input_Raw[[#This Row],[33 kV_Wind_F4_Export Reading]]-CP128)*1200,0)</f>
        <v>0</v>
      </c>
      <c r="CY129" s="172"/>
      <c r="CZ129" s="172">
        <f>Input_Raw[[#This Row],[33 kV_F1_Total_Export (KWh)]]+Input_Raw[[#This Row],[33 kV_F2_Total_Export (KWh)2]]+Input_Raw[[#This Row],[33 kV_Wind_F3_Export (KWh)]]+Input_Raw[[#This Row],[33 kV_Wind_F4_Export (KWh)]]</f>
        <v>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0</v>
      </c>
      <c r="DC129" s="100"/>
      <c r="DD129" s="100"/>
      <c r="DE129" s="102"/>
      <c r="DF129" s="99"/>
      <c r="DG129" s="101"/>
      <c r="DH129" s="99"/>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tabSelected="1" workbookViewId="0">
      <pane xSplit="1" ySplit="1" topLeftCell="F104" activePane="bottomRight" state="frozen"/>
      <selection pane="bottomRight" activeCell="N111" sqref="N111"/>
      <selection pane="bottomLeft" activeCell="AB39" sqref="AB39"/>
      <selection pane="topRight" activeCell="AB39" sqref="AB39"/>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271</v>
      </c>
      <c r="B1" s="115" t="s">
        <v>3</v>
      </c>
      <c r="C1" s="115" t="s">
        <v>344</v>
      </c>
      <c r="D1" s="115" t="s">
        <v>273</v>
      </c>
      <c r="E1" s="115" t="s">
        <v>46</v>
      </c>
      <c r="F1" s="116" t="s">
        <v>345</v>
      </c>
      <c r="G1" s="116" t="s">
        <v>346</v>
      </c>
      <c r="H1" s="116" t="s">
        <v>347</v>
      </c>
      <c r="I1" s="116" t="s">
        <v>348</v>
      </c>
      <c r="J1" s="116" t="s">
        <v>349</v>
      </c>
      <c r="K1" s="116" t="s">
        <v>350</v>
      </c>
      <c r="L1" s="116" t="s">
        <v>351</v>
      </c>
      <c r="M1" s="116" t="s">
        <v>352</v>
      </c>
      <c r="N1" s="116" t="s">
        <v>353</v>
      </c>
      <c r="O1" s="116" t="s">
        <v>354</v>
      </c>
      <c r="P1" s="116" t="s">
        <v>355</v>
      </c>
      <c r="Q1" s="116" t="s">
        <v>356</v>
      </c>
      <c r="R1" s="116" t="s">
        <v>357</v>
      </c>
      <c r="S1" s="116" t="s">
        <v>358</v>
      </c>
      <c r="T1" s="116" t="s">
        <v>359</v>
      </c>
      <c r="U1" s="116" t="s">
        <v>360</v>
      </c>
      <c r="V1" s="116" t="s">
        <v>361</v>
      </c>
      <c r="W1" s="116" t="s">
        <v>362</v>
      </c>
      <c r="X1" s="116" t="s">
        <v>363</v>
      </c>
      <c r="Y1" s="116" t="s">
        <v>364</v>
      </c>
      <c r="Z1" s="116" t="s">
        <v>365</v>
      </c>
      <c r="AA1" s="116" t="s">
        <v>366</v>
      </c>
      <c r="AB1" s="116" t="s">
        <v>367</v>
      </c>
      <c r="AC1" s="116" t="s">
        <v>368</v>
      </c>
      <c r="AD1" s="116" t="s">
        <v>369</v>
      </c>
      <c r="AE1" s="116" t="s">
        <v>370</v>
      </c>
      <c r="AF1" s="116" t="s">
        <v>371</v>
      </c>
      <c r="AG1" s="116" t="s">
        <v>372</v>
      </c>
      <c r="AH1" s="116" t="s">
        <v>373</v>
      </c>
      <c r="AI1" s="116" t="s">
        <v>61</v>
      </c>
      <c r="AJ1" s="116" t="s">
        <v>374</v>
      </c>
      <c r="AK1" s="116" t="s">
        <v>375</v>
      </c>
      <c r="AL1" s="116" t="s">
        <v>376</v>
      </c>
      <c r="AM1" s="116" t="s">
        <v>377</v>
      </c>
      <c r="AN1" s="117" t="s">
        <v>378</v>
      </c>
      <c r="AO1" s="116" t="s">
        <v>63</v>
      </c>
      <c r="AP1" s="116" t="s">
        <v>379</v>
      </c>
      <c r="AQ1" s="116" t="s">
        <v>380</v>
      </c>
      <c r="AR1" s="116" t="s">
        <v>381</v>
      </c>
      <c r="AS1" s="116" t="s">
        <v>382</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0.92233092764232416</v>
      </c>
      <c r="P112" s="121">
        <f>IFERROR(1-SUMIF(WTG_BD!$F:$F,$A112,WTG_BD!$AA:$AA)/($AA112+SUMIF(WTG_BD!$F:$F,$A112,WTG_BD!$AA:$AA)),"")</f>
        <v>0.92233092764232416</v>
      </c>
      <c r="Q112" s="122">
        <f>IFERROR(1-SUMIF(IGA_BD!$F:$F,$A112,IGA_BD!$V:$V)/($AA112+SUMIF(IGA_BD!$F:$F,$A112,IGA_BD!$V:$V)),"")</f>
        <v>1</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t="str">
        <f>IFERROR(_xlfn.XLOOKUP($A115,Input_Raw!$A:$A,Input_Raw!CG:CG),"")</f>
        <v/>
      </c>
      <c r="N115" s="109">
        <f>IFERROR(_xlfn.XLOOKUP($A115,Input_Raw!$A:$A,Input_Raw!CH:CH),"")</f>
        <v>0</v>
      </c>
      <c r="O115" s="121" t="str">
        <f t="shared" si="10"/>
        <v/>
      </c>
      <c r="P115" s="121" t="str">
        <f>IFERROR(1-SUMIF(WTG_BD!$F:$F,$A115,WTG_BD!$AA:$AA)/($AA115+SUMIF(WTG_BD!$F:$F,$A115,WTG_BD!$AA:$AA)),"")</f>
        <v/>
      </c>
      <c r="Q115" s="122" t="str">
        <f>IFERROR(1-SUMIF(IGA_BD!$F:$F,$A115,IGA_BD!$V:$V)/($AA115+SUMIF(IGA_BD!$F:$F,$A115,IGA_BD!$V:$V)),"")</f>
        <v/>
      </c>
      <c r="R115" s="127" t="str">
        <f>IFERROR(1-SUMIF(Grid_BD!$F:$F,$A115,Grid_BD!$X:$X)/($AA115+SUMIF(Grid_BD!$F:$F,$A115,Grid_BD!$X:$X)),"")</f>
        <v/>
      </c>
      <c r="S115" s="105"/>
      <c r="T115" s="122"/>
      <c r="U115" s="123"/>
      <c r="V115" s="105"/>
      <c r="W115" s="124">
        <f>IFERROR(Table13[[#This Row],[Mtr_Net_Exp (KWh)]]/(24*AR115*1000),"")</f>
        <v>0</v>
      </c>
      <c r="X115" s="105">
        <f>IFERROR(_xlfn.XLOOKUP($A115,Input_Raw!$A:$A,Input_Raw!$CF:$CF),"")</f>
        <v>0</v>
      </c>
      <c r="Y115" s="105">
        <f>IFERROR(_xlfn.XLOOKUP($A115,Input_Raw!$A:$A,Input_Raw!$CZ:$CZ),"")</f>
        <v>0</v>
      </c>
      <c r="Z115" s="105">
        <f>IFERROR(_xlfn.XLOOKUP($A115,Input_Raw!$A:$A,Input_Raw!$DA:$DA),"")</f>
        <v>0</v>
      </c>
      <c r="AA115" s="107">
        <f t="shared" si="9"/>
        <v>0</v>
      </c>
      <c r="AB115" s="105">
        <f>IFERROR(_xlfn.XLOOKUP($A115,Input_Raw!$A:$A,Input_Raw!$DG:$DG),"")</f>
        <v>0</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0</v>
      </c>
      <c r="AJ115" s="105"/>
      <c r="AK115" s="105"/>
      <c r="AL115" s="105"/>
      <c r="AM115" s="105"/>
      <c r="AN115" s="126">
        <f>IFERROR(_xlfn.XLOOKUP($A115,Input_Raw!$A:$A,Input_Raw!$DB:$DB),"")</f>
        <v>0</v>
      </c>
      <c r="AO115" s="124" t="str">
        <f>IFERROR((_xlfn.XLOOKUP($A115,'WTG Reactive Power'!$A:$A,'WTG Reactive Power'!$AR:$AR))/X115/1000,"")</f>
        <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t="str">
        <f>IFERROR(_xlfn.XLOOKUP($A116,Input_Raw!$A:$A,Input_Raw!CG:CG),"")</f>
        <v/>
      </c>
      <c r="N116" s="109">
        <f>IFERROR(_xlfn.XLOOKUP($A116,Input_Raw!$A:$A,Input_Raw!CH:CH),"")</f>
        <v>0</v>
      </c>
      <c r="O116" s="121" t="str">
        <f t="shared" si="10"/>
        <v/>
      </c>
      <c r="P116" s="121" t="str">
        <f>IFERROR(1-SUMIF(WTG_BD!$F:$F,$A116,WTG_BD!$AA:$AA)/($AA116+SUMIF(WTG_BD!$F:$F,$A116,WTG_BD!$AA:$AA)),"")</f>
        <v/>
      </c>
      <c r="Q116" s="122" t="str">
        <f>IFERROR(1-SUMIF(IGA_BD!$F:$F,$A116,IGA_BD!$V:$V)/($AA116+SUMIF(IGA_BD!$F:$F,$A116,IGA_BD!$V:$V)),"")</f>
        <v/>
      </c>
      <c r="R116" s="127" t="str">
        <f>IFERROR(1-SUMIF(Grid_BD!$F:$F,$A116,Grid_BD!$X:$X)/($AA116+SUMIF(Grid_BD!$F:$F,$A116,Grid_BD!$X:$X)),"")</f>
        <v/>
      </c>
      <c r="S116" s="105"/>
      <c r="T116" s="122"/>
      <c r="U116" s="123"/>
      <c r="V116" s="105"/>
      <c r="W116" s="124">
        <f>IFERROR(Table13[[#This Row],[Mtr_Net_Exp (KWh)]]/(24*AR116*1000),"")</f>
        <v>0</v>
      </c>
      <c r="X116" s="105">
        <f>IFERROR(_xlfn.XLOOKUP($A116,Input_Raw!$A:$A,Input_Raw!$CF:$CF),"")</f>
        <v>0</v>
      </c>
      <c r="Y116" s="105">
        <f>IFERROR(_xlfn.XLOOKUP($A116,Input_Raw!$A:$A,Input_Raw!$CZ:$CZ),"")</f>
        <v>0</v>
      </c>
      <c r="Z116" s="105">
        <f>IFERROR(_xlfn.XLOOKUP($A116,Input_Raw!$A:$A,Input_Raw!$DA:$DA),"")</f>
        <v>0</v>
      </c>
      <c r="AA116" s="107">
        <f t="shared" si="9"/>
        <v>0</v>
      </c>
      <c r="AB116" s="105">
        <f>IFERROR(_xlfn.XLOOKUP($A116,Input_Raw!$A:$A,Input_Raw!$DG:$DG),"")</f>
        <v>0</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0</v>
      </c>
      <c r="AJ116" s="105"/>
      <c r="AK116" s="105"/>
      <c r="AL116" s="105"/>
      <c r="AM116" s="105"/>
      <c r="AN116" s="126">
        <f>IFERROR(_xlfn.XLOOKUP($A116,Input_Raw!$A:$A,Input_Raw!$DB:$DB),"")</f>
        <v>0</v>
      </c>
      <c r="AO116" s="124" t="str">
        <f>IFERROR((_xlfn.XLOOKUP($A116,'WTG Reactive Power'!$A:$A,'WTG Reactive Power'!$AR:$AR))/X116/1000,"")</f>
        <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t="str">
        <f>IFERROR(_xlfn.XLOOKUP($A117,Input_Raw!$A:$A,Input_Raw!CG:CG),"")</f>
        <v/>
      </c>
      <c r="N117" s="109">
        <f>IFERROR(_xlfn.XLOOKUP($A117,Input_Raw!$A:$A,Input_Raw!CH:CH),"")</f>
        <v>0</v>
      </c>
      <c r="O117" s="121" t="str">
        <f t="shared" si="10"/>
        <v/>
      </c>
      <c r="P117" s="121" t="str">
        <f>IFERROR(1-SUMIF(WTG_BD!$F:$F,$A117,WTG_BD!$AA:$AA)/($AA117+SUMIF(WTG_BD!$F:$F,$A117,WTG_BD!$AA:$AA)),"")</f>
        <v/>
      </c>
      <c r="Q117" s="122" t="str">
        <f>IFERROR(1-SUMIF(IGA_BD!$F:$F,$A117,IGA_BD!$V:$V)/($AA117+SUMIF(IGA_BD!$F:$F,$A117,IGA_BD!$V:$V)),"")</f>
        <v/>
      </c>
      <c r="R117" s="127" t="str">
        <f>IFERROR(1-SUMIF(Grid_BD!$F:$F,$A117,Grid_BD!$X:$X)/($AA117+SUMIF(Grid_BD!$F:$F,$A117,Grid_BD!$X:$X)),"")</f>
        <v/>
      </c>
      <c r="S117" s="105"/>
      <c r="T117" s="122"/>
      <c r="U117" s="123"/>
      <c r="V117" s="105"/>
      <c r="W117" s="124">
        <f>IFERROR(Table13[[#This Row],[Mtr_Net_Exp (KWh)]]/(24*AR117*1000),"")</f>
        <v>0</v>
      </c>
      <c r="X117" s="105">
        <f>IFERROR(_xlfn.XLOOKUP($A117,Input_Raw!$A:$A,Input_Raw!$CF:$CF),"")</f>
        <v>0</v>
      </c>
      <c r="Y117" s="105">
        <f>IFERROR(_xlfn.XLOOKUP($A117,Input_Raw!$A:$A,Input_Raw!$CZ:$CZ),"")</f>
        <v>0</v>
      </c>
      <c r="Z117" s="105">
        <f>IFERROR(_xlfn.XLOOKUP($A117,Input_Raw!$A:$A,Input_Raw!$DA:$DA),"")</f>
        <v>0</v>
      </c>
      <c r="AA117" s="107">
        <f t="shared" si="9"/>
        <v>0</v>
      </c>
      <c r="AB117" s="105">
        <f>IFERROR(_xlfn.XLOOKUP($A117,Input_Raw!$A:$A,Input_Raw!$DG:$DG),"")</f>
        <v>0</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0</v>
      </c>
      <c r="AJ117" s="105"/>
      <c r="AK117" s="105"/>
      <c r="AL117" s="105"/>
      <c r="AM117" s="105"/>
      <c r="AN117" s="126">
        <f>IFERROR(_xlfn.XLOOKUP($A117,Input_Raw!$A:$A,Input_Raw!$DB:$DB),"")</f>
        <v>0</v>
      </c>
      <c r="AO117" s="124" t="str">
        <f>IFERROR((_xlfn.XLOOKUP($A117,'WTG Reactive Power'!$A:$A,'WTG Reactive Power'!$AR:$AR))/X117/1000,"")</f>
        <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t="str">
        <f>IFERROR(_xlfn.XLOOKUP($A118,Input_Raw!$A:$A,Input_Raw!CG:CG),"")</f>
        <v/>
      </c>
      <c r="N118" s="109">
        <f>IFERROR(_xlfn.XLOOKUP($A118,Input_Raw!$A:$A,Input_Raw!CH:CH),"")</f>
        <v>0</v>
      </c>
      <c r="O118" s="121" t="str">
        <f t="shared" si="10"/>
        <v/>
      </c>
      <c r="P118" s="121" t="str">
        <f>IFERROR(1-SUMIF(WTG_BD!$F:$F,$A118,WTG_BD!$AA:$AA)/($AA118+SUMIF(WTG_BD!$F:$F,$A118,WTG_BD!$AA:$AA)),"")</f>
        <v/>
      </c>
      <c r="Q118" s="122" t="str">
        <f>IFERROR(1-SUMIF(IGA_BD!$F:$F,$A118,IGA_BD!$V:$V)/($AA118+SUMIF(IGA_BD!$F:$F,$A118,IGA_BD!$V:$V)),"")</f>
        <v/>
      </c>
      <c r="R118" s="127" t="str">
        <f>IFERROR(1-SUMIF(Grid_BD!$F:$F,$A118,Grid_BD!$X:$X)/($AA118+SUMIF(Grid_BD!$F:$F,$A118,Grid_BD!$X:$X)),"")</f>
        <v/>
      </c>
      <c r="S118" s="105"/>
      <c r="T118" s="122"/>
      <c r="U118" s="123"/>
      <c r="V118" s="105"/>
      <c r="W118" s="124">
        <f>IFERROR(Table13[[#This Row],[Mtr_Net_Exp (KWh)]]/(24*AR118*1000),"")</f>
        <v>0</v>
      </c>
      <c r="X118" s="105">
        <f>IFERROR(_xlfn.XLOOKUP($A118,Input_Raw!$A:$A,Input_Raw!$CF:$CF),"")</f>
        <v>0</v>
      </c>
      <c r="Y118" s="105">
        <f>IFERROR(_xlfn.XLOOKUP($A118,Input_Raw!$A:$A,Input_Raw!$CZ:$CZ),"")</f>
        <v>0</v>
      </c>
      <c r="Z118" s="105">
        <f>IFERROR(_xlfn.XLOOKUP($A118,Input_Raw!$A:$A,Input_Raw!$DA:$DA),"")</f>
        <v>0</v>
      </c>
      <c r="AA118" s="107">
        <f t="shared" si="9"/>
        <v>0</v>
      </c>
      <c r="AB118" s="105">
        <f>IFERROR(_xlfn.XLOOKUP($A118,Input_Raw!$A:$A,Input_Raw!$DG:$DG),"")</f>
        <v>0</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0</v>
      </c>
      <c r="AJ118" s="105"/>
      <c r="AK118" s="105"/>
      <c r="AL118" s="105"/>
      <c r="AM118" s="105"/>
      <c r="AN118" s="126">
        <f>IFERROR(_xlfn.XLOOKUP($A118,Input_Raw!$A:$A,Input_Raw!$DB:$DB),"")</f>
        <v>0</v>
      </c>
      <c r="AO118" s="124" t="str">
        <f>IFERROR((_xlfn.XLOOKUP($A118,'WTG Reactive Power'!$A:$A,'WTG Reactive Power'!$AR:$AR))/X118/1000,"")</f>
        <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t="str">
        <f>IFERROR(_xlfn.XLOOKUP($A119,Input_Raw!$A:$A,Input_Raw!CG:CG),"")</f>
        <v/>
      </c>
      <c r="N119" s="109">
        <f>IFERROR(_xlfn.XLOOKUP($A119,Input_Raw!$A:$A,Input_Raw!CH:CH),"")</f>
        <v>0</v>
      </c>
      <c r="O119" s="121" t="str">
        <f t="shared" si="10"/>
        <v/>
      </c>
      <c r="P119" s="121" t="str">
        <f>IFERROR(1-SUMIF(WTG_BD!$F:$F,$A119,WTG_BD!$AA:$AA)/($AA119+SUMIF(WTG_BD!$F:$F,$A119,WTG_BD!$AA:$AA)),"")</f>
        <v/>
      </c>
      <c r="Q119" s="122" t="str">
        <f>IFERROR(1-SUMIF(IGA_BD!$F:$F,$A119,IGA_BD!$V:$V)/($AA119+SUMIF(IGA_BD!$F:$F,$A119,IGA_BD!$V:$V)),"")</f>
        <v/>
      </c>
      <c r="R119" s="127" t="str">
        <f>IFERROR(1-SUMIF(Grid_BD!$F:$F,$A119,Grid_BD!$X:$X)/($AA119+SUMIF(Grid_BD!$F:$F,$A119,Grid_BD!$X:$X)),"")</f>
        <v/>
      </c>
      <c r="S119" s="105"/>
      <c r="T119" s="122"/>
      <c r="U119" s="123"/>
      <c r="V119" s="105"/>
      <c r="W119" s="124">
        <f>IFERROR(Table13[[#This Row],[Mtr_Net_Exp (KWh)]]/(24*AR119*1000),"")</f>
        <v>0</v>
      </c>
      <c r="X119" s="105">
        <f>IFERROR(_xlfn.XLOOKUP($A119,Input_Raw!$A:$A,Input_Raw!$CF:$CF),"")</f>
        <v>0</v>
      </c>
      <c r="Y119" s="105">
        <f>IFERROR(_xlfn.XLOOKUP($A119,Input_Raw!$A:$A,Input_Raw!$CZ:$CZ),"")</f>
        <v>0</v>
      </c>
      <c r="Z119" s="105">
        <f>IFERROR(_xlfn.XLOOKUP($A119,Input_Raw!$A:$A,Input_Raw!$DA:$DA),"")</f>
        <v>0</v>
      </c>
      <c r="AA119" s="107">
        <f t="shared" si="9"/>
        <v>0</v>
      </c>
      <c r="AB119" s="105">
        <f>IFERROR(_xlfn.XLOOKUP($A119,Input_Raw!$A:$A,Input_Raw!$DG:$DG),"")</f>
        <v>0</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0</v>
      </c>
      <c r="AJ119" s="105"/>
      <c r="AK119" s="105"/>
      <c r="AL119" s="105"/>
      <c r="AM119" s="105"/>
      <c r="AN119" s="126">
        <f>IFERROR(_xlfn.XLOOKUP($A119,Input_Raw!$A:$A,Input_Raw!$DB:$DB),"")</f>
        <v>0</v>
      </c>
      <c r="AO119" s="124" t="str">
        <f>IFERROR((_xlfn.XLOOKUP($A119,'WTG Reactive Power'!$A:$A,'WTG Reactive Power'!$AR:$AR))/X119/1000,"")</f>
        <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t="str">
        <f>IFERROR(_xlfn.XLOOKUP($A120,Input_Raw!$A:$A,Input_Raw!CG:CG),"")</f>
        <v/>
      </c>
      <c r="N120" s="109">
        <f>IFERROR(_xlfn.XLOOKUP($A120,Input_Raw!$A:$A,Input_Raw!CH:CH),"")</f>
        <v>0</v>
      </c>
      <c r="O120" s="121" t="str">
        <f t="shared" si="10"/>
        <v/>
      </c>
      <c r="P120" s="121" t="str">
        <f>IFERROR(1-SUMIF(WTG_BD!$F:$F,$A120,WTG_BD!$AA:$AA)/($AA120+SUMIF(WTG_BD!$F:$F,$A120,WTG_BD!$AA:$AA)),"")</f>
        <v/>
      </c>
      <c r="Q120" s="122" t="str">
        <f>IFERROR(1-SUMIF(IGA_BD!$F:$F,$A120,IGA_BD!$V:$V)/($AA120+SUMIF(IGA_BD!$F:$F,$A120,IGA_BD!$V:$V)),"")</f>
        <v/>
      </c>
      <c r="R120" s="127" t="str">
        <f>IFERROR(1-SUMIF(Grid_BD!$F:$F,$A120,Grid_BD!$X:$X)/($AA120+SUMIF(Grid_BD!$F:$F,$A120,Grid_BD!$X:$X)),"")</f>
        <v/>
      </c>
      <c r="S120" s="105"/>
      <c r="T120" s="122"/>
      <c r="U120" s="123"/>
      <c r="V120" s="105"/>
      <c r="W120" s="124">
        <f>IFERROR(Table13[[#This Row],[Mtr_Net_Exp (KWh)]]/(24*AR120*1000),"")</f>
        <v>0</v>
      </c>
      <c r="X120" s="105">
        <f>IFERROR(_xlfn.XLOOKUP($A120,Input_Raw!$A:$A,Input_Raw!$CF:$CF),"")</f>
        <v>0</v>
      </c>
      <c r="Y120" s="105">
        <f>IFERROR(_xlfn.XLOOKUP($A120,Input_Raw!$A:$A,Input_Raw!$CZ:$CZ),"")</f>
        <v>0</v>
      </c>
      <c r="Z120" s="105">
        <f>IFERROR(_xlfn.XLOOKUP($A120,Input_Raw!$A:$A,Input_Raw!$DA:$DA),"")</f>
        <v>0</v>
      </c>
      <c r="AA120" s="107">
        <f t="shared" si="9"/>
        <v>0</v>
      </c>
      <c r="AB120" s="105">
        <f>IFERROR(_xlfn.XLOOKUP($A120,Input_Raw!$A:$A,Input_Raw!$DG:$DG),"")</f>
        <v>0</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0</v>
      </c>
      <c r="AJ120" s="105"/>
      <c r="AK120" s="105"/>
      <c r="AL120" s="105"/>
      <c r="AM120" s="105"/>
      <c r="AN120" s="126">
        <f>IFERROR(_xlfn.XLOOKUP($A120,Input_Raw!$A:$A,Input_Raw!$DB:$DB),"")</f>
        <v>0</v>
      </c>
      <c r="AO120" s="124" t="str">
        <f>IFERROR((_xlfn.XLOOKUP($A120,'WTG Reactive Power'!$A:$A,'WTG Reactive Power'!$AR:$AR))/X120/1000,"")</f>
        <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t="str">
        <f>IFERROR(_xlfn.XLOOKUP($A121,Input_Raw!$A:$A,Input_Raw!CG:CG),"")</f>
        <v/>
      </c>
      <c r="N121" s="109">
        <f>IFERROR(_xlfn.XLOOKUP($A121,Input_Raw!$A:$A,Input_Raw!CH:CH),"")</f>
        <v>0</v>
      </c>
      <c r="O121" s="121" t="str">
        <f t="shared" si="10"/>
        <v/>
      </c>
      <c r="P121" s="121" t="str">
        <f>IFERROR(1-SUMIF(WTG_BD!$F:$F,$A121,WTG_BD!$AA:$AA)/($AA121+SUMIF(WTG_BD!$F:$F,$A121,WTG_BD!$AA:$AA)),"")</f>
        <v/>
      </c>
      <c r="Q121" s="122" t="str">
        <f>IFERROR(1-SUMIF(IGA_BD!$F:$F,$A121,IGA_BD!$V:$V)/($AA121+SUMIF(IGA_BD!$F:$F,$A121,IGA_BD!$V:$V)),"")</f>
        <v/>
      </c>
      <c r="R121" s="127" t="str">
        <f>IFERROR(1-SUMIF(Grid_BD!$F:$F,$A121,Grid_BD!$X:$X)/($AA121+SUMIF(Grid_BD!$F:$F,$A121,Grid_BD!$X:$X)),"")</f>
        <v/>
      </c>
      <c r="S121" s="105"/>
      <c r="T121" s="122"/>
      <c r="U121" s="123"/>
      <c r="V121" s="105"/>
      <c r="W121" s="124">
        <f>IFERROR(Table13[[#This Row],[Mtr_Net_Exp (KWh)]]/(24*AR121*1000),"")</f>
        <v>0</v>
      </c>
      <c r="X121" s="105">
        <f>IFERROR(_xlfn.XLOOKUP($A121,Input_Raw!$A:$A,Input_Raw!$CF:$CF),"")</f>
        <v>0</v>
      </c>
      <c r="Y121" s="105">
        <f>IFERROR(_xlfn.XLOOKUP($A121,Input_Raw!$A:$A,Input_Raw!$CZ:$CZ),"")</f>
        <v>0</v>
      </c>
      <c r="Z121" s="105">
        <f>IFERROR(_xlfn.XLOOKUP($A121,Input_Raw!$A:$A,Input_Raw!$DA:$DA),"")</f>
        <v>0</v>
      </c>
      <c r="AA121" s="107">
        <f t="shared" si="9"/>
        <v>0</v>
      </c>
      <c r="AB121" s="105">
        <f>IFERROR(_xlfn.XLOOKUP($A121,Input_Raw!$A:$A,Input_Raw!$DG:$DG),"")</f>
        <v>0</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0</v>
      </c>
      <c r="AJ121" s="105"/>
      <c r="AK121" s="105"/>
      <c r="AL121" s="105"/>
      <c r="AM121" s="105"/>
      <c r="AN121" s="126">
        <f>IFERROR(_xlfn.XLOOKUP($A121,Input_Raw!$A:$A,Input_Raw!$DB:$DB),"")</f>
        <v>0</v>
      </c>
      <c r="AO121" s="124" t="str">
        <f>IFERROR((_xlfn.XLOOKUP($A121,'WTG Reactive Power'!$A:$A,'WTG Reactive Power'!$AR:$AR))/X121/1000,"")</f>
        <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t="str">
        <f>IFERROR(_xlfn.XLOOKUP($A122,Input_Raw!$A:$A,Input_Raw!CG:CG),"")</f>
        <v/>
      </c>
      <c r="N122" s="109">
        <f>IFERROR(_xlfn.XLOOKUP($A122,Input_Raw!$A:$A,Input_Raw!CH:CH),"")</f>
        <v>0</v>
      </c>
      <c r="O122" s="121" t="str">
        <f t="shared" si="10"/>
        <v/>
      </c>
      <c r="P122" s="121" t="str">
        <f>IFERROR(1-SUMIF(WTG_BD!$F:$F,$A122,WTG_BD!$AA:$AA)/($AA122+SUMIF(WTG_BD!$F:$F,$A122,WTG_BD!$AA:$AA)),"")</f>
        <v/>
      </c>
      <c r="Q122" s="122" t="str">
        <f>IFERROR(1-SUMIF(IGA_BD!$F:$F,$A122,IGA_BD!$V:$V)/($AA122+SUMIF(IGA_BD!$F:$F,$A122,IGA_BD!$V:$V)),"")</f>
        <v/>
      </c>
      <c r="R122" s="127" t="str">
        <f>IFERROR(1-SUMIF(Grid_BD!$F:$F,$A122,Grid_BD!$X:$X)/($AA122+SUMIF(Grid_BD!$F:$F,$A122,Grid_BD!$X:$X)),"")</f>
        <v/>
      </c>
      <c r="S122" s="105"/>
      <c r="T122" s="122"/>
      <c r="U122" s="123"/>
      <c r="V122" s="105"/>
      <c r="W122" s="124">
        <f>IFERROR(Table13[[#This Row],[Mtr_Net_Exp (KWh)]]/(24*AR122*1000),"")</f>
        <v>0</v>
      </c>
      <c r="X122" s="105">
        <f>IFERROR(_xlfn.XLOOKUP($A122,Input_Raw!$A:$A,Input_Raw!$CF:$CF),"")</f>
        <v>0</v>
      </c>
      <c r="Y122" s="105">
        <f>IFERROR(_xlfn.XLOOKUP($A122,Input_Raw!$A:$A,Input_Raw!$CZ:$CZ),"")</f>
        <v>0</v>
      </c>
      <c r="Z122" s="105">
        <f>IFERROR(_xlfn.XLOOKUP($A122,Input_Raw!$A:$A,Input_Raw!$DA:$DA),"")</f>
        <v>0</v>
      </c>
      <c r="AA122" s="107">
        <f t="shared" si="9"/>
        <v>0</v>
      </c>
      <c r="AB122" s="105">
        <f>IFERROR(_xlfn.XLOOKUP($A122,Input_Raw!$A:$A,Input_Raw!$DG:$DG),"")</f>
        <v>0</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0</v>
      </c>
      <c r="AJ122" s="105"/>
      <c r="AK122" s="105"/>
      <c r="AL122" s="105"/>
      <c r="AM122" s="105"/>
      <c r="AN122" s="126">
        <f>IFERROR(_xlfn.XLOOKUP($A122,Input_Raw!$A:$A,Input_Raw!$DB:$DB),"")</f>
        <v>0</v>
      </c>
      <c r="AO122" s="124" t="str">
        <f>IFERROR((_xlfn.XLOOKUP($A122,'WTG Reactive Power'!$A:$A,'WTG Reactive Power'!$AR:$AR))/X122/1000,"")</f>
        <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t="str">
        <f>IFERROR(_xlfn.XLOOKUP($A123,Input_Raw!$A:$A,Input_Raw!CG:CG),"")</f>
        <v/>
      </c>
      <c r="N123" s="109">
        <f>IFERROR(_xlfn.XLOOKUP($A123,Input_Raw!$A:$A,Input_Raw!CH:CH),"")</f>
        <v>0</v>
      </c>
      <c r="O123" s="121" t="str">
        <f t="shared" si="10"/>
        <v/>
      </c>
      <c r="P123" s="121" t="str">
        <f>IFERROR(1-SUMIF(WTG_BD!$F:$F,$A123,WTG_BD!$AA:$AA)/($AA123+SUMIF(WTG_BD!$F:$F,$A123,WTG_BD!$AA:$AA)),"")</f>
        <v/>
      </c>
      <c r="Q123" s="122" t="str">
        <f>IFERROR(1-SUMIF(IGA_BD!$F:$F,$A123,IGA_BD!$V:$V)/($AA123+SUMIF(IGA_BD!$F:$F,$A123,IGA_BD!$V:$V)),"")</f>
        <v/>
      </c>
      <c r="R123" s="127" t="str">
        <f>IFERROR(1-SUMIF(Grid_BD!$F:$F,$A123,Grid_BD!$X:$X)/($AA123+SUMIF(Grid_BD!$F:$F,$A123,Grid_BD!$X:$X)),"")</f>
        <v/>
      </c>
      <c r="S123" s="105"/>
      <c r="T123" s="122"/>
      <c r="U123" s="123"/>
      <c r="V123" s="105"/>
      <c r="W123" s="124">
        <f>IFERROR(Table13[[#This Row],[Mtr_Net_Exp (KWh)]]/(24*AR123*1000),"")</f>
        <v>0</v>
      </c>
      <c r="X123" s="105">
        <f>IFERROR(_xlfn.XLOOKUP($A123,Input_Raw!$A:$A,Input_Raw!$CF:$CF),"")</f>
        <v>0</v>
      </c>
      <c r="Y123" s="105">
        <f>IFERROR(_xlfn.XLOOKUP($A123,Input_Raw!$A:$A,Input_Raw!$CZ:$CZ),"")</f>
        <v>0</v>
      </c>
      <c r="Z123" s="105">
        <f>IFERROR(_xlfn.XLOOKUP($A123,Input_Raw!$A:$A,Input_Raw!$DA:$DA),"")</f>
        <v>0</v>
      </c>
      <c r="AA123" s="107">
        <f t="shared" si="9"/>
        <v>0</v>
      </c>
      <c r="AB123" s="105">
        <f>IFERROR(_xlfn.XLOOKUP($A123,Input_Raw!$A:$A,Input_Raw!$DG:$DG),"")</f>
        <v>0</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0</v>
      </c>
      <c r="AJ123" s="105"/>
      <c r="AK123" s="105"/>
      <c r="AL123" s="105"/>
      <c r="AM123" s="105"/>
      <c r="AN123" s="126">
        <f>IFERROR(_xlfn.XLOOKUP($A123,Input_Raw!$A:$A,Input_Raw!$DB:$DB),"")</f>
        <v>0</v>
      </c>
      <c r="AO123" s="124" t="str">
        <f>IFERROR((_xlfn.XLOOKUP($A123,'WTG Reactive Power'!$A:$A,'WTG Reactive Power'!$AR:$AR))/X123/1000,"")</f>
        <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t="str">
        <f>IFERROR(_xlfn.XLOOKUP($A124,Input_Raw!$A:$A,Input_Raw!CG:CG),"")</f>
        <v/>
      </c>
      <c r="N124" s="109">
        <f>IFERROR(_xlfn.XLOOKUP($A124,Input_Raw!$A:$A,Input_Raw!CH:CH),"")</f>
        <v>0</v>
      </c>
      <c r="O124" s="121" t="str">
        <f t="shared" si="10"/>
        <v/>
      </c>
      <c r="P124" s="121" t="str">
        <f>IFERROR(1-SUMIF(WTG_BD!$F:$F,$A124,WTG_BD!$AA:$AA)/($AA124+SUMIF(WTG_BD!$F:$F,$A124,WTG_BD!$AA:$AA)),"")</f>
        <v/>
      </c>
      <c r="Q124" s="122" t="str">
        <f>IFERROR(1-SUMIF(IGA_BD!$F:$F,$A124,IGA_BD!$V:$V)/($AA124+SUMIF(IGA_BD!$F:$F,$A124,IGA_BD!$V:$V)),"")</f>
        <v/>
      </c>
      <c r="R124" s="127" t="str">
        <f>IFERROR(1-SUMIF(Grid_BD!$F:$F,$A124,Grid_BD!$X:$X)/($AA124+SUMIF(Grid_BD!$F:$F,$A124,Grid_BD!$X:$X)),"")</f>
        <v/>
      </c>
      <c r="S124" s="105"/>
      <c r="T124" s="122"/>
      <c r="U124" s="123"/>
      <c r="V124" s="105"/>
      <c r="W124" s="124">
        <f>IFERROR(Table13[[#This Row],[Mtr_Net_Exp (KWh)]]/(24*AR124*1000),"")</f>
        <v>0</v>
      </c>
      <c r="X124" s="105">
        <f>IFERROR(_xlfn.XLOOKUP($A124,Input_Raw!$A:$A,Input_Raw!$CF:$CF),"")</f>
        <v>0</v>
      </c>
      <c r="Y124" s="105">
        <f>IFERROR(_xlfn.XLOOKUP($A124,Input_Raw!$A:$A,Input_Raw!$CZ:$CZ),"")</f>
        <v>0</v>
      </c>
      <c r="Z124" s="105">
        <f>IFERROR(_xlfn.XLOOKUP($A124,Input_Raw!$A:$A,Input_Raw!$DA:$DA),"")</f>
        <v>0</v>
      </c>
      <c r="AA124" s="107">
        <f t="shared" si="9"/>
        <v>0</v>
      </c>
      <c r="AB124" s="105">
        <f>IFERROR(_xlfn.XLOOKUP($A124,Input_Raw!$A:$A,Input_Raw!$DG:$DG),"")</f>
        <v>0</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0</v>
      </c>
      <c r="AJ124" s="105"/>
      <c r="AK124" s="105"/>
      <c r="AL124" s="105"/>
      <c r="AM124" s="105"/>
      <c r="AN124" s="126">
        <f>IFERROR(_xlfn.XLOOKUP($A124,Input_Raw!$A:$A,Input_Raw!$DB:$DB),"")</f>
        <v>0</v>
      </c>
      <c r="AO124" s="124" t="str">
        <f>IFERROR((_xlfn.XLOOKUP($A124,'WTG Reactive Power'!$A:$A,'WTG Reactive Power'!$AR:$AR))/X124/1000,"")</f>
        <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t="str">
        <f>IFERROR(_xlfn.XLOOKUP($A125,Input_Raw!$A:$A,Input_Raw!CG:CG),"")</f>
        <v/>
      </c>
      <c r="N125" s="109">
        <f>IFERROR(_xlfn.XLOOKUP($A125,Input_Raw!$A:$A,Input_Raw!CH:CH),"")</f>
        <v>0</v>
      </c>
      <c r="O125" s="121" t="str">
        <f t="shared" si="10"/>
        <v/>
      </c>
      <c r="P125" s="121" t="str">
        <f>IFERROR(1-SUMIF(WTG_BD!$F:$F,$A125,WTG_BD!$AA:$AA)/($AA125+SUMIF(WTG_BD!$F:$F,$A125,WTG_BD!$AA:$AA)),"")</f>
        <v/>
      </c>
      <c r="Q125" s="122" t="str">
        <f>IFERROR(1-SUMIF(IGA_BD!$F:$F,$A125,IGA_BD!$V:$V)/($AA125+SUMIF(IGA_BD!$F:$F,$A125,IGA_BD!$V:$V)),"")</f>
        <v/>
      </c>
      <c r="R125" s="127" t="str">
        <f>IFERROR(1-SUMIF(Grid_BD!$F:$F,$A125,Grid_BD!$X:$X)/($AA125+SUMIF(Grid_BD!$F:$F,$A125,Grid_BD!$X:$X)),"")</f>
        <v/>
      </c>
      <c r="S125" s="105"/>
      <c r="T125" s="122"/>
      <c r="U125" s="123"/>
      <c r="V125" s="105"/>
      <c r="W125" s="124">
        <f>IFERROR(Table13[[#This Row],[Mtr_Net_Exp (KWh)]]/(24*AR125*1000),"")</f>
        <v>0</v>
      </c>
      <c r="X125" s="105">
        <f>IFERROR(_xlfn.XLOOKUP($A125,Input_Raw!$A:$A,Input_Raw!$CF:$CF),"")</f>
        <v>0</v>
      </c>
      <c r="Y125" s="105">
        <f>IFERROR(_xlfn.XLOOKUP($A125,Input_Raw!$A:$A,Input_Raw!$CZ:$CZ),"")</f>
        <v>0</v>
      </c>
      <c r="Z125" s="105">
        <f>IFERROR(_xlfn.XLOOKUP($A125,Input_Raw!$A:$A,Input_Raw!$DA:$DA),"")</f>
        <v>0</v>
      </c>
      <c r="AA125" s="107">
        <f t="shared" si="9"/>
        <v>0</v>
      </c>
      <c r="AB125" s="105">
        <f>IFERROR(_xlfn.XLOOKUP($A125,Input_Raw!$A:$A,Input_Raw!$DG:$DG),"")</f>
        <v>0</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0</v>
      </c>
      <c r="AJ125" s="105"/>
      <c r="AK125" s="105"/>
      <c r="AL125" s="105"/>
      <c r="AM125" s="105"/>
      <c r="AN125" s="126">
        <f>IFERROR(_xlfn.XLOOKUP($A125,Input_Raw!$A:$A,Input_Raw!$DB:$DB),"")</f>
        <v>0</v>
      </c>
      <c r="AO125" s="124" t="str">
        <f>IFERROR((_xlfn.XLOOKUP($A125,'WTG Reactive Power'!$A:$A,'WTG Reactive Power'!$AR:$AR))/X125/1000,"")</f>
        <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t="str">
        <f>IFERROR(_xlfn.XLOOKUP($A126,Input_Raw!$A:$A,Input_Raw!CG:CG),"")</f>
        <v/>
      </c>
      <c r="N126" s="109">
        <f>IFERROR(_xlfn.XLOOKUP($A126,Input_Raw!$A:$A,Input_Raw!CH:CH),"")</f>
        <v>0</v>
      </c>
      <c r="O126" s="121" t="str">
        <f t="shared" si="10"/>
        <v/>
      </c>
      <c r="P126" s="121" t="str">
        <f>IFERROR(1-SUMIF(WTG_BD!$F:$F,$A126,WTG_BD!$AA:$AA)/($AA126+SUMIF(WTG_BD!$F:$F,$A126,WTG_BD!$AA:$AA)),"")</f>
        <v/>
      </c>
      <c r="Q126" s="122" t="str">
        <f>IFERROR(1-SUMIF(IGA_BD!$F:$F,$A126,IGA_BD!$V:$V)/($AA126+SUMIF(IGA_BD!$F:$F,$A126,IGA_BD!$V:$V)),"")</f>
        <v/>
      </c>
      <c r="R126" s="127" t="str">
        <f>IFERROR(1-SUMIF(Grid_BD!$F:$F,$A126,Grid_BD!$X:$X)/($AA126+SUMIF(Grid_BD!$F:$F,$A126,Grid_BD!$X:$X)),"")</f>
        <v/>
      </c>
      <c r="S126" s="105"/>
      <c r="T126" s="122"/>
      <c r="U126" s="123"/>
      <c r="V126" s="105"/>
      <c r="W126" s="124">
        <f>IFERROR(Table13[[#This Row],[Mtr_Net_Exp (KWh)]]/(24*AR126*1000),"")</f>
        <v>0</v>
      </c>
      <c r="X126" s="105">
        <f>IFERROR(_xlfn.XLOOKUP($A126,Input_Raw!$A:$A,Input_Raw!$CF:$CF),"")</f>
        <v>0</v>
      </c>
      <c r="Y126" s="105">
        <f>IFERROR(_xlfn.XLOOKUP($A126,Input_Raw!$A:$A,Input_Raw!$CZ:$CZ),"")</f>
        <v>0</v>
      </c>
      <c r="Z126" s="105">
        <f>IFERROR(_xlfn.XLOOKUP($A126,Input_Raw!$A:$A,Input_Raw!$DA:$DA),"")</f>
        <v>0</v>
      </c>
      <c r="AA126" s="107">
        <f t="shared" si="9"/>
        <v>0</v>
      </c>
      <c r="AB126" s="105">
        <f>IFERROR(_xlfn.XLOOKUP($A126,Input_Raw!$A:$A,Input_Raw!$DG:$DG),"")</f>
        <v>0</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0</v>
      </c>
      <c r="AJ126" s="105"/>
      <c r="AK126" s="105"/>
      <c r="AL126" s="105"/>
      <c r="AM126" s="105"/>
      <c r="AN126" s="126">
        <f>IFERROR(_xlfn.XLOOKUP($A126,Input_Raw!$A:$A,Input_Raw!$DB:$DB),"")</f>
        <v>0</v>
      </c>
      <c r="AO126" s="124" t="str">
        <f>IFERROR((_xlfn.XLOOKUP($A126,'WTG Reactive Power'!$A:$A,'WTG Reactive Power'!$AR:$AR))/X126/1000,"")</f>
        <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W41" activePane="bottomRight" state="frozen"/>
      <selection pane="bottomRight" activeCell="Z52" sqref="Z52"/>
      <selection pane="bottomLeft" activeCell="C1" sqref="C1"/>
      <selection pane="topRight" activeCell="C1" sqref="C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381</v>
      </c>
      <c r="AN1" s="129" t="s">
        <v>382</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19</v>
      </c>
      <c r="R53" s="139"/>
      <c r="S53" s="139"/>
      <c r="T53" s="138">
        <f t="shared" si="21"/>
        <v>585.79781940673683</v>
      </c>
      <c r="U53" s="139">
        <f t="shared" si="22"/>
        <v>11130.158568728</v>
      </c>
      <c r="V53" s="139">
        <f>SUMIF($F$2:F53,F53,$U$2:U53)</f>
        <v>53705.113182674904</v>
      </c>
      <c r="W53" s="111">
        <f t="shared" si="14"/>
        <v>0.31292618558052182</v>
      </c>
      <c r="X53" s="111">
        <f t="shared" si="15"/>
        <v>0.31292618558052182</v>
      </c>
      <c r="Y53" s="111">
        <f t="shared" si="16"/>
        <v>0.2608057166990817</v>
      </c>
      <c r="Z53" s="138">
        <f>IFERROR(AVERAGEIF('Daily KPI'!D:D,Table14[[#This Row],[Month]],'Daily KPI'!AB:AB),"")</f>
        <v>47.806451612903224</v>
      </c>
      <c r="AA53" s="134">
        <f>IFERROR(AVERAGEIF($F$2:F53,F53,$Z$2:Z53),"")</f>
        <v>70.451612903225808</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53705.113182674904</v>
      </c>
      <c r="W54" s="111">
        <f t="shared" si="14"/>
        <v>0.3290671118921199</v>
      </c>
      <c r="X54" s="111" t="str">
        <f t="shared" si="15"/>
        <v/>
      </c>
      <c r="Y54" s="111">
        <f t="shared" si="16"/>
        <v>0.2608057166990817</v>
      </c>
      <c r="Z54" s="138">
        <f>IFERROR(AVERAGEIF('Daily KPI'!D:D,Table14[[#This Row],[Month]],'Daily KPI'!AB:AB),"")</f>
        <v>0</v>
      </c>
      <c r="AA54" s="134">
        <f>IFERROR(AVERAGEIF($F$2:F54,F54,$Z$2:Z54),"")</f>
        <v>56.361290322580643</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53705.113182674904</v>
      </c>
      <c r="W55" s="111">
        <f t="shared" si="14"/>
        <v>0.14932143895938593</v>
      </c>
      <c r="X55" s="111" t="str">
        <f t="shared" si="15"/>
        <v/>
      </c>
      <c r="Y55" s="111">
        <f t="shared" si="16"/>
        <v>0.2608057166990817</v>
      </c>
      <c r="Z55" s="138" t="str">
        <f>IFERROR(AVERAGEIF('Daily KPI'!D:D,Table14[[#This Row],[Month]],'Daily KPI'!AB:AB),"")</f>
        <v/>
      </c>
      <c r="AA55" s="134">
        <f>IFERROR(AVERAGEIF($F$2:F55,F55,$Z$2:Z55),"")</f>
        <v>56.361290322580643</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53705.113182674904</v>
      </c>
      <c r="W56" s="111">
        <f t="shared" si="14"/>
        <v>8.792620744576421E-2</v>
      </c>
      <c r="X56" s="111" t="str">
        <f t="shared" si="15"/>
        <v/>
      </c>
      <c r="Y56" s="111">
        <f t="shared" si="16"/>
        <v>0.2608057166990817</v>
      </c>
      <c r="Z56" s="138" t="str">
        <f>IFERROR(AVERAGEIF('Daily KPI'!D:D,Table14[[#This Row],[Month]],'Daily KPI'!AB:AB),"")</f>
        <v/>
      </c>
      <c r="AA56" s="134">
        <f>IFERROR(AVERAGEIF($F$2:F56,F56,$Z$2:Z56),"")</f>
        <v>56.361290322580643</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53705.113182674904</v>
      </c>
      <c r="W57" s="111">
        <f t="shared" si="14"/>
        <v>8.6832512342204377E-2</v>
      </c>
      <c r="X57" s="111" t="str">
        <f t="shared" si="15"/>
        <v/>
      </c>
      <c r="Y57" s="111">
        <f t="shared" si="16"/>
        <v>0.2608057166990817</v>
      </c>
      <c r="Z57" s="138" t="str">
        <f>IFERROR(AVERAGEIF('Daily KPI'!D:D,Table14[[#This Row],[Month]],'Daily KPI'!AB:AB),"")</f>
        <v/>
      </c>
      <c r="AA57" s="134">
        <f>IFERROR(AVERAGEIF($F$2:F57,F57,$Z$2:Z57),"")</f>
        <v>56.361290322580643</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53705.113182674904</v>
      </c>
      <c r="W58" s="111">
        <f t="shared" si="14"/>
        <v>9.8249152945422247E-2</v>
      </c>
      <c r="X58" s="111" t="str">
        <f t="shared" si="15"/>
        <v/>
      </c>
      <c r="Y58" s="111">
        <f t="shared" si="16"/>
        <v>0.2608057166990817</v>
      </c>
      <c r="Z58" s="138" t="str">
        <f>IFERROR(AVERAGEIF('Daily KPI'!D:D,Table14[[#This Row],[Month]],'Daily KPI'!AB:AB),"")</f>
        <v/>
      </c>
      <c r="AA58" s="134">
        <f>IFERROR(AVERAGEIF($F$2:F58,F58,$Z$2:Z58),"")</f>
        <v>56.361290322580643</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53705.113182674904</v>
      </c>
      <c r="W59" s="111">
        <f t="shared" si="14"/>
        <v>6.8425959399653721E-2</v>
      </c>
      <c r="X59" s="111" t="str">
        <f t="shared" si="15"/>
        <v/>
      </c>
      <c r="Y59" s="111">
        <f t="shared" si="16"/>
        <v>0.2608057166990817</v>
      </c>
      <c r="Z59" s="138" t="str">
        <f>IFERROR(AVERAGEIF('Daily KPI'!D:D,Table14[[#This Row],[Month]],'Daily KPI'!AB:AB),"")</f>
        <v/>
      </c>
      <c r="AA59" s="134">
        <f>IFERROR(AVERAGEIF($F$2:F59,F59,$Z$2:Z59),"")</f>
        <v>56.361290322580643</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53705.113182674904</v>
      </c>
      <c r="W60" s="111">
        <f t="shared" si="14"/>
        <v>9.1834188464722688E-2</v>
      </c>
      <c r="X60" s="111" t="str">
        <f t="shared" si="15"/>
        <v/>
      </c>
      <c r="Y60" s="111">
        <f t="shared" si="16"/>
        <v>0.2608057166990817</v>
      </c>
      <c r="Z60" s="138" t="str">
        <f>IFERROR(AVERAGEIF('Daily KPI'!D:D,Table14[[#This Row],[Month]],'Daily KPI'!AB:AB),"")</f>
        <v/>
      </c>
      <c r="AA60" s="134">
        <f>IFERROR(AVERAGEIF($F$2:F60,F60,$Z$2:Z60),"")</f>
        <v>56.361290322580643</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53705.113182674904</v>
      </c>
      <c r="W61" s="111">
        <f t="shared" si="14"/>
        <v>0.11813901253417405</v>
      </c>
      <c r="X61" s="111" t="str">
        <f t="shared" si="15"/>
        <v/>
      </c>
      <c r="Y61" s="111">
        <f t="shared" si="16"/>
        <v>0.2608057166990817</v>
      </c>
      <c r="Z61" s="138" t="str">
        <f>IFERROR(AVERAGEIF('Daily KPI'!D:D,Table14[[#This Row],[Month]],'Daily KPI'!AB:AB),"")</f>
        <v/>
      </c>
      <c r="AA61" s="134">
        <f>IFERROR(AVERAGEIF($F$2:F61,F61,$Z$2:Z61),"")</f>
        <v>56.361290322580643</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17"/>
  <sheetViews>
    <sheetView zoomScale="96" zoomScaleNormal="96" workbookViewId="0">
      <pane xSplit="7" ySplit="1" topLeftCell="W1011" activePane="bottomRight" state="frozen"/>
      <selection pane="bottomRight" activeCell="AA1014" sqref="AA1014"/>
      <selection pane="bottomLeft" activeCell="A2" sqref="A2"/>
      <selection pane="topRight" activeCell="H1" sqref="H1"/>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43.140625" style="39" customWidth="1"/>
    <col min="13" max="13" width="17.7109375" style="346"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344</v>
      </c>
      <c r="D1" s="324" t="s">
        <v>440</v>
      </c>
      <c r="E1" s="324" t="s">
        <v>385</v>
      </c>
      <c r="F1" s="326" t="s">
        <v>271</v>
      </c>
      <c r="G1" s="324" t="s">
        <v>441</v>
      </c>
      <c r="H1" s="324" t="s">
        <v>442</v>
      </c>
      <c r="I1" s="324" t="s">
        <v>443</v>
      </c>
      <c r="J1" s="324" t="s">
        <v>444</v>
      </c>
      <c r="K1" s="324" t="s">
        <v>445</v>
      </c>
      <c r="L1" s="324" t="s">
        <v>446</v>
      </c>
      <c r="M1" s="340" t="s">
        <v>447</v>
      </c>
      <c r="N1" s="324" t="s">
        <v>448</v>
      </c>
      <c r="O1" s="324" t="s">
        <v>449</v>
      </c>
      <c r="P1" s="324" t="s">
        <v>450</v>
      </c>
      <c r="Q1" s="324" t="s">
        <v>451</v>
      </c>
      <c r="R1" s="324" t="s">
        <v>452</v>
      </c>
      <c r="S1" s="324" t="s">
        <v>453</v>
      </c>
      <c r="T1" s="341" t="s">
        <v>454</v>
      </c>
      <c r="U1" s="340" t="s">
        <v>455</v>
      </c>
      <c r="V1" s="340" t="s">
        <v>456</v>
      </c>
      <c r="W1" s="342" t="s">
        <v>457</v>
      </c>
      <c r="X1" s="343" t="s">
        <v>458</v>
      </c>
      <c r="Y1" s="340" t="s">
        <v>459</v>
      </c>
      <c r="Z1" s="344" t="s">
        <v>460</v>
      </c>
      <c r="AA1" s="344" t="s">
        <v>461</v>
      </c>
      <c r="AB1" s="344" t="s">
        <v>462</v>
      </c>
      <c r="AC1" s="344" t="s">
        <v>463</v>
      </c>
      <c r="AD1" s="39" t="s">
        <v>464</v>
      </c>
    </row>
    <row r="2" spans="1:30">
      <c r="A2" s="105">
        <v>1</v>
      </c>
      <c r="B2" s="107">
        <f>YEAR(Table6[[#This Row],[Date]])+IF(MONTH(Table6[[#This Row],[Date]])&gt;=4,1,0)</f>
        <v>2025</v>
      </c>
      <c r="C2" s="105">
        <f>YEAR(Table6[[#This Row],[Date]])</f>
        <v>2025</v>
      </c>
      <c r="D2" s="105" t="s">
        <v>465</v>
      </c>
      <c r="E2" s="119">
        <f>Table6[[#This Row],[Date]]-DAY(Table6[[#This Row],[Date]])+1</f>
        <v>45717</v>
      </c>
      <c r="F2" s="118">
        <v>45745</v>
      </c>
      <c r="G2" s="105" t="s">
        <v>103</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466</v>
      </c>
      <c r="L2" s="39" t="str">
        <f>IFERROR(VLOOKUP(Table6[[#This Row],[Error Code]],'Basic Data'!$T:$U,2,0),"")</f>
        <v>Manual Stop - Safety Related</v>
      </c>
      <c r="M2" s="346" t="s">
        <v>467</v>
      </c>
      <c r="N2" s="39" t="s">
        <v>468</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469</v>
      </c>
      <c r="V2" s="351" t="s">
        <v>470</v>
      </c>
      <c r="W2" s="338">
        <f>Table6[[#This Row],[Breakdown Time]]*(1/39)</f>
        <v>0.61495726495726499</v>
      </c>
      <c r="X2" s="336" t="s">
        <v>471</v>
      </c>
      <c r="Y2" s="352" t="s">
        <v>100</v>
      </c>
      <c r="Z2" s="105">
        <v>2420</v>
      </c>
      <c r="AA2" s="107">
        <v>2418.3194444444443</v>
      </c>
      <c r="AB2" s="105" t="s">
        <v>472</v>
      </c>
    </row>
    <row r="3" spans="1:30">
      <c r="A3" s="105">
        <f>A2+1</f>
        <v>2</v>
      </c>
      <c r="B3" s="107">
        <f>YEAR(Table6[[#This Row],[Date]])+IF(MONTH(Table6[[#This Row],[Date]])&gt;=4,1,0)</f>
        <v>2025</v>
      </c>
      <c r="C3" s="105">
        <f>YEAR(Table6[[#This Row],[Date]])</f>
        <v>2025</v>
      </c>
      <c r="D3" s="105" t="s">
        <v>465</v>
      </c>
      <c r="E3" s="119">
        <f>Table6[[#This Row],[Date]]-DAY(Table6[[#This Row],[Date]])+1</f>
        <v>45717</v>
      </c>
      <c r="F3" s="118">
        <v>45745</v>
      </c>
      <c r="G3" s="105" t="s">
        <v>101</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466</v>
      </c>
      <c r="L3" s="39" t="str">
        <f>IFERROR(VLOOKUP(Table6[[#This Row],[Error Code]],'Basic Data'!$T:$U,2,0),"")</f>
        <v>Manual Stop - Safety Related</v>
      </c>
      <c r="M3" s="346" t="s">
        <v>467</v>
      </c>
      <c r="N3" s="39" t="s">
        <v>468</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469</v>
      </c>
      <c r="V3" s="351" t="s">
        <v>470</v>
      </c>
      <c r="W3" s="338">
        <f>Table6[[#This Row],[Breakdown Time]]*(1/39)</f>
        <v>0.61495726495726499</v>
      </c>
      <c r="X3" s="336" t="s">
        <v>471</v>
      </c>
      <c r="Y3" s="352" t="s">
        <v>100</v>
      </c>
      <c r="Z3" s="105">
        <v>2420</v>
      </c>
      <c r="AA3" s="107">
        <v>2418.3194444444443</v>
      </c>
      <c r="AB3" s="105" t="s">
        <v>472</v>
      </c>
    </row>
    <row r="4" spans="1:30">
      <c r="A4" s="105">
        <f t="shared" ref="A4:A67" si="0">A3+1</f>
        <v>3</v>
      </c>
      <c r="B4" s="107">
        <f>YEAR(Table6[[#This Row],[Date]])+IF(MONTH(Table6[[#This Row],[Date]])&gt;=4,1,0)</f>
        <v>2025</v>
      </c>
      <c r="C4" s="105">
        <f>YEAR(Table6[[#This Row],[Date]])</f>
        <v>2025</v>
      </c>
      <c r="D4" s="105" t="s">
        <v>465</v>
      </c>
      <c r="E4" s="119">
        <f>Table6[[#This Row],[Date]]-DAY(Table6[[#This Row],[Date]])+1</f>
        <v>45717</v>
      </c>
      <c r="F4" s="118">
        <v>45745</v>
      </c>
      <c r="G4" s="105" t="s">
        <v>77</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473</v>
      </c>
      <c r="N4" s="39" t="s">
        <v>474</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475</v>
      </c>
      <c r="V4" s="351" t="s">
        <v>476</v>
      </c>
      <c r="W4" s="338">
        <f>Table6[[#This Row],[Breakdown Time]]*(1/39)</f>
        <v>5.9829059829060302E-3</v>
      </c>
      <c r="X4" s="336" t="s">
        <v>477</v>
      </c>
      <c r="Y4" s="352" t="s">
        <v>76</v>
      </c>
      <c r="Z4" s="105">
        <v>3376</v>
      </c>
      <c r="AA4" s="107">
        <v>32.822222222222479</v>
      </c>
      <c r="AB4" s="105" t="s">
        <v>472</v>
      </c>
    </row>
    <row r="5" spans="1:30">
      <c r="A5" s="105">
        <f t="shared" si="0"/>
        <v>4</v>
      </c>
      <c r="B5" s="107">
        <f>YEAR(Table6[[#This Row],[Date]])+IF(MONTH(Table6[[#This Row],[Date]])&gt;=4,1,0)</f>
        <v>2025</v>
      </c>
      <c r="C5" s="105">
        <f>YEAR(Table6[[#This Row],[Date]])</f>
        <v>2025</v>
      </c>
      <c r="D5" s="105" t="s">
        <v>465</v>
      </c>
      <c r="E5" s="119">
        <f>Table6[[#This Row],[Date]]-DAY(Table6[[#This Row],[Date]])+1</f>
        <v>45717</v>
      </c>
      <c r="F5" s="118">
        <v>45745</v>
      </c>
      <c r="G5" s="105" t="s">
        <v>77</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473</v>
      </c>
      <c r="N5" s="39" t="s">
        <v>474</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478</v>
      </c>
      <c r="V5" s="351" t="s">
        <v>476</v>
      </c>
      <c r="W5" s="338">
        <f>Table6[[#This Row],[Breakdown Time]]*(1/39)</f>
        <v>2.1367521367521292E-3</v>
      </c>
      <c r="X5" s="336" t="s">
        <v>477</v>
      </c>
      <c r="Y5" s="352" t="s">
        <v>76</v>
      </c>
      <c r="Z5" s="105">
        <v>3376</v>
      </c>
      <c r="AA5" s="107">
        <v>11.722222222222181</v>
      </c>
      <c r="AB5" s="105" t="s">
        <v>472</v>
      </c>
    </row>
    <row r="6" spans="1:30">
      <c r="A6" s="105">
        <f t="shared" si="0"/>
        <v>5</v>
      </c>
      <c r="B6" s="107">
        <f>YEAR(Table6[[#This Row],[Date]])+IF(MONTH(Table6[[#This Row],[Date]])&gt;=4,1,0)</f>
        <v>2025</v>
      </c>
      <c r="C6" s="105">
        <f>YEAR(Table6[[#This Row],[Date]])</f>
        <v>2025</v>
      </c>
      <c r="D6" s="105" t="s">
        <v>465</v>
      </c>
      <c r="E6" s="119">
        <f>Table6[[#This Row],[Date]]-DAY(Table6[[#This Row],[Date]])+1</f>
        <v>45717</v>
      </c>
      <c r="F6" s="118">
        <v>45745</v>
      </c>
      <c r="G6" s="105" t="s">
        <v>78</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473</v>
      </c>
      <c r="N6" s="39" t="s">
        <v>474</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478</v>
      </c>
      <c r="V6" s="351" t="s">
        <v>476</v>
      </c>
      <c r="W6" s="338">
        <f>Table6[[#This Row],[Breakdown Time]]*(1/39)</f>
        <v>2.1367521367521292E-3</v>
      </c>
      <c r="X6" s="336" t="s">
        <v>477</v>
      </c>
      <c r="Y6" s="352" t="s">
        <v>95</v>
      </c>
      <c r="Z6" s="105">
        <v>2780</v>
      </c>
      <c r="AA6" s="107">
        <v>9.652777777777743</v>
      </c>
      <c r="AB6" s="105" t="s">
        <v>472</v>
      </c>
    </row>
    <row r="7" spans="1:30">
      <c r="A7" s="105">
        <f t="shared" si="0"/>
        <v>6</v>
      </c>
      <c r="B7" s="107">
        <f>YEAR(Table6[[#This Row],[Date]])+IF(MONTH(Table6[[#This Row],[Date]])&gt;=4,1,0)</f>
        <v>2025</v>
      </c>
      <c r="C7" s="105">
        <f>YEAR(Table6[[#This Row],[Date]])</f>
        <v>2025</v>
      </c>
      <c r="D7" s="105" t="s">
        <v>465</v>
      </c>
      <c r="E7" s="119">
        <f>Table6[[#This Row],[Date]]-DAY(Table6[[#This Row],[Date]])+1</f>
        <v>45717</v>
      </c>
      <c r="F7" s="118">
        <v>45745</v>
      </c>
      <c r="G7" s="105" t="s">
        <v>79</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473</v>
      </c>
      <c r="N7" s="39" t="s">
        <v>474</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479</v>
      </c>
      <c r="V7" s="351" t="s">
        <v>476</v>
      </c>
      <c r="W7" s="338">
        <f>Table6[[#This Row],[Breakdown Time]]*(1/39)</f>
        <v>4.2307692307692324E-2</v>
      </c>
      <c r="X7" s="336" t="s">
        <v>477</v>
      </c>
      <c r="Y7" s="352" t="s">
        <v>76</v>
      </c>
      <c r="Z7" s="105">
        <v>3376</v>
      </c>
      <c r="AA7" s="107">
        <v>232.10000000000011</v>
      </c>
      <c r="AB7" s="105" t="s">
        <v>472</v>
      </c>
    </row>
    <row r="8" spans="1:30">
      <c r="A8" s="105">
        <f t="shared" si="0"/>
        <v>7</v>
      </c>
      <c r="B8" s="107">
        <f>YEAR(Table6[[#This Row],[Date]])+IF(MONTH(Table6[[#This Row],[Date]])&gt;=4,1,0)</f>
        <v>2025</v>
      </c>
      <c r="C8" s="105">
        <f>YEAR(Table6[[#This Row],[Date]])</f>
        <v>2025</v>
      </c>
      <c r="D8" s="105" t="s">
        <v>465</v>
      </c>
      <c r="E8" s="119">
        <f>Table6[[#This Row],[Date]]-DAY(Table6[[#This Row],[Date]])+1</f>
        <v>45717</v>
      </c>
      <c r="F8" s="118">
        <v>45745</v>
      </c>
      <c r="G8" s="105" t="s">
        <v>94</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473</v>
      </c>
      <c r="N8" s="39" t="s">
        <v>474</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478</v>
      </c>
      <c r="V8" s="351" t="s">
        <v>476</v>
      </c>
      <c r="W8" s="338">
        <f>Table6[[#This Row],[Breakdown Time]]*(1/39)</f>
        <v>2.1367521367521292E-3</v>
      </c>
      <c r="X8" s="336" t="s">
        <v>477</v>
      </c>
      <c r="Y8" s="352" t="s">
        <v>95</v>
      </c>
      <c r="Z8" s="105">
        <v>2780</v>
      </c>
      <c r="AA8" s="107">
        <v>9.652777777777743</v>
      </c>
      <c r="AB8" s="105" t="s">
        <v>472</v>
      </c>
    </row>
    <row r="9" spans="1:30">
      <c r="A9" s="105">
        <f t="shared" si="0"/>
        <v>8</v>
      </c>
      <c r="B9" s="107">
        <f>YEAR(Table6[[#This Row],[Date]])+IF(MONTH(Table6[[#This Row],[Date]])&gt;=4,1,0)</f>
        <v>2025</v>
      </c>
      <c r="C9" s="105">
        <f>YEAR(Table6[[#This Row],[Date]])</f>
        <v>2025</v>
      </c>
      <c r="D9" s="105" t="s">
        <v>465</v>
      </c>
      <c r="E9" s="119">
        <f>Table6[[#This Row],[Date]]-DAY(Table6[[#This Row],[Date]])+1</f>
        <v>45717</v>
      </c>
      <c r="F9" s="118">
        <v>45745</v>
      </c>
      <c r="G9" s="105" t="s">
        <v>95</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473</v>
      </c>
      <c r="N9" s="39" t="s">
        <v>474</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478</v>
      </c>
      <c r="V9" s="351" t="s">
        <v>476</v>
      </c>
      <c r="W9" s="338">
        <f>Table6[[#This Row],[Breakdown Time]]*(1/39)</f>
        <v>2.1367521367521292E-3</v>
      </c>
      <c r="X9" s="336" t="s">
        <v>477</v>
      </c>
      <c r="Y9" s="352" t="s">
        <v>94</v>
      </c>
      <c r="Z9" s="105">
        <v>4216</v>
      </c>
      <c r="AA9" s="107">
        <v>14.638888888888836</v>
      </c>
      <c r="AB9" s="105" t="s">
        <v>472</v>
      </c>
    </row>
    <row r="10" spans="1:30">
      <c r="A10" s="105">
        <f t="shared" si="0"/>
        <v>9</v>
      </c>
      <c r="B10" s="107">
        <f>YEAR(Table6[[#This Row],[Date]])+IF(MONTH(Table6[[#This Row],[Date]])&gt;=4,1,0)</f>
        <v>2025</v>
      </c>
      <c r="C10" s="105">
        <f>YEAR(Table6[[#This Row],[Date]])</f>
        <v>2025</v>
      </c>
      <c r="D10" s="105" t="s">
        <v>465</v>
      </c>
      <c r="E10" s="119">
        <f>Table6[[#This Row],[Date]]-DAY(Table6[[#This Row],[Date]])+1</f>
        <v>45717</v>
      </c>
      <c r="F10" s="118">
        <v>45745</v>
      </c>
      <c r="G10" s="105" t="s">
        <v>105</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473</v>
      </c>
      <c r="N10" s="39" t="s">
        <v>474</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480</v>
      </c>
      <c r="V10" s="351" t="s">
        <v>476</v>
      </c>
      <c r="W10" s="338">
        <f>Table6[[#This Row],[Breakdown Time]]*(1/39)</f>
        <v>0.2188034188034188</v>
      </c>
      <c r="X10" s="336" t="s">
        <v>477</v>
      </c>
      <c r="Y10" s="352" t="s">
        <v>106</v>
      </c>
      <c r="Z10" s="105">
        <v>2688</v>
      </c>
      <c r="AA10" s="107">
        <v>955.73333333333335</v>
      </c>
      <c r="AB10" s="105" t="s">
        <v>472</v>
      </c>
    </row>
    <row r="11" spans="1:30">
      <c r="A11" s="105">
        <f t="shared" si="0"/>
        <v>10</v>
      </c>
      <c r="B11" s="107">
        <f>YEAR(Table6[[#This Row],[Date]])+IF(MONTH(Table6[[#This Row],[Date]])&gt;=4,1,0)</f>
        <v>2025</v>
      </c>
      <c r="C11" s="105">
        <f>YEAR(Table6[[#This Row],[Date]])</f>
        <v>2025</v>
      </c>
      <c r="D11" s="105" t="s">
        <v>465</v>
      </c>
      <c r="E11" s="119">
        <f>Table6[[#This Row],[Date]]-DAY(Table6[[#This Row],[Date]])+1</f>
        <v>45717</v>
      </c>
      <c r="F11" s="118">
        <v>45745</v>
      </c>
      <c r="G11" s="105" t="s">
        <v>106</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473</v>
      </c>
      <c r="N11" s="39" t="s">
        <v>474</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478</v>
      </c>
      <c r="V11" s="351" t="s">
        <v>476</v>
      </c>
      <c r="W11" s="338">
        <f>Table6[[#This Row],[Breakdown Time]]*(1/39)</f>
        <v>2.1367521367521292E-3</v>
      </c>
      <c r="X11" s="336" t="s">
        <v>477</v>
      </c>
      <c r="Y11" s="352" t="s">
        <v>107</v>
      </c>
      <c r="Z11" s="105">
        <v>2976</v>
      </c>
      <c r="AA11" s="107">
        <v>10.333333333333297</v>
      </c>
      <c r="AB11" s="105" t="s">
        <v>472</v>
      </c>
    </row>
    <row r="12" spans="1:30">
      <c r="A12" s="105">
        <f t="shared" si="0"/>
        <v>11</v>
      </c>
      <c r="B12" s="107">
        <f>YEAR(Table6[[#This Row],[Date]])+IF(MONTH(Table6[[#This Row],[Date]])&gt;=4,1,0)</f>
        <v>2025</v>
      </c>
      <c r="C12" s="105">
        <f>YEAR(Table6[[#This Row],[Date]])</f>
        <v>2025</v>
      </c>
      <c r="D12" s="105" t="s">
        <v>465</v>
      </c>
      <c r="E12" s="119">
        <f>Table6[[#This Row],[Date]]-DAY(Table6[[#This Row],[Date]])+1</f>
        <v>45717</v>
      </c>
      <c r="F12" s="118">
        <v>45745</v>
      </c>
      <c r="G12" s="105" t="s">
        <v>106</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473</v>
      </c>
      <c r="N12" s="39" t="s">
        <v>474</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475</v>
      </c>
      <c r="V12" s="351" t="s">
        <v>476</v>
      </c>
      <c r="W12" s="338">
        <f>Table6[[#This Row],[Breakdown Time]]*(1/39)</f>
        <v>3.8461538461538325E-3</v>
      </c>
      <c r="X12" s="336" t="s">
        <v>477</v>
      </c>
      <c r="Y12" s="352" t="s">
        <v>107</v>
      </c>
      <c r="Z12" s="105">
        <v>2976</v>
      </c>
      <c r="AA12" s="107">
        <v>18.599999999999934</v>
      </c>
      <c r="AB12" s="105" t="s">
        <v>472</v>
      </c>
    </row>
    <row r="13" spans="1:30">
      <c r="A13" s="105">
        <f t="shared" si="0"/>
        <v>12</v>
      </c>
      <c r="B13" s="107">
        <f>YEAR(Table6[[#This Row],[Date]])+IF(MONTH(Table6[[#This Row],[Date]])&gt;=4,1,0)</f>
        <v>2025</v>
      </c>
      <c r="C13" s="105">
        <f>YEAR(Table6[[#This Row],[Date]])</f>
        <v>2025</v>
      </c>
      <c r="D13" s="105" t="s">
        <v>465</v>
      </c>
      <c r="E13" s="119">
        <f>Table6[[#This Row],[Date]]-DAY(Table6[[#This Row],[Date]])+1</f>
        <v>45717</v>
      </c>
      <c r="F13" s="118">
        <v>45745</v>
      </c>
      <c r="G13" s="105" t="s">
        <v>108</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473</v>
      </c>
      <c r="N13" s="39" t="s">
        <v>474</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478</v>
      </c>
      <c r="V13" s="351" t="s">
        <v>476</v>
      </c>
      <c r="W13" s="338">
        <f>Table6[[#This Row],[Breakdown Time]]*(1/39)</f>
        <v>2.1367521367521292E-3</v>
      </c>
      <c r="X13" s="336" t="s">
        <v>477</v>
      </c>
      <c r="Y13" s="352" t="s">
        <v>109</v>
      </c>
      <c r="Z13" s="105">
        <v>2818</v>
      </c>
      <c r="AA13" s="107">
        <v>9.7847222222221877</v>
      </c>
      <c r="AB13" s="105" t="s">
        <v>472</v>
      </c>
    </row>
    <row r="14" spans="1:30">
      <c r="A14" s="105">
        <f t="shared" si="0"/>
        <v>13</v>
      </c>
      <c r="B14" s="107">
        <f>YEAR(Table6[[#This Row],[Date]])+IF(MONTH(Table6[[#This Row],[Date]])&gt;=4,1,0)</f>
        <v>2025</v>
      </c>
      <c r="C14" s="105">
        <f>YEAR(Table6[[#This Row],[Date]])</f>
        <v>2025</v>
      </c>
      <c r="D14" s="105" t="s">
        <v>465</v>
      </c>
      <c r="E14" s="119">
        <f>Table6[[#This Row],[Date]]-DAY(Table6[[#This Row],[Date]])+1</f>
        <v>45717</v>
      </c>
      <c r="F14" s="118">
        <v>45745</v>
      </c>
      <c r="G14" s="105" t="s">
        <v>108</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473</v>
      </c>
      <c r="N14" s="39" t="s">
        <v>474</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478</v>
      </c>
      <c r="V14" s="351" t="s">
        <v>476</v>
      </c>
      <c r="W14" s="338">
        <f>Table6[[#This Row],[Breakdown Time]]*(1/39)</f>
        <v>2.1367521367521634E-3</v>
      </c>
      <c r="X14" s="336" t="s">
        <v>477</v>
      </c>
      <c r="Y14" s="352" t="s">
        <v>109</v>
      </c>
      <c r="Z14" s="105">
        <v>2818</v>
      </c>
      <c r="AA14" s="107">
        <v>9.784722222222344</v>
      </c>
      <c r="AB14" s="105" t="s">
        <v>472</v>
      </c>
    </row>
    <row r="15" spans="1:30">
      <c r="A15" s="105">
        <f t="shared" si="0"/>
        <v>14</v>
      </c>
      <c r="B15" s="107">
        <f>YEAR(Table6[[#This Row],[Date]])+IF(MONTH(Table6[[#This Row],[Date]])&gt;=4,1,0)</f>
        <v>2025</v>
      </c>
      <c r="C15" s="105">
        <f>YEAR(Table6[[#This Row],[Date]])</f>
        <v>2025</v>
      </c>
      <c r="D15" s="105" t="s">
        <v>465</v>
      </c>
      <c r="E15" s="119">
        <f>Table6[[#This Row],[Date]]-DAY(Table6[[#This Row],[Date]])+1</f>
        <v>45717</v>
      </c>
      <c r="F15" s="118">
        <v>45745</v>
      </c>
      <c r="G15" s="105" t="s">
        <v>108</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473</v>
      </c>
      <c r="N15" s="39" t="s">
        <v>474</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478</v>
      </c>
      <c r="V15" s="351" t="s">
        <v>476</v>
      </c>
      <c r="W15" s="338">
        <f>Table6[[#This Row],[Breakdown Time]]*(1/39)</f>
        <v>2.1367521367521292E-3</v>
      </c>
      <c r="X15" s="336" t="s">
        <v>477</v>
      </c>
      <c r="Y15" s="352" t="s">
        <v>109</v>
      </c>
      <c r="Z15" s="105">
        <v>2818</v>
      </c>
      <c r="AA15" s="107">
        <v>9.7847222222221877</v>
      </c>
      <c r="AB15" s="105" t="s">
        <v>472</v>
      </c>
    </row>
    <row r="16" spans="1:30">
      <c r="A16" s="105">
        <f t="shared" si="0"/>
        <v>15</v>
      </c>
      <c r="B16" s="107">
        <f>YEAR(Table6[[#This Row],[Date]])+IF(MONTH(Table6[[#This Row],[Date]])&gt;=4,1,0)</f>
        <v>2025</v>
      </c>
      <c r="C16" s="105">
        <f>YEAR(Table6[[#This Row],[Date]])</f>
        <v>2025</v>
      </c>
      <c r="D16" s="105" t="s">
        <v>465</v>
      </c>
      <c r="E16" s="119">
        <f>Table6[[#This Row],[Date]]-DAY(Table6[[#This Row],[Date]])+1</f>
        <v>45717</v>
      </c>
      <c r="F16" s="118">
        <v>45745</v>
      </c>
      <c r="G16" s="105" t="s">
        <v>108</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473</v>
      </c>
      <c r="N16" s="39" t="s">
        <v>474</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475</v>
      </c>
      <c r="V16" s="351" t="s">
        <v>476</v>
      </c>
      <c r="W16" s="338">
        <f>Table6[[#This Row],[Breakdown Time]]*(1/39)</f>
        <v>4.4871794871794879E-2</v>
      </c>
      <c r="X16" s="336" t="s">
        <v>477</v>
      </c>
      <c r="Y16" s="352" t="s">
        <v>109</v>
      </c>
      <c r="Z16" s="105">
        <v>2818</v>
      </c>
      <c r="AA16" s="107">
        <v>205.47916666666671</v>
      </c>
      <c r="AB16" s="105" t="s">
        <v>472</v>
      </c>
    </row>
    <row r="17" spans="1:28">
      <c r="A17" s="105">
        <f t="shared" si="0"/>
        <v>16</v>
      </c>
      <c r="B17" s="107">
        <f>YEAR(Table6[[#This Row],[Date]])+IF(MONTH(Table6[[#This Row],[Date]])&gt;=4,1,0)</f>
        <v>2025</v>
      </c>
      <c r="C17" s="105">
        <f>YEAR(Table6[[#This Row],[Date]])</f>
        <v>2025</v>
      </c>
      <c r="D17" s="105" t="s">
        <v>465</v>
      </c>
      <c r="E17" s="119">
        <f>Table6[[#This Row],[Date]]-DAY(Table6[[#This Row],[Date]])+1</f>
        <v>45717</v>
      </c>
      <c r="F17" s="118">
        <v>45745</v>
      </c>
      <c r="G17" s="105" t="s">
        <v>108</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473</v>
      </c>
      <c r="N17" s="39" t="s">
        <v>474</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481</v>
      </c>
      <c r="V17" s="351" t="s">
        <v>476</v>
      </c>
      <c r="W17" s="338">
        <f>Table6[[#This Row],[Breakdown Time]]*(1/39)</f>
        <v>6.7948717948717985E-2</v>
      </c>
      <c r="X17" s="336" t="s">
        <v>477</v>
      </c>
      <c r="Y17" s="352" t="s">
        <v>109</v>
      </c>
      <c r="Z17" s="105">
        <v>2818</v>
      </c>
      <c r="AA17" s="107">
        <v>311.15416666666681</v>
      </c>
      <c r="AB17" s="105" t="s">
        <v>472</v>
      </c>
    </row>
    <row r="18" spans="1:28">
      <c r="A18" s="105">
        <f t="shared" si="0"/>
        <v>17</v>
      </c>
      <c r="B18" s="107">
        <f>YEAR(Table6[[#This Row],[Date]])+IF(MONTH(Table6[[#This Row],[Date]])&gt;=4,1,0)</f>
        <v>2025</v>
      </c>
      <c r="C18" s="105">
        <f>YEAR(Table6[[#This Row],[Date]])</f>
        <v>2025</v>
      </c>
      <c r="D18" s="105" t="s">
        <v>465</v>
      </c>
      <c r="E18" s="119">
        <f>Table6[[#This Row],[Date]]-DAY(Table6[[#This Row],[Date]])+1</f>
        <v>45717</v>
      </c>
      <c r="F18" s="118">
        <v>45746</v>
      </c>
      <c r="G18" s="105" t="s">
        <v>103</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466</v>
      </c>
      <c r="L18" s="39" t="str">
        <f>IFERROR(VLOOKUP(Table6[[#This Row],[Error Code]],'Basic Data'!$T:$U,2,0),"")</f>
        <v>Manual Stop - Safety Related</v>
      </c>
      <c r="M18" s="346" t="s">
        <v>467</v>
      </c>
      <c r="N18" s="39" t="s">
        <v>468</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469</v>
      </c>
      <c r="V18" s="351" t="s">
        <v>470</v>
      </c>
      <c r="W18" s="338">
        <f>Table6[[#This Row],[Breakdown Time]]*(1/39)</f>
        <v>0.61495726495726499</v>
      </c>
      <c r="X18" s="336" t="s">
        <v>471</v>
      </c>
      <c r="Y18" s="352" t="s">
        <v>100</v>
      </c>
      <c r="Z18" s="105">
        <v>1552</v>
      </c>
      <c r="AA18" s="107">
        <v>1550.9222222222224</v>
      </c>
      <c r="AB18" s="105" t="s">
        <v>472</v>
      </c>
    </row>
    <row r="19" spans="1:28">
      <c r="A19" s="105">
        <f t="shared" si="0"/>
        <v>18</v>
      </c>
      <c r="B19" s="107">
        <f>YEAR(Table6[[#This Row],[Date]])+IF(MONTH(Table6[[#This Row],[Date]])&gt;=4,1,0)</f>
        <v>2025</v>
      </c>
      <c r="C19" s="105">
        <f>YEAR(Table6[[#This Row],[Date]])</f>
        <v>2025</v>
      </c>
      <c r="D19" s="105" t="s">
        <v>465</v>
      </c>
      <c r="E19" s="119">
        <f>Table6[[#This Row],[Date]]-DAY(Table6[[#This Row],[Date]])+1</f>
        <v>45717</v>
      </c>
      <c r="F19" s="118">
        <v>45746</v>
      </c>
      <c r="G19" s="105" t="s">
        <v>101</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466</v>
      </c>
      <c r="L19" s="39" t="str">
        <f>IFERROR(VLOOKUP(Table6[[#This Row],[Error Code]],'Basic Data'!$T:$U,2,0),"")</f>
        <v>Manual Stop - Safety Related</v>
      </c>
      <c r="M19" s="346" t="s">
        <v>467</v>
      </c>
      <c r="N19" s="39" t="s">
        <v>468</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469</v>
      </c>
      <c r="V19" s="351" t="s">
        <v>470</v>
      </c>
      <c r="W19" s="338">
        <f>Table6[[#This Row],[Breakdown Time]]*(1/39)</f>
        <v>0.61495726495726499</v>
      </c>
      <c r="X19" s="336" t="s">
        <v>471</v>
      </c>
      <c r="Y19" s="352" t="s">
        <v>100</v>
      </c>
      <c r="Z19" s="105">
        <v>1552</v>
      </c>
      <c r="AA19" s="107">
        <v>1550.9222222222224</v>
      </c>
      <c r="AB19" s="105" t="s">
        <v>472</v>
      </c>
    </row>
    <row r="20" spans="1:28">
      <c r="A20" s="105">
        <f t="shared" si="0"/>
        <v>19</v>
      </c>
      <c r="B20" s="107">
        <f>YEAR(Table6[[#This Row],[Date]])+IF(MONTH(Table6[[#This Row],[Date]])&gt;=4,1,0)</f>
        <v>2025</v>
      </c>
      <c r="C20" s="105">
        <f>YEAR(Table6[[#This Row],[Date]])</f>
        <v>2025</v>
      </c>
      <c r="D20" s="105" t="s">
        <v>465</v>
      </c>
      <c r="E20" s="119">
        <f>Table6[[#This Row],[Date]]-DAY(Table6[[#This Row],[Date]])+1</f>
        <v>45717</v>
      </c>
      <c r="F20" s="118">
        <v>45746</v>
      </c>
      <c r="G20" s="105" t="s">
        <v>74</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473</v>
      </c>
      <c r="N20" s="39" t="s">
        <v>474</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482</v>
      </c>
      <c r="V20" s="351" t="s">
        <v>476</v>
      </c>
      <c r="W20" s="338">
        <f>Table6[[#This Row],[Breakdown Time]]*(1/39)</f>
        <v>0.17777777777777778</v>
      </c>
      <c r="X20" s="336" t="s">
        <v>477</v>
      </c>
      <c r="Y20" s="352" t="s">
        <v>80</v>
      </c>
      <c r="Z20" s="105">
        <v>3645</v>
      </c>
      <c r="AA20" s="107">
        <v>1053</v>
      </c>
      <c r="AB20" s="105" t="s">
        <v>472</v>
      </c>
    </row>
    <row r="21" spans="1:28">
      <c r="A21" s="105">
        <f t="shared" si="0"/>
        <v>20</v>
      </c>
      <c r="B21" s="107">
        <f>YEAR(Table6[[#This Row],[Date]])+IF(MONTH(Table6[[#This Row],[Date]])&gt;=4,1,0)</f>
        <v>2025</v>
      </c>
      <c r="C21" s="105">
        <f>YEAR(Table6[[#This Row],[Date]])</f>
        <v>2025</v>
      </c>
      <c r="D21" s="105" t="s">
        <v>465</v>
      </c>
      <c r="E21" s="119">
        <f>Table6[[#This Row],[Date]]-DAY(Table6[[#This Row],[Date]])+1</f>
        <v>45717</v>
      </c>
      <c r="F21" s="118">
        <v>45746</v>
      </c>
      <c r="G21" s="105" t="s">
        <v>75</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473</v>
      </c>
      <c r="N21" s="39" t="s">
        <v>474</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483</v>
      </c>
      <c r="V21" s="351" t="s">
        <v>476</v>
      </c>
      <c r="W21" s="338">
        <f>Table6[[#This Row],[Breakdown Time]]*(1/39)</f>
        <v>0.14145299145299148</v>
      </c>
      <c r="X21" s="336" t="s">
        <v>477</v>
      </c>
      <c r="Y21" s="352" t="s">
        <v>77</v>
      </c>
      <c r="Z21" s="105">
        <v>3336</v>
      </c>
      <c r="AA21" s="107">
        <v>766.81666666666683</v>
      </c>
      <c r="AB21" s="105" t="s">
        <v>472</v>
      </c>
    </row>
    <row r="22" spans="1:28">
      <c r="A22" s="105">
        <f t="shared" si="0"/>
        <v>21</v>
      </c>
      <c r="B22" s="107">
        <f>YEAR(Table6[[#This Row],[Date]])+IF(MONTH(Table6[[#This Row],[Date]])&gt;=4,1,0)</f>
        <v>2025</v>
      </c>
      <c r="C22" s="105">
        <f>YEAR(Table6[[#This Row],[Date]])</f>
        <v>2025</v>
      </c>
      <c r="D22" s="105" t="s">
        <v>465</v>
      </c>
      <c r="E22" s="119">
        <f>Table6[[#This Row],[Date]]-DAY(Table6[[#This Row],[Date]])+1</f>
        <v>45717</v>
      </c>
      <c r="F22" s="118">
        <v>45746</v>
      </c>
      <c r="G22" s="105" t="s">
        <v>77</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473</v>
      </c>
      <c r="N22" s="39" t="s">
        <v>474</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478</v>
      </c>
      <c r="V22" s="351" t="s">
        <v>476</v>
      </c>
      <c r="W22" s="338">
        <f>Table6[[#This Row],[Breakdown Time]]*(1/39)</f>
        <v>4.7008547008546842E-3</v>
      </c>
      <c r="X22" s="336" t="s">
        <v>477</v>
      </c>
      <c r="Y22" s="352" t="s">
        <v>76</v>
      </c>
      <c r="Z22" s="105">
        <v>2170</v>
      </c>
      <c r="AA22" s="107">
        <v>16.576388888888832</v>
      </c>
      <c r="AB22" s="105" t="s">
        <v>472</v>
      </c>
    </row>
    <row r="23" spans="1:28">
      <c r="A23" s="105">
        <f t="shared" si="0"/>
        <v>22</v>
      </c>
      <c r="B23" s="107">
        <f>YEAR(Table6[[#This Row],[Date]])+IF(MONTH(Table6[[#This Row],[Date]])&gt;=4,1,0)</f>
        <v>2025</v>
      </c>
      <c r="C23" s="105">
        <f>YEAR(Table6[[#This Row],[Date]])</f>
        <v>2025</v>
      </c>
      <c r="D23" s="105" t="s">
        <v>465</v>
      </c>
      <c r="E23" s="119">
        <f>Table6[[#This Row],[Date]]-DAY(Table6[[#This Row],[Date]])+1</f>
        <v>45717</v>
      </c>
      <c r="F23" s="118">
        <v>45746</v>
      </c>
      <c r="G23" s="105" t="s">
        <v>77</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473</v>
      </c>
      <c r="N23" s="39" t="s">
        <v>474</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484</v>
      </c>
      <c r="V23" s="351" t="s">
        <v>476</v>
      </c>
      <c r="W23" s="338">
        <f>Table6[[#This Row],[Breakdown Time]]*(1/39)</f>
        <v>6.7094017094017064E-2</v>
      </c>
      <c r="X23" s="336" t="s">
        <v>477</v>
      </c>
      <c r="Y23" s="352" t="s">
        <v>76</v>
      </c>
      <c r="Z23" s="105">
        <v>2170</v>
      </c>
      <c r="AA23" s="107">
        <v>236.59027777777769</v>
      </c>
      <c r="AB23" s="105" t="s">
        <v>472</v>
      </c>
    </row>
    <row r="24" spans="1:28">
      <c r="A24" s="105">
        <f t="shared" si="0"/>
        <v>23</v>
      </c>
      <c r="B24" s="107">
        <f>YEAR(Table6[[#This Row],[Date]])+IF(MONTH(Table6[[#This Row],[Date]])&gt;=4,1,0)</f>
        <v>2025</v>
      </c>
      <c r="C24" s="105">
        <f>YEAR(Table6[[#This Row],[Date]])</f>
        <v>2025</v>
      </c>
      <c r="D24" s="105" t="s">
        <v>465</v>
      </c>
      <c r="E24" s="119">
        <f>Table6[[#This Row],[Date]]-DAY(Table6[[#This Row],[Date]])+1</f>
        <v>45717</v>
      </c>
      <c r="F24" s="118">
        <v>45746</v>
      </c>
      <c r="G24" s="105" t="s">
        <v>99</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466</v>
      </c>
      <c r="L24" s="39" t="str">
        <f>IFERROR(VLOOKUP(Table6[[#This Row],[Error Code]],'Basic Data'!$T:$U,2,0),"")</f>
        <v>Manual Stop - Safety Related</v>
      </c>
      <c r="M24" s="346" t="s">
        <v>467</v>
      </c>
      <c r="N24" s="39" t="s">
        <v>189</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485</v>
      </c>
      <c r="V24" s="351" t="s">
        <v>476</v>
      </c>
      <c r="W24" s="338">
        <f>Table6[[#This Row],[Breakdown Time]]*(1/39)</f>
        <v>0.12094017094017098</v>
      </c>
      <c r="X24" s="336" t="s">
        <v>486</v>
      </c>
      <c r="Y24" s="352" t="s">
        <v>97</v>
      </c>
      <c r="Z24" s="105">
        <v>2822</v>
      </c>
      <c r="AA24" s="107">
        <v>554.60138888888912</v>
      </c>
      <c r="AB24" s="105" t="s">
        <v>472</v>
      </c>
    </row>
    <row r="25" spans="1:28">
      <c r="A25" s="105">
        <f t="shared" si="0"/>
        <v>24</v>
      </c>
      <c r="B25" s="107">
        <f>YEAR(Table6[[#This Row],[Date]])+IF(MONTH(Table6[[#This Row],[Date]])&gt;=4,1,0)</f>
        <v>2025</v>
      </c>
      <c r="C25" s="105">
        <f>YEAR(Table6[[#This Row],[Date]])</f>
        <v>2025</v>
      </c>
      <c r="D25" s="105" t="s">
        <v>465</v>
      </c>
      <c r="E25" s="119">
        <f>Table6[[#This Row],[Date]]-DAY(Table6[[#This Row],[Date]])+1</f>
        <v>45717</v>
      </c>
      <c r="F25" s="118">
        <v>45746</v>
      </c>
      <c r="G25" s="105" t="s">
        <v>100</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473</v>
      </c>
      <c r="N25" s="39" t="s">
        <v>474</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484</v>
      </c>
      <c r="V25" s="351" t="s">
        <v>476</v>
      </c>
      <c r="W25" s="338">
        <f>Table6[[#This Row],[Breakdown Time]]*(1/39)</f>
        <v>3.11965811965812E-2</v>
      </c>
      <c r="X25" s="336" t="s">
        <v>477</v>
      </c>
      <c r="Y25" s="352" t="s">
        <v>102</v>
      </c>
      <c r="Z25" s="105">
        <v>2712</v>
      </c>
      <c r="AA25" s="107">
        <v>137.48333333333335</v>
      </c>
      <c r="AB25" s="105" t="s">
        <v>472</v>
      </c>
    </row>
    <row r="26" spans="1:28">
      <c r="A26" s="105">
        <f t="shared" si="0"/>
        <v>25</v>
      </c>
      <c r="B26" s="107">
        <f>YEAR(Table6[[#This Row],[Date]])+IF(MONTH(Table6[[#This Row],[Date]])&gt;=4,1,0)</f>
        <v>2025</v>
      </c>
      <c r="C26" s="105">
        <f>YEAR(Table6[[#This Row],[Date]])</f>
        <v>2025</v>
      </c>
      <c r="D26" s="105" t="s">
        <v>465</v>
      </c>
      <c r="E26" s="119">
        <f>Table6[[#This Row],[Date]]-DAY(Table6[[#This Row],[Date]])+1</f>
        <v>45717</v>
      </c>
      <c r="F26" s="118">
        <v>45746</v>
      </c>
      <c r="G26" s="105" t="s">
        <v>100</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473</v>
      </c>
      <c r="N26" s="39" t="s">
        <v>474</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487</v>
      </c>
      <c r="V26" s="351" t="s">
        <v>476</v>
      </c>
      <c r="W26" s="338">
        <f>Table6[[#This Row],[Breakdown Time]]*(1/39)</f>
        <v>0.15982905982905984</v>
      </c>
      <c r="X26" s="336" t="s">
        <v>477</v>
      </c>
      <c r="Y26" s="352" t="s">
        <v>102</v>
      </c>
      <c r="Z26" s="105">
        <v>2712</v>
      </c>
      <c r="AA26" s="107">
        <v>704.36666666666679</v>
      </c>
      <c r="AB26" s="105" t="s">
        <v>472</v>
      </c>
    </row>
    <row r="27" spans="1:28">
      <c r="A27" s="105">
        <f t="shared" si="0"/>
        <v>26</v>
      </c>
      <c r="B27" s="107">
        <f>YEAR(Table6[[#This Row],[Date]])+IF(MONTH(Table6[[#This Row],[Date]])&gt;=4,1,0)</f>
        <v>2025</v>
      </c>
      <c r="C27" s="105">
        <f>YEAR(Table6[[#This Row],[Date]])</f>
        <v>2025</v>
      </c>
      <c r="D27" s="105" t="s">
        <v>465</v>
      </c>
      <c r="E27" s="119">
        <f>Table6[[#This Row],[Date]]-DAY(Table6[[#This Row],[Date]])+1</f>
        <v>45717</v>
      </c>
      <c r="F27" s="118">
        <v>45746</v>
      </c>
      <c r="G27" s="105" t="s">
        <v>107</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473</v>
      </c>
      <c r="N27" s="39" t="s">
        <v>474</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478</v>
      </c>
      <c r="V27" s="351" t="s">
        <v>476</v>
      </c>
      <c r="W27" s="338">
        <f>Table6[[#This Row],[Breakdown Time]]*(1/39)</f>
        <v>4.2735042735042583E-3</v>
      </c>
      <c r="X27" s="336" t="s">
        <v>477</v>
      </c>
      <c r="Y27" s="352" t="s">
        <v>108</v>
      </c>
      <c r="Z27" s="105">
        <v>3150</v>
      </c>
      <c r="AA27" s="107">
        <v>21.874999999999922</v>
      </c>
      <c r="AB27" s="105" t="s">
        <v>472</v>
      </c>
    </row>
    <row r="28" spans="1:28">
      <c r="A28" s="105">
        <f t="shared" si="0"/>
        <v>27</v>
      </c>
      <c r="B28" s="107">
        <f>YEAR(Table6[[#This Row],[Date]])+IF(MONTH(Table6[[#This Row],[Date]])&gt;=4,1,0)</f>
        <v>2025</v>
      </c>
      <c r="C28" s="105">
        <f>YEAR(Table6[[#This Row],[Date]])</f>
        <v>2025</v>
      </c>
      <c r="D28" s="105" t="s">
        <v>465</v>
      </c>
      <c r="E28" s="119">
        <f>Table6[[#This Row],[Date]]-DAY(Table6[[#This Row],[Date]])+1</f>
        <v>45717</v>
      </c>
      <c r="F28" s="118">
        <v>45746</v>
      </c>
      <c r="G28" s="105" t="s">
        <v>107</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473</v>
      </c>
      <c r="N28" s="39" t="s">
        <v>474</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488</v>
      </c>
      <c r="V28" s="351" t="s">
        <v>476</v>
      </c>
      <c r="W28" s="338">
        <f>Table6[[#This Row],[Breakdown Time]]*(1/39)</f>
        <v>0.1444444444444444</v>
      </c>
      <c r="X28" s="336" t="s">
        <v>477</v>
      </c>
      <c r="Y28" s="352" t="s">
        <v>108</v>
      </c>
      <c r="Z28" s="105">
        <v>3150</v>
      </c>
      <c r="AA28" s="107">
        <v>739.37499999999977</v>
      </c>
      <c r="AB28" s="105" t="s">
        <v>472</v>
      </c>
    </row>
    <row r="29" spans="1:28">
      <c r="A29" s="105">
        <f t="shared" si="0"/>
        <v>28</v>
      </c>
      <c r="B29" s="107">
        <f>YEAR(Table6[[#This Row],[Date]])+IF(MONTH(Table6[[#This Row],[Date]])&gt;=4,1,0)</f>
        <v>2025</v>
      </c>
      <c r="C29" s="105">
        <f>YEAR(Table6[[#This Row],[Date]])</f>
        <v>2025</v>
      </c>
      <c r="D29" s="105" t="s">
        <v>465</v>
      </c>
      <c r="E29" s="119">
        <f>Table6[[#This Row],[Date]]-DAY(Table6[[#This Row],[Date]])+1</f>
        <v>45717</v>
      </c>
      <c r="F29" s="118">
        <v>45746</v>
      </c>
      <c r="G29" s="105" t="s">
        <v>112</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473</v>
      </c>
      <c r="N29" s="39" t="s">
        <v>474</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478</v>
      </c>
      <c r="V29" s="351" t="s">
        <v>476</v>
      </c>
      <c r="W29" s="338">
        <f>Table6[[#This Row],[Breakdown Time]]*(1/39)</f>
        <v>2.1367521367521972E-3</v>
      </c>
      <c r="X29" s="336" t="s">
        <v>477</v>
      </c>
      <c r="Y29" s="352" t="s">
        <v>111</v>
      </c>
      <c r="Z29" s="105">
        <v>2708</v>
      </c>
      <c r="AA29" s="107">
        <v>9.402777777778045</v>
      </c>
      <c r="AB29" s="105" t="s">
        <v>472</v>
      </c>
    </row>
    <row r="30" spans="1:28">
      <c r="A30" s="105">
        <f t="shared" si="0"/>
        <v>29</v>
      </c>
      <c r="B30" s="107">
        <f>YEAR(Table6[[#This Row],[Date]])+IF(MONTH(Table6[[#This Row],[Date]])&gt;=4,1,0)</f>
        <v>2025</v>
      </c>
      <c r="C30" s="105">
        <f>YEAR(Table6[[#This Row],[Date]])</f>
        <v>2025</v>
      </c>
      <c r="D30" s="105" t="s">
        <v>465</v>
      </c>
      <c r="E30" s="119">
        <f>Table6[[#This Row],[Date]]-DAY(Table6[[#This Row],[Date]])+1</f>
        <v>45717</v>
      </c>
      <c r="F30" s="118">
        <v>45747</v>
      </c>
      <c r="G30" s="105" t="s">
        <v>103</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466</v>
      </c>
      <c r="L30" s="39" t="str">
        <f>IFERROR(VLOOKUP(Table6[[#This Row],[Error Code]],'Basic Data'!$T:$U,2,0),"")</f>
        <v>Manual Stop - Safety Related</v>
      </c>
      <c r="M30" s="346" t="s">
        <v>467</v>
      </c>
      <c r="N30" s="39" t="s">
        <v>468</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469</v>
      </c>
      <c r="V30" s="351" t="s">
        <v>470</v>
      </c>
      <c r="W30" s="338">
        <f>Table6[[#This Row],[Breakdown Time]]*(1/39)</f>
        <v>0.61495726495726499</v>
      </c>
      <c r="X30" s="336" t="s">
        <v>486</v>
      </c>
      <c r="Y30" s="352" t="s">
        <v>100</v>
      </c>
      <c r="Z30" s="105">
        <v>6006</v>
      </c>
      <c r="AA30" s="107">
        <v>6001.8291666666673</v>
      </c>
      <c r="AB30" s="105" t="s">
        <v>472</v>
      </c>
    </row>
    <row r="31" spans="1:28">
      <c r="A31" s="105">
        <f t="shared" si="0"/>
        <v>30</v>
      </c>
      <c r="B31" s="107">
        <f>YEAR(Table6[[#This Row],[Date]])+IF(MONTH(Table6[[#This Row],[Date]])&gt;=4,1,0)</f>
        <v>2025</v>
      </c>
      <c r="C31" s="105">
        <f>YEAR(Table6[[#This Row],[Date]])</f>
        <v>2025</v>
      </c>
      <c r="D31" s="105" t="s">
        <v>465</v>
      </c>
      <c r="E31" s="119">
        <f>Table6[[#This Row],[Date]]-DAY(Table6[[#This Row],[Date]])+1</f>
        <v>45717</v>
      </c>
      <c r="F31" s="118">
        <v>45747</v>
      </c>
      <c r="G31" s="105" t="s">
        <v>101</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466</v>
      </c>
      <c r="L31" s="39" t="str">
        <f>IFERROR(VLOOKUP(Table6[[#This Row],[Error Code]],'Basic Data'!$T:$U,2,0),"")</f>
        <v>Manual Stop - Safety Related</v>
      </c>
      <c r="M31" s="346" t="s">
        <v>467</v>
      </c>
      <c r="N31" s="39" t="s">
        <v>468</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469</v>
      </c>
      <c r="V31" s="351" t="s">
        <v>470</v>
      </c>
      <c r="W31" s="338">
        <f>Table6[[#This Row],[Breakdown Time]]*(1/39)</f>
        <v>0.61495726495726499</v>
      </c>
      <c r="X31" s="336" t="s">
        <v>486</v>
      </c>
      <c r="Y31" s="352" t="s">
        <v>100</v>
      </c>
      <c r="Z31" s="105">
        <v>6006</v>
      </c>
      <c r="AA31" s="107">
        <v>6001.8291666666673</v>
      </c>
      <c r="AB31" s="105" t="s">
        <v>472</v>
      </c>
    </row>
    <row r="32" spans="1:28">
      <c r="A32" s="105">
        <f t="shared" si="0"/>
        <v>31</v>
      </c>
      <c r="B32" s="107">
        <f>YEAR(Table6[[#This Row],[Date]])+IF(MONTH(Table6[[#This Row],[Date]])&gt;=4,1,0)</f>
        <v>2025</v>
      </c>
      <c r="C32" s="105">
        <f>YEAR(Table6[[#This Row],[Date]])</f>
        <v>2025</v>
      </c>
      <c r="D32" s="105" t="s">
        <v>465</v>
      </c>
      <c r="E32" s="119">
        <f>Table6[[#This Row],[Date]]-DAY(Table6[[#This Row],[Date]])+1</f>
        <v>45717</v>
      </c>
      <c r="F32" s="118">
        <v>45747</v>
      </c>
      <c r="G32" s="105" t="s">
        <v>74</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473</v>
      </c>
      <c r="N32" s="39" t="s">
        <v>474</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478</v>
      </c>
      <c r="V32" s="351" t="s">
        <v>476</v>
      </c>
      <c r="W32" s="338">
        <f>Table6[[#This Row],[Breakdown Time]]*(1/39)</f>
        <v>1.7094017094017033E-3</v>
      </c>
      <c r="X32" s="336" t="s">
        <v>477</v>
      </c>
      <c r="Y32" s="352" t="s">
        <v>80</v>
      </c>
      <c r="Z32" s="105">
        <v>6040</v>
      </c>
      <c r="AA32" s="107">
        <v>16.777777777777718</v>
      </c>
      <c r="AB32" s="105" t="s">
        <v>472</v>
      </c>
    </row>
    <row r="33" spans="1:28">
      <c r="A33" s="105">
        <f t="shared" si="0"/>
        <v>32</v>
      </c>
      <c r="B33" s="107">
        <f>YEAR(Table6[[#This Row],[Date]])+IF(MONTH(Table6[[#This Row],[Date]])&gt;=4,1,0)</f>
        <v>2025</v>
      </c>
      <c r="C33" s="105">
        <f>YEAR(Table6[[#This Row],[Date]])</f>
        <v>2025</v>
      </c>
      <c r="D33" s="105" t="s">
        <v>465</v>
      </c>
      <c r="E33" s="119">
        <f>Table6[[#This Row],[Date]]-DAY(Table6[[#This Row],[Date]])+1</f>
        <v>45717</v>
      </c>
      <c r="F33" s="118">
        <v>45747</v>
      </c>
      <c r="G33" s="105" t="s">
        <v>74</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473</v>
      </c>
      <c r="N33" s="39" t="s">
        <v>474</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478</v>
      </c>
      <c r="V33" s="351" t="s">
        <v>476</v>
      </c>
      <c r="W33" s="338">
        <f>Table6[[#This Row],[Breakdown Time]]*(1/39)</f>
        <v>4.2735042735042583E-3</v>
      </c>
      <c r="X33" s="336" t="s">
        <v>477</v>
      </c>
      <c r="Y33" s="352" t="s">
        <v>80</v>
      </c>
      <c r="Z33" s="105">
        <v>6040</v>
      </c>
      <c r="AA33" s="107">
        <v>41.944444444444294</v>
      </c>
      <c r="AB33" s="105" t="s">
        <v>472</v>
      </c>
    </row>
    <row r="34" spans="1:28">
      <c r="A34" s="105">
        <f t="shared" si="0"/>
        <v>33</v>
      </c>
      <c r="B34" s="107">
        <f>YEAR(Table6[[#This Row],[Date]])+IF(MONTH(Table6[[#This Row],[Date]])&gt;=4,1,0)</f>
        <v>2025</v>
      </c>
      <c r="C34" s="105">
        <f>YEAR(Table6[[#This Row],[Date]])</f>
        <v>2025</v>
      </c>
      <c r="D34" s="105" t="s">
        <v>465</v>
      </c>
      <c r="E34" s="119">
        <f>Table6[[#This Row],[Date]]-DAY(Table6[[#This Row],[Date]])+1</f>
        <v>45717</v>
      </c>
      <c r="F34" s="118">
        <v>45747</v>
      </c>
      <c r="G34" s="105" t="s">
        <v>76</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466</v>
      </c>
      <c r="L34" s="39" t="str">
        <f>IFERROR(VLOOKUP(Table6[[#This Row],[Error Code]],'Basic Data'!$T:$U,2,0),"")</f>
        <v>Manual Stop - Safety Related</v>
      </c>
      <c r="M34" s="346" t="s">
        <v>467</v>
      </c>
      <c r="N34" s="39" t="s">
        <v>189</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485</v>
      </c>
      <c r="V34" s="351" t="s">
        <v>476</v>
      </c>
      <c r="W34" s="338">
        <f>Table6[[#This Row],[Breakdown Time]]*(1/39)</f>
        <v>5.1282051282051301E-2</v>
      </c>
      <c r="X34" s="336" t="s">
        <v>486</v>
      </c>
      <c r="Y34" s="352" t="s">
        <v>77</v>
      </c>
      <c r="Z34" s="105">
        <v>7992</v>
      </c>
      <c r="AA34" s="107">
        <v>666.00000000000034</v>
      </c>
      <c r="AB34" s="105" t="s">
        <v>472</v>
      </c>
    </row>
    <row r="35" spans="1:28">
      <c r="A35" s="105">
        <f t="shared" si="0"/>
        <v>34</v>
      </c>
      <c r="B35" s="107">
        <f>YEAR(Table6[[#This Row],[Date]])+IF(MONTH(Table6[[#This Row],[Date]])&gt;=4,1,0)</f>
        <v>2025</v>
      </c>
      <c r="C35" s="105">
        <f>YEAR(Table6[[#This Row],[Date]])</f>
        <v>2025</v>
      </c>
      <c r="D35" s="105" t="s">
        <v>465</v>
      </c>
      <c r="E35" s="119">
        <f>Table6[[#This Row],[Date]]-DAY(Table6[[#This Row],[Date]])+1</f>
        <v>45717</v>
      </c>
      <c r="F35" s="118">
        <v>45747</v>
      </c>
      <c r="G35" s="105" t="s">
        <v>77</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473</v>
      </c>
      <c r="N35" s="39" t="s">
        <v>474</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478</v>
      </c>
      <c r="V35" s="351" t="s">
        <v>476</v>
      </c>
      <c r="W35" s="338">
        <f>Table6[[#This Row],[Breakdown Time]]*(1/39)</f>
        <v>2.1367521367521292E-3</v>
      </c>
      <c r="X35" s="336" t="s">
        <v>477</v>
      </c>
      <c r="Y35" s="352" t="s">
        <v>76</v>
      </c>
      <c r="Z35" s="105">
        <v>8994</v>
      </c>
      <c r="AA35" s="107">
        <v>31.229166666666554</v>
      </c>
      <c r="AB35" s="105" t="s">
        <v>472</v>
      </c>
    </row>
    <row r="36" spans="1:28">
      <c r="A36" s="105">
        <f t="shared" si="0"/>
        <v>35</v>
      </c>
      <c r="B36" s="107">
        <f>YEAR(Table6[[#This Row],[Date]])+IF(MONTH(Table6[[#This Row],[Date]])&gt;=4,1,0)</f>
        <v>2025</v>
      </c>
      <c r="C36" s="105">
        <f>YEAR(Table6[[#This Row],[Date]])</f>
        <v>2025</v>
      </c>
      <c r="D36" s="105" t="s">
        <v>465</v>
      </c>
      <c r="E36" s="119">
        <f>Table6[[#This Row],[Date]]-DAY(Table6[[#This Row],[Date]])+1</f>
        <v>45717</v>
      </c>
      <c r="F36" s="118">
        <v>45747</v>
      </c>
      <c r="G36" s="105" t="s">
        <v>77</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473</v>
      </c>
      <c r="N36" s="39" t="s">
        <v>474</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478</v>
      </c>
      <c r="V36" s="351" t="s">
        <v>476</v>
      </c>
      <c r="W36" s="338">
        <f>Table6[[#This Row],[Breakdown Time]]*(1/39)</f>
        <v>9.4017094017093683E-3</v>
      </c>
      <c r="X36" s="336" t="s">
        <v>477</v>
      </c>
      <c r="Y36" s="352" t="s">
        <v>76</v>
      </c>
      <c r="Z36" s="105">
        <v>8994</v>
      </c>
      <c r="AA36" s="107">
        <v>137.40833333333285</v>
      </c>
      <c r="AB36" s="105" t="s">
        <v>472</v>
      </c>
    </row>
    <row r="37" spans="1:28">
      <c r="A37" s="105">
        <f t="shared" si="0"/>
        <v>36</v>
      </c>
      <c r="B37" s="107">
        <f>YEAR(Table6[[#This Row],[Date]])+IF(MONTH(Table6[[#This Row],[Date]])&gt;=4,1,0)</f>
        <v>2025</v>
      </c>
      <c r="C37" s="105">
        <f>YEAR(Table6[[#This Row],[Date]])</f>
        <v>2025</v>
      </c>
      <c r="D37" s="105" t="s">
        <v>465</v>
      </c>
      <c r="E37" s="119">
        <f>Table6[[#This Row],[Date]]-DAY(Table6[[#This Row],[Date]])+1</f>
        <v>45717</v>
      </c>
      <c r="F37" s="118">
        <v>45747</v>
      </c>
      <c r="G37" s="105" t="s">
        <v>79</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473</v>
      </c>
      <c r="N37" s="39" t="s">
        <v>474</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478</v>
      </c>
      <c r="V37" s="351" t="s">
        <v>476</v>
      </c>
      <c r="W37" s="338">
        <f>Table6[[#This Row],[Breakdown Time]]*(1/39)</f>
        <v>2.1367521367521292E-3</v>
      </c>
      <c r="X37" s="336" t="s">
        <v>477</v>
      </c>
      <c r="Y37" s="352" t="s">
        <v>76</v>
      </c>
      <c r="Z37" s="105">
        <v>8994</v>
      </c>
      <c r="AA37" s="107">
        <v>31.229166666666554</v>
      </c>
      <c r="AB37" s="105" t="s">
        <v>472</v>
      </c>
    </row>
    <row r="38" spans="1:28">
      <c r="A38" s="105">
        <f t="shared" si="0"/>
        <v>37</v>
      </c>
      <c r="B38" s="107">
        <f>YEAR(Table6[[#This Row],[Date]])+IF(MONTH(Table6[[#This Row],[Date]])&gt;=4,1,0)</f>
        <v>2025</v>
      </c>
      <c r="C38" s="105">
        <f>YEAR(Table6[[#This Row],[Date]])</f>
        <v>2025</v>
      </c>
      <c r="D38" s="105" t="s">
        <v>465</v>
      </c>
      <c r="E38" s="119">
        <f>Table6[[#This Row],[Date]]-DAY(Table6[[#This Row],[Date]])+1</f>
        <v>45717</v>
      </c>
      <c r="F38" s="118">
        <v>45747</v>
      </c>
      <c r="G38" s="105" t="s">
        <v>80</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473</v>
      </c>
      <c r="N38" s="39" t="s">
        <v>474</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484</v>
      </c>
      <c r="V38" s="351" t="s">
        <v>476</v>
      </c>
      <c r="W38" s="338">
        <f>Table6[[#This Row],[Breakdown Time]]*(1/39)</f>
        <v>7.6923076923076927E-2</v>
      </c>
      <c r="X38" s="336" t="s">
        <v>477</v>
      </c>
      <c r="Y38" s="352" t="s">
        <v>74</v>
      </c>
      <c r="Z38" s="105">
        <v>9436</v>
      </c>
      <c r="AA38" s="107">
        <v>1179.5</v>
      </c>
      <c r="AB38" s="105" t="s">
        <v>472</v>
      </c>
    </row>
    <row r="39" spans="1:28">
      <c r="A39" s="105">
        <f t="shared" si="0"/>
        <v>38</v>
      </c>
      <c r="B39" s="107">
        <f>YEAR(Table6[[#This Row],[Date]])+IF(MONTH(Table6[[#This Row],[Date]])&gt;=4,1,0)</f>
        <v>2025</v>
      </c>
      <c r="C39" s="105">
        <f>YEAR(Table6[[#This Row],[Date]])</f>
        <v>2025</v>
      </c>
      <c r="D39" s="105" t="s">
        <v>465</v>
      </c>
      <c r="E39" s="119">
        <f>Table6[[#This Row],[Date]]-DAY(Table6[[#This Row],[Date]])+1</f>
        <v>45717</v>
      </c>
      <c r="F39" s="118">
        <v>45747</v>
      </c>
      <c r="G39" s="105" t="s">
        <v>80</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473</v>
      </c>
      <c r="N39" s="39" t="s">
        <v>474</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478</v>
      </c>
      <c r="V39" s="351" t="s">
        <v>476</v>
      </c>
      <c r="W39" s="338">
        <f>Table6[[#This Row],[Breakdown Time]]*(1/39)</f>
        <v>2.1367521367521292E-3</v>
      </c>
      <c r="X39" s="336" t="s">
        <v>477</v>
      </c>
      <c r="Y39" s="352" t="s">
        <v>74</v>
      </c>
      <c r="Z39" s="105">
        <v>9436</v>
      </c>
      <c r="AA39" s="107">
        <v>32.763888888888772</v>
      </c>
      <c r="AB39" s="105" t="s">
        <v>472</v>
      </c>
    </row>
    <row r="40" spans="1:28">
      <c r="A40" s="105">
        <f t="shared" si="0"/>
        <v>39</v>
      </c>
      <c r="B40" s="107">
        <f>YEAR(Table6[[#This Row],[Date]])+IF(MONTH(Table6[[#This Row],[Date]])&gt;=4,1,0)</f>
        <v>2025</v>
      </c>
      <c r="C40" s="105">
        <f>YEAR(Table6[[#This Row],[Date]])</f>
        <v>2025</v>
      </c>
      <c r="D40" s="105" t="s">
        <v>465</v>
      </c>
      <c r="E40" s="119">
        <f>Table6[[#This Row],[Date]]-DAY(Table6[[#This Row],[Date]])+1</f>
        <v>45717</v>
      </c>
      <c r="F40" s="118">
        <v>45747</v>
      </c>
      <c r="G40" s="105" t="s">
        <v>82</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473</v>
      </c>
      <c r="N40" s="39" t="s">
        <v>474</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475</v>
      </c>
      <c r="V40" s="351" t="s">
        <v>476</v>
      </c>
      <c r="W40" s="338">
        <f>Table6[[#This Row],[Breakdown Time]]*(1/39)</f>
        <v>1.1111111111111072E-2</v>
      </c>
      <c r="X40" s="336" t="s">
        <v>477</v>
      </c>
      <c r="Y40" s="352" t="s">
        <v>85</v>
      </c>
      <c r="Z40" s="105">
        <v>5883</v>
      </c>
      <c r="AA40" s="107">
        <v>106.22083333333296</v>
      </c>
      <c r="AB40" s="105" t="s">
        <v>472</v>
      </c>
    </row>
    <row r="41" spans="1:28">
      <c r="A41" s="105">
        <f t="shared" si="0"/>
        <v>40</v>
      </c>
      <c r="B41" s="107">
        <f>YEAR(Table6[[#This Row],[Date]])+IF(MONTH(Table6[[#This Row],[Date]])&gt;=4,1,0)</f>
        <v>2025</v>
      </c>
      <c r="C41" s="105">
        <f>YEAR(Table6[[#This Row],[Date]])</f>
        <v>2025</v>
      </c>
      <c r="D41" s="105" t="s">
        <v>465</v>
      </c>
      <c r="E41" s="119">
        <f>Table6[[#This Row],[Date]]-DAY(Table6[[#This Row],[Date]])+1</f>
        <v>45717</v>
      </c>
      <c r="F41" s="118">
        <v>45747</v>
      </c>
      <c r="G41" s="105" t="s">
        <v>83</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473</v>
      </c>
      <c r="N41" s="39" t="s">
        <v>474</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478</v>
      </c>
      <c r="V41" s="351" t="s">
        <v>476</v>
      </c>
      <c r="W41" s="338">
        <f>Table6[[#This Row],[Breakdown Time]]*(1/39)</f>
        <v>2.1367521367521292E-3</v>
      </c>
      <c r="X41" s="336" t="s">
        <v>477</v>
      </c>
      <c r="Y41" s="352" t="s">
        <v>84</v>
      </c>
      <c r="Z41" s="105">
        <v>9876</v>
      </c>
      <c r="AA41" s="107">
        <v>34.291666666666544</v>
      </c>
      <c r="AB41" s="105" t="s">
        <v>472</v>
      </c>
    </row>
    <row r="42" spans="1:28">
      <c r="A42" s="105">
        <f t="shared" si="0"/>
        <v>41</v>
      </c>
      <c r="B42" s="107">
        <f>YEAR(Table6[[#This Row],[Date]])+IF(MONTH(Table6[[#This Row],[Date]])&gt;=4,1,0)</f>
        <v>2025</v>
      </c>
      <c r="C42" s="105">
        <f>YEAR(Table6[[#This Row],[Date]])</f>
        <v>2025</v>
      </c>
      <c r="D42" s="105" t="s">
        <v>465</v>
      </c>
      <c r="E42" s="119">
        <f>Table6[[#This Row],[Date]]-DAY(Table6[[#This Row],[Date]])+1</f>
        <v>45717</v>
      </c>
      <c r="F42" s="118">
        <v>45747</v>
      </c>
      <c r="G42" s="105" t="s">
        <v>83</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473</v>
      </c>
      <c r="N42" s="39" t="s">
        <v>474</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478</v>
      </c>
      <c r="V42" s="351" t="s">
        <v>476</v>
      </c>
      <c r="W42" s="338">
        <f>Table6[[#This Row],[Breakdown Time]]*(1/39)</f>
        <v>2.1367521367521292E-3</v>
      </c>
      <c r="X42" s="336" t="s">
        <v>477</v>
      </c>
      <c r="Y42" s="352" t="s">
        <v>84</v>
      </c>
      <c r="Z42" s="105">
        <v>9876</v>
      </c>
      <c r="AA42" s="107">
        <v>34.291666666666544</v>
      </c>
      <c r="AB42" s="105" t="s">
        <v>472</v>
      </c>
    </row>
    <row r="43" spans="1:28">
      <c r="A43" s="105">
        <f t="shared" si="0"/>
        <v>42</v>
      </c>
      <c r="B43" s="107">
        <f>YEAR(Table6[[#This Row],[Date]])+IF(MONTH(Table6[[#This Row],[Date]])&gt;=4,1,0)</f>
        <v>2025</v>
      </c>
      <c r="C43" s="105">
        <f>YEAR(Table6[[#This Row],[Date]])</f>
        <v>2025</v>
      </c>
      <c r="D43" s="105" t="s">
        <v>465</v>
      </c>
      <c r="E43" s="119">
        <f>Table6[[#This Row],[Date]]-DAY(Table6[[#This Row],[Date]])+1</f>
        <v>45717</v>
      </c>
      <c r="F43" s="118">
        <v>45747</v>
      </c>
      <c r="G43" s="105" t="s">
        <v>83</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473</v>
      </c>
      <c r="N43" s="39" t="s">
        <v>474</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478</v>
      </c>
      <c r="V43" s="351" t="s">
        <v>476</v>
      </c>
      <c r="W43" s="338">
        <f>Table6[[#This Row],[Breakdown Time]]*(1/39)</f>
        <v>2.1367521367521292E-3</v>
      </c>
      <c r="X43" s="336" t="s">
        <v>477</v>
      </c>
      <c r="Y43" s="352" t="s">
        <v>84</v>
      </c>
      <c r="Z43" s="105">
        <v>9876</v>
      </c>
      <c r="AA43" s="107">
        <v>34.291666666666544</v>
      </c>
      <c r="AB43" s="105" t="s">
        <v>472</v>
      </c>
    </row>
    <row r="44" spans="1:28">
      <c r="A44" s="105">
        <f t="shared" si="0"/>
        <v>43</v>
      </c>
      <c r="B44" s="107">
        <f>YEAR(Table6[[#This Row],[Date]])+IF(MONTH(Table6[[#This Row],[Date]])&gt;=4,1,0)</f>
        <v>2025</v>
      </c>
      <c r="C44" s="105">
        <f>YEAR(Table6[[#This Row],[Date]])</f>
        <v>2025</v>
      </c>
      <c r="D44" s="105" t="s">
        <v>465</v>
      </c>
      <c r="E44" s="119">
        <f>Table6[[#This Row],[Date]]-DAY(Table6[[#This Row],[Date]])+1</f>
        <v>45717</v>
      </c>
      <c r="F44" s="118">
        <v>45747</v>
      </c>
      <c r="G44" s="105" t="s">
        <v>83</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473</v>
      </c>
      <c r="N44" s="39" t="s">
        <v>474</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475</v>
      </c>
      <c r="V44" s="351" t="s">
        <v>476</v>
      </c>
      <c r="W44" s="338">
        <f>Table6[[#This Row],[Breakdown Time]]*(1/39)</f>
        <v>2.1794871794871783E-2</v>
      </c>
      <c r="X44" s="336" t="s">
        <v>477</v>
      </c>
      <c r="Y44" s="352" t="s">
        <v>84</v>
      </c>
      <c r="Z44" s="105">
        <v>9876</v>
      </c>
      <c r="AA44" s="107">
        <v>349.77499999999986</v>
      </c>
      <c r="AB44" s="105" t="s">
        <v>472</v>
      </c>
    </row>
    <row r="45" spans="1:28">
      <c r="A45" s="105">
        <f t="shared" si="0"/>
        <v>44</v>
      </c>
      <c r="B45" s="107">
        <f>YEAR(Table6[[#This Row],[Date]])+IF(MONTH(Table6[[#This Row],[Date]])&gt;=4,1,0)</f>
        <v>2025</v>
      </c>
      <c r="C45" s="105">
        <f>YEAR(Table6[[#This Row],[Date]])</f>
        <v>2025</v>
      </c>
      <c r="D45" s="105" t="s">
        <v>465</v>
      </c>
      <c r="E45" s="119">
        <f>Table6[[#This Row],[Date]]-DAY(Table6[[#This Row],[Date]])+1</f>
        <v>45717</v>
      </c>
      <c r="F45" s="118">
        <v>45747</v>
      </c>
      <c r="G45" s="105" t="s">
        <v>84</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473</v>
      </c>
      <c r="N45" s="39" t="s">
        <v>474</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478</v>
      </c>
      <c r="V45" s="351" t="s">
        <v>476</v>
      </c>
      <c r="W45" s="338">
        <f>Table6[[#This Row],[Breakdown Time]]*(1/39)</f>
        <v>2.1367521367521292E-3</v>
      </c>
      <c r="X45" s="336" t="s">
        <v>477</v>
      </c>
      <c r="Y45" s="352" t="s">
        <v>83</v>
      </c>
      <c r="Z45" s="105">
        <v>7384</v>
      </c>
      <c r="AA45" s="107">
        <v>25.6388888888888</v>
      </c>
      <c r="AB45" s="105" t="s">
        <v>472</v>
      </c>
    </row>
    <row r="46" spans="1:28">
      <c r="A46" s="105">
        <f t="shared" si="0"/>
        <v>45</v>
      </c>
      <c r="B46" s="107">
        <f>YEAR(Table6[[#This Row],[Date]])+IF(MONTH(Table6[[#This Row],[Date]])&gt;=4,1,0)</f>
        <v>2025</v>
      </c>
      <c r="C46" s="105">
        <f>YEAR(Table6[[#This Row],[Date]])</f>
        <v>2025</v>
      </c>
      <c r="D46" s="105" t="s">
        <v>465</v>
      </c>
      <c r="E46" s="119">
        <f>Table6[[#This Row],[Date]]-DAY(Table6[[#This Row],[Date]])+1</f>
        <v>45717</v>
      </c>
      <c r="F46" s="118">
        <v>45747</v>
      </c>
      <c r="G46" s="105" t="s">
        <v>85</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473</v>
      </c>
      <c r="N46" s="39" t="s">
        <v>474</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478</v>
      </c>
      <c r="V46" s="351" t="s">
        <v>476</v>
      </c>
      <c r="W46" s="338">
        <f>Table6[[#This Row],[Breakdown Time]]*(1/39)</f>
        <v>1.7094017094017033E-3</v>
      </c>
      <c r="X46" s="336" t="s">
        <v>477</v>
      </c>
      <c r="Y46" s="352" t="s">
        <v>86</v>
      </c>
      <c r="Z46" s="105">
        <v>7698</v>
      </c>
      <c r="AA46" s="107">
        <v>21.383333333333258</v>
      </c>
      <c r="AB46" s="105" t="s">
        <v>472</v>
      </c>
    </row>
    <row r="47" spans="1:28">
      <c r="A47" s="105">
        <f t="shared" si="0"/>
        <v>46</v>
      </c>
      <c r="B47" s="107">
        <f>YEAR(Table6[[#This Row],[Date]])+IF(MONTH(Table6[[#This Row],[Date]])&gt;=4,1,0)</f>
        <v>2025</v>
      </c>
      <c r="C47" s="105">
        <f>YEAR(Table6[[#This Row],[Date]])</f>
        <v>2025</v>
      </c>
      <c r="D47" s="105" t="s">
        <v>465</v>
      </c>
      <c r="E47" s="119">
        <f>Table6[[#This Row],[Date]]-DAY(Table6[[#This Row],[Date]])+1</f>
        <v>45717</v>
      </c>
      <c r="F47" s="118">
        <v>45747</v>
      </c>
      <c r="G47" s="105" t="s">
        <v>85</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473</v>
      </c>
      <c r="N47" s="39" t="s">
        <v>474</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475</v>
      </c>
      <c r="V47" s="351" t="s">
        <v>476</v>
      </c>
      <c r="W47" s="338">
        <f>Table6[[#This Row],[Breakdown Time]]*(1/39)</f>
        <v>8.1196581196580908E-3</v>
      </c>
      <c r="X47" s="336" t="s">
        <v>477</v>
      </c>
      <c r="Y47" s="352" t="s">
        <v>86</v>
      </c>
      <c r="Z47" s="105">
        <v>7698</v>
      </c>
      <c r="AA47" s="107">
        <v>101.57083333333297</v>
      </c>
      <c r="AB47" s="105" t="s">
        <v>472</v>
      </c>
    </row>
    <row r="48" spans="1:28">
      <c r="A48" s="105">
        <f t="shared" si="0"/>
        <v>47</v>
      </c>
      <c r="B48" s="107">
        <f>YEAR(Table6[[#This Row],[Date]])+IF(MONTH(Table6[[#This Row],[Date]])&gt;=4,1,0)</f>
        <v>2025</v>
      </c>
      <c r="C48" s="105">
        <f>YEAR(Table6[[#This Row],[Date]])</f>
        <v>2025</v>
      </c>
      <c r="D48" s="105" t="s">
        <v>465</v>
      </c>
      <c r="E48" s="119">
        <f>Table6[[#This Row],[Date]]-DAY(Table6[[#This Row],[Date]])+1</f>
        <v>45717</v>
      </c>
      <c r="F48" s="118">
        <v>45747</v>
      </c>
      <c r="G48" s="105" t="s">
        <v>85</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473</v>
      </c>
      <c r="N48" s="39" t="s">
        <v>474</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475</v>
      </c>
      <c r="V48" s="351" t="s">
        <v>476</v>
      </c>
      <c r="W48" s="338">
        <f>Table6[[#This Row],[Breakdown Time]]*(1/39)</f>
        <v>3.1196581196581221E-2</v>
      </c>
      <c r="X48" s="336" t="s">
        <v>477</v>
      </c>
      <c r="Y48" s="352" t="s">
        <v>86</v>
      </c>
      <c r="Z48" s="105">
        <v>7698</v>
      </c>
      <c r="AA48" s="107">
        <v>390.24583333333368</v>
      </c>
      <c r="AB48" s="105" t="s">
        <v>472</v>
      </c>
    </row>
    <row r="49" spans="1:28">
      <c r="A49" s="105">
        <f t="shared" si="0"/>
        <v>48</v>
      </c>
      <c r="B49" s="107">
        <f>YEAR(Table6[[#This Row],[Date]])+IF(MONTH(Table6[[#This Row],[Date]])&gt;=4,1,0)</f>
        <v>2025</v>
      </c>
      <c r="C49" s="105">
        <f>YEAR(Table6[[#This Row],[Date]])</f>
        <v>2025</v>
      </c>
      <c r="D49" s="105" t="s">
        <v>465</v>
      </c>
      <c r="E49" s="119">
        <f>Table6[[#This Row],[Date]]-DAY(Table6[[#This Row],[Date]])+1</f>
        <v>45717</v>
      </c>
      <c r="F49" s="118">
        <v>45747</v>
      </c>
      <c r="G49" s="105" t="s">
        <v>85</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473</v>
      </c>
      <c r="N49" s="39" t="s">
        <v>474</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478</v>
      </c>
      <c r="V49" s="351" t="s">
        <v>476</v>
      </c>
      <c r="W49" s="338">
        <f>Table6[[#This Row],[Breakdown Time]]*(1/39)</f>
        <v>4.2735042735043268E-3</v>
      </c>
      <c r="X49" s="336" t="s">
        <v>477</v>
      </c>
      <c r="Y49" s="352" t="s">
        <v>86</v>
      </c>
      <c r="Z49" s="105">
        <v>7698</v>
      </c>
      <c r="AA49" s="107">
        <v>53.458333333333997</v>
      </c>
      <c r="AB49" s="105" t="s">
        <v>472</v>
      </c>
    </row>
    <row r="50" spans="1:28">
      <c r="A50" s="105">
        <f t="shared" si="0"/>
        <v>49</v>
      </c>
      <c r="B50" s="107">
        <f>YEAR(Table6[[#This Row],[Date]])+IF(MONTH(Table6[[#This Row],[Date]])&gt;=4,1,0)</f>
        <v>2025</v>
      </c>
      <c r="C50" s="105">
        <f>YEAR(Table6[[#This Row],[Date]])</f>
        <v>2025</v>
      </c>
      <c r="D50" s="105" t="s">
        <v>465</v>
      </c>
      <c r="E50" s="119">
        <f>Table6[[#This Row],[Date]]-DAY(Table6[[#This Row],[Date]])+1</f>
        <v>45717</v>
      </c>
      <c r="F50" s="118">
        <v>45747</v>
      </c>
      <c r="G50" s="105" t="s">
        <v>85</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473</v>
      </c>
      <c r="N50" s="39" t="s">
        <v>474</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484</v>
      </c>
      <c r="V50" s="351" t="s">
        <v>476</v>
      </c>
      <c r="W50" s="338">
        <f>Table6[[#This Row],[Breakdown Time]]*(1/39)</f>
        <v>5.0854700854700875E-2</v>
      </c>
      <c r="X50" s="336" t="s">
        <v>477</v>
      </c>
      <c r="Y50" s="352" t="s">
        <v>86</v>
      </c>
      <c r="Z50" s="105">
        <v>7698</v>
      </c>
      <c r="AA50" s="107">
        <v>636.15416666666692</v>
      </c>
      <c r="AB50" s="105" t="s">
        <v>472</v>
      </c>
    </row>
    <row r="51" spans="1:28">
      <c r="A51" s="105">
        <f t="shared" si="0"/>
        <v>50</v>
      </c>
      <c r="B51" s="107">
        <f>YEAR(Table6[[#This Row],[Date]])+IF(MONTH(Table6[[#This Row],[Date]])&gt;=4,1,0)</f>
        <v>2025</v>
      </c>
      <c r="C51" s="105">
        <f>YEAR(Table6[[#This Row],[Date]])</f>
        <v>2025</v>
      </c>
      <c r="D51" s="105" t="s">
        <v>465</v>
      </c>
      <c r="E51" s="119">
        <f>Table6[[#This Row],[Date]]-DAY(Table6[[#This Row],[Date]])+1</f>
        <v>45717</v>
      </c>
      <c r="F51" s="118">
        <v>45747</v>
      </c>
      <c r="G51" s="105" t="s">
        <v>86</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473</v>
      </c>
      <c r="N51" s="39" t="s">
        <v>474</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475</v>
      </c>
      <c r="V51" s="351" t="s">
        <v>476</v>
      </c>
      <c r="W51" s="338">
        <f>Table6[[#This Row],[Breakdown Time]]*(1/39)</f>
        <v>2.2222222222222209E-2</v>
      </c>
      <c r="X51" s="336" t="s">
        <v>477</v>
      </c>
      <c r="Y51" s="352" t="s">
        <v>87</v>
      </c>
      <c r="Z51" s="105">
        <v>7408</v>
      </c>
      <c r="AA51" s="107">
        <v>267.51111111111101</v>
      </c>
      <c r="AB51" s="105" t="s">
        <v>472</v>
      </c>
    </row>
    <row r="52" spans="1:28">
      <c r="A52" s="105">
        <f t="shared" si="0"/>
        <v>51</v>
      </c>
      <c r="B52" s="107">
        <f>YEAR(Table6[[#This Row],[Date]])+IF(MONTH(Table6[[#This Row],[Date]])&gt;=4,1,0)</f>
        <v>2025</v>
      </c>
      <c r="C52" s="105">
        <f>YEAR(Table6[[#This Row],[Date]])</f>
        <v>2025</v>
      </c>
      <c r="D52" s="105" t="s">
        <v>465</v>
      </c>
      <c r="E52" s="119">
        <f>Table6[[#This Row],[Date]]-DAY(Table6[[#This Row],[Date]])+1</f>
        <v>45717</v>
      </c>
      <c r="F52" s="118">
        <v>45747</v>
      </c>
      <c r="G52" s="105" t="s">
        <v>86</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473</v>
      </c>
      <c r="N52" s="39" t="s">
        <v>474</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478</v>
      </c>
      <c r="V52" s="351" t="s">
        <v>476</v>
      </c>
      <c r="W52" s="338">
        <f>Table6[[#This Row],[Breakdown Time]]*(1/39)</f>
        <v>4.7008547008547527E-3</v>
      </c>
      <c r="X52" s="336" t="s">
        <v>477</v>
      </c>
      <c r="Y52" s="352" t="s">
        <v>87</v>
      </c>
      <c r="Z52" s="105">
        <v>7408</v>
      </c>
      <c r="AA52" s="107">
        <v>56.588888888889514</v>
      </c>
      <c r="AB52" s="105" t="s">
        <v>472</v>
      </c>
    </row>
    <row r="53" spans="1:28">
      <c r="A53" s="105">
        <f t="shared" si="0"/>
        <v>52</v>
      </c>
      <c r="B53" s="107">
        <f>YEAR(Table6[[#This Row],[Date]])+IF(MONTH(Table6[[#This Row],[Date]])&gt;=4,1,0)</f>
        <v>2025</v>
      </c>
      <c r="C53" s="105">
        <f>YEAR(Table6[[#This Row],[Date]])</f>
        <v>2025</v>
      </c>
      <c r="D53" s="105" t="s">
        <v>465</v>
      </c>
      <c r="E53" s="119">
        <f>Table6[[#This Row],[Date]]-DAY(Table6[[#This Row],[Date]])+1</f>
        <v>45717</v>
      </c>
      <c r="F53" s="118">
        <v>45747</v>
      </c>
      <c r="G53" s="105" t="s">
        <v>87</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473</v>
      </c>
      <c r="N53" s="39" t="s">
        <v>474</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487</v>
      </c>
      <c r="V53" s="351" t="s">
        <v>476</v>
      </c>
      <c r="W53" s="338">
        <f>Table6[[#This Row],[Breakdown Time]]*(1/39)</f>
        <v>0.11538461538461534</v>
      </c>
      <c r="X53" s="336" t="s">
        <v>477</v>
      </c>
      <c r="Y53" s="352" t="s">
        <v>88</v>
      </c>
      <c r="Z53" s="105">
        <v>6173</v>
      </c>
      <c r="AA53" s="107">
        <v>1157.4374999999995</v>
      </c>
      <c r="AB53" s="105" t="s">
        <v>472</v>
      </c>
    </row>
    <row r="54" spans="1:28">
      <c r="A54" s="105">
        <f t="shared" si="0"/>
        <v>53</v>
      </c>
      <c r="B54" s="107">
        <f>YEAR(Table6[[#This Row],[Date]])+IF(MONTH(Table6[[#This Row],[Date]])&gt;=4,1,0)</f>
        <v>2025</v>
      </c>
      <c r="C54" s="105">
        <f>YEAR(Table6[[#This Row],[Date]])</f>
        <v>2025</v>
      </c>
      <c r="D54" s="105" t="s">
        <v>465</v>
      </c>
      <c r="E54" s="119">
        <f>Table6[[#This Row],[Date]]-DAY(Table6[[#This Row],[Date]])+1</f>
        <v>45717</v>
      </c>
      <c r="F54" s="118">
        <v>45747</v>
      </c>
      <c r="G54" s="105" t="s">
        <v>87</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473</v>
      </c>
      <c r="N54" s="39" t="s">
        <v>474</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478</v>
      </c>
      <c r="V54" s="351" t="s">
        <v>476</v>
      </c>
      <c r="W54" s="338">
        <f>Table6[[#This Row],[Breakdown Time]]*(1/39)</f>
        <v>4.2735042735042583E-3</v>
      </c>
      <c r="X54" s="336" t="s">
        <v>477</v>
      </c>
      <c r="Y54" s="352" t="s">
        <v>88</v>
      </c>
      <c r="Z54" s="105">
        <v>6173</v>
      </c>
      <c r="AA54" s="107">
        <v>42.868055555555401</v>
      </c>
      <c r="AB54" s="105" t="s">
        <v>472</v>
      </c>
    </row>
    <row r="55" spans="1:28">
      <c r="A55" s="105">
        <f t="shared" si="0"/>
        <v>54</v>
      </c>
      <c r="B55" s="107">
        <f>YEAR(Table6[[#This Row],[Date]])+IF(MONTH(Table6[[#This Row],[Date]])&gt;=4,1,0)</f>
        <v>2025</v>
      </c>
      <c r="C55" s="105">
        <f>YEAR(Table6[[#This Row],[Date]])</f>
        <v>2025</v>
      </c>
      <c r="D55" s="105" t="s">
        <v>465</v>
      </c>
      <c r="E55" s="119">
        <f>Table6[[#This Row],[Date]]-DAY(Table6[[#This Row],[Date]])+1</f>
        <v>45717</v>
      </c>
      <c r="F55" s="118">
        <v>45747</v>
      </c>
      <c r="G55" s="105" t="s">
        <v>88</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473</v>
      </c>
      <c r="N55" s="39" t="s">
        <v>474</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475</v>
      </c>
      <c r="V55" s="351" t="s">
        <v>476</v>
      </c>
      <c r="W55" s="338">
        <f>Table6[[#This Row],[Breakdown Time]]*(1/39)</f>
        <v>3.9316239316239308E-2</v>
      </c>
      <c r="X55" s="336" t="s">
        <v>477</v>
      </c>
      <c r="Y55" s="352" t="s">
        <v>87</v>
      </c>
      <c r="Z55" s="105">
        <v>7408</v>
      </c>
      <c r="AA55" s="107">
        <v>473.28888888888889</v>
      </c>
      <c r="AB55" s="105" t="s">
        <v>472</v>
      </c>
    </row>
    <row r="56" spans="1:28">
      <c r="A56" s="105">
        <f t="shared" si="0"/>
        <v>55</v>
      </c>
      <c r="B56" s="107">
        <f>YEAR(Table6[[#This Row],[Date]])+IF(MONTH(Table6[[#This Row],[Date]])&gt;=4,1,0)</f>
        <v>2025</v>
      </c>
      <c r="C56" s="105">
        <f>YEAR(Table6[[#This Row],[Date]])</f>
        <v>2025</v>
      </c>
      <c r="D56" s="105" t="s">
        <v>465</v>
      </c>
      <c r="E56" s="119">
        <f>Table6[[#This Row],[Date]]-DAY(Table6[[#This Row],[Date]])+1</f>
        <v>45717</v>
      </c>
      <c r="F56" s="118">
        <v>45747</v>
      </c>
      <c r="G56" s="105" t="s">
        <v>89</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473</v>
      </c>
      <c r="N56" s="39" t="s">
        <v>474</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478</v>
      </c>
      <c r="V56" s="351" t="s">
        <v>476</v>
      </c>
      <c r="W56" s="338">
        <f>Table6[[#This Row],[Breakdown Time]]*(1/39)</f>
        <v>2.1367521367521292E-3</v>
      </c>
      <c r="X56" s="336" t="s">
        <v>477</v>
      </c>
      <c r="Y56" s="352" t="s">
        <v>90</v>
      </c>
      <c r="Z56" s="105">
        <v>8016</v>
      </c>
      <c r="AA56" s="107">
        <v>27.833333333333236</v>
      </c>
      <c r="AB56" s="105" t="s">
        <v>472</v>
      </c>
    </row>
    <row r="57" spans="1:28">
      <c r="A57" s="105">
        <f t="shared" si="0"/>
        <v>56</v>
      </c>
      <c r="B57" s="107">
        <f>YEAR(Table6[[#This Row],[Date]])+IF(MONTH(Table6[[#This Row],[Date]])&gt;=4,1,0)</f>
        <v>2025</v>
      </c>
      <c r="C57" s="105">
        <f>YEAR(Table6[[#This Row],[Date]])</f>
        <v>2025</v>
      </c>
      <c r="D57" s="105" t="s">
        <v>465</v>
      </c>
      <c r="E57" s="119">
        <f>Table6[[#This Row],[Date]]-DAY(Table6[[#This Row],[Date]])+1</f>
        <v>45717</v>
      </c>
      <c r="F57" s="118">
        <v>45747</v>
      </c>
      <c r="G57" s="105" t="s">
        <v>89</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473</v>
      </c>
      <c r="N57" s="39" t="s">
        <v>474</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478</v>
      </c>
      <c r="V57" s="351" t="s">
        <v>476</v>
      </c>
      <c r="W57" s="338">
        <f>Table6[[#This Row],[Breakdown Time]]*(1/39)</f>
        <v>2.1367521367521292E-3</v>
      </c>
      <c r="X57" s="336" t="s">
        <v>477</v>
      </c>
      <c r="Y57" s="352" t="s">
        <v>90</v>
      </c>
      <c r="Z57" s="105">
        <v>8016</v>
      </c>
      <c r="AA57" s="107">
        <v>27.833333333333236</v>
      </c>
      <c r="AB57" s="105" t="s">
        <v>472</v>
      </c>
    </row>
    <row r="58" spans="1:28">
      <c r="A58" s="105">
        <f t="shared" si="0"/>
        <v>57</v>
      </c>
      <c r="B58" s="107">
        <f>YEAR(Table6[[#This Row],[Date]])+IF(MONTH(Table6[[#This Row],[Date]])&gt;=4,1,0)</f>
        <v>2025</v>
      </c>
      <c r="C58" s="105">
        <f>YEAR(Table6[[#This Row],[Date]])</f>
        <v>2025</v>
      </c>
      <c r="D58" s="105" t="s">
        <v>465</v>
      </c>
      <c r="E58" s="119">
        <f>Table6[[#This Row],[Date]]-DAY(Table6[[#This Row],[Date]])+1</f>
        <v>45717</v>
      </c>
      <c r="F58" s="118">
        <v>45747</v>
      </c>
      <c r="G58" s="105" t="s">
        <v>89</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473</v>
      </c>
      <c r="N58" s="39" t="s">
        <v>474</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478</v>
      </c>
      <c r="V58" s="351" t="s">
        <v>476</v>
      </c>
      <c r="W58" s="338">
        <f>Table6[[#This Row],[Breakdown Time]]*(1/39)</f>
        <v>1.410256410256412E-2</v>
      </c>
      <c r="X58" s="336" t="s">
        <v>477</v>
      </c>
      <c r="Y58" s="352" t="s">
        <v>90</v>
      </c>
      <c r="Z58" s="105">
        <v>8016</v>
      </c>
      <c r="AA58" s="107">
        <v>183.70000000000024</v>
      </c>
      <c r="AB58" s="105" t="s">
        <v>472</v>
      </c>
    </row>
    <row r="59" spans="1:28">
      <c r="A59" s="105">
        <f t="shared" si="0"/>
        <v>58</v>
      </c>
      <c r="B59" s="107">
        <f>YEAR(Table6[[#This Row],[Date]])+IF(MONTH(Table6[[#This Row],[Date]])&gt;=4,1,0)</f>
        <v>2025</v>
      </c>
      <c r="C59" s="105">
        <f>YEAR(Table6[[#This Row],[Date]])</f>
        <v>2025</v>
      </c>
      <c r="D59" s="105" t="s">
        <v>465</v>
      </c>
      <c r="E59" s="119">
        <f>Table6[[#This Row],[Date]]-DAY(Table6[[#This Row],[Date]])+1</f>
        <v>45717</v>
      </c>
      <c r="F59" s="118">
        <v>45747</v>
      </c>
      <c r="G59" s="105" t="s">
        <v>89</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473</v>
      </c>
      <c r="N59" s="39" t="s">
        <v>474</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478</v>
      </c>
      <c r="V59" s="351" t="s">
        <v>476</v>
      </c>
      <c r="W59" s="338">
        <f>Table6[[#This Row],[Breakdown Time]]*(1/39)</f>
        <v>2.1367521367521292E-3</v>
      </c>
      <c r="X59" s="336" t="s">
        <v>477</v>
      </c>
      <c r="Y59" s="352" t="s">
        <v>90</v>
      </c>
      <c r="Z59" s="105">
        <v>8016</v>
      </c>
      <c r="AA59" s="107">
        <v>27.833333333333236</v>
      </c>
      <c r="AB59" s="105" t="s">
        <v>472</v>
      </c>
    </row>
    <row r="60" spans="1:28">
      <c r="A60" s="105">
        <f t="shared" si="0"/>
        <v>59</v>
      </c>
      <c r="B60" s="107">
        <f>YEAR(Table6[[#This Row],[Date]])+IF(MONTH(Table6[[#This Row],[Date]])&gt;=4,1,0)</f>
        <v>2025</v>
      </c>
      <c r="C60" s="105">
        <f>YEAR(Table6[[#This Row],[Date]])</f>
        <v>2025</v>
      </c>
      <c r="D60" s="105" t="s">
        <v>465</v>
      </c>
      <c r="E60" s="119">
        <f>Table6[[#This Row],[Date]]-DAY(Table6[[#This Row],[Date]])+1</f>
        <v>45717</v>
      </c>
      <c r="F60" s="118">
        <v>45747</v>
      </c>
      <c r="G60" s="105" t="s">
        <v>89</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473</v>
      </c>
      <c r="N60" s="39" t="s">
        <v>474</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478</v>
      </c>
      <c r="V60" s="351" t="s">
        <v>476</v>
      </c>
      <c r="W60" s="338">
        <f>Table6[[#This Row],[Breakdown Time]]*(1/39)</f>
        <v>5.1282051282051785E-3</v>
      </c>
      <c r="X60" s="336" t="s">
        <v>477</v>
      </c>
      <c r="Y60" s="352" t="s">
        <v>90</v>
      </c>
      <c r="Z60" s="105">
        <v>8016</v>
      </c>
      <c r="AA60" s="107">
        <v>66.800000000000651</v>
      </c>
      <c r="AB60" s="105" t="s">
        <v>472</v>
      </c>
    </row>
    <row r="61" spans="1:28">
      <c r="A61" s="105">
        <f t="shared" si="0"/>
        <v>60</v>
      </c>
      <c r="B61" s="107">
        <f>YEAR(Table6[[#This Row],[Date]])+IF(MONTH(Table6[[#This Row],[Date]])&gt;=4,1,0)</f>
        <v>2025</v>
      </c>
      <c r="C61" s="105">
        <f>YEAR(Table6[[#This Row],[Date]])</f>
        <v>2025</v>
      </c>
      <c r="D61" s="105" t="s">
        <v>465</v>
      </c>
      <c r="E61" s="119">
        <f>Table6[[#This Row],[Date]]-DAY(Table6[[#This Row],[Date]])+1</f>
        <v>45717</v>
      </c>
      <c r="F61" s="118">
        <v>45747</v>
      </c>
      <c r="G61" s="105" t="s">
        <v>90</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473</v>
      </c>
      <c r="N61" s="39" t="s">
        <v>474</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484</v>
      </c>
      <c r="V61" s="351" t="s">
        <v>476</v>
      </c>
      <c r="W61" s="338">
        <f>Table6[[#This Row],[Breakdown Time]]*(1/39)</f>
        <v>7.2649572649573068E-3</v>
      </c>
      <c r="X61" s="336" t="s">
        <v>477</v>
      </c>
      <c r="Y61" s="352" t="s">
        <v>89</v>
      </c>
      <c r="Z61" s="105">
        <v>7064</v>
      </c>
      <c r="AA61" s="107">
        <v>83.394444444444929</v>
      </c>
      <c r="AB61" s="105" t="s">
        <v>472</v>
      </c>
    </row>
    <row r="62" spans="1:28">
      <c r="A62" s="105">
        <f t="shared" si="0"/>
        <v>61</v>
      </c>
      <c r="B62" s="107">
        <f>YEAR(Table6[[#This Row],[Date]])+IF(MONTH(Table6[[#This Row],[Date]])&gt;=4,1,0)</f>
        <v>2025</v>
      </c>
      <c r="C62" s="105">
        <f>YEAR(Table6[[#This Row],[Date]])</f>
        <v>2025</v>
      </c>
      <c r="D62" s="105" t="s">
        <v>465</v>
      </c>
      <c r="E62" s="119">
        <f>Table6[[#This Row],[Date]]-DAY(Table6[[#This Row],[Date]])+1</f>
        <v>45717</v>
      </c>
      <c r="F62" s="118">
        <v>45747</v>
      </c>
      <c r="G62" s="105" t="s">
        <v>91</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473</v>
      </c>
      <c r="N62" s="39" t="s">
        <v>474</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478</v>
      </c>
      <c r="V62" s="351" t="s">
        <v>476</v>
      </c>
      <c r="W62" s="338">
        <f>Table6[[#This Row],[Breakdown Time]]*(1/39)</f>
        <v>6.8376068376068133E-3</v>
      </c>
      <c r="X62" s="336" t="s">
        <v>477</v>
      </c>
      <c r="Y62" s="352" t="s">
        <v>92</v>
      </c>
      <c r="Z62" s="105">
        <v>8564</v>
      </c>
      <c r="AA62" s="107">
        <v>95.15555555555521</v>
      </c>
      <c r="AB62" s="105" t="s">
        <v>472</v>
      </c>
    </row>
    <row r="63" spans="1:28">
      <c r="A63" s="105">
        <f t="shared" si="0"/>
        <v>62</v>
      </c>
      <c r="B63" s="107">
        <f>YEAR(Table6[[#This Row],[Date]])+IF(MONTH(Table6[[#This Row],[Date]])&gt;=4,1,0)</f>
        <v>2025</v>
      </c>
      <c r="C63" s="105">
        <f>YEAR(Table6[[#This Row],[Date]])</f>
        <v>2025</v>
      </c>
      <c r="D63" s="105" t="s">
        <v>465</v>
      </c>
      <c r="E63" s="119">
        <f>Table6[[#This Row],[Date]]-DAY(Table6[[#This Row],[Date]])+1</f>
        <v>45717</v>
      </c>
      <c r="F63" s="118">
        <v>45747</v>
      </c>
      <c r="G63" s="105" t="s">
        <v>91</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473</v>
      </c>
      <c r="N63" s="39" t="s">
        <v>474</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478</v>
      </c>
      <c r="V63" s="351" t="s">
        <v>476</v>
      </c>
      <c r="W63" s="338">
        <f>Table6[[#This Row],[Breakdown Time]]*(1/39)</f>
        <v>9.8290598290598618E-3</v>
      </c>
      <c r="X63" s="336" t="s">
        <v>477</v>
      </c>
      <c r="Y63" s="352" t="s">
        <v>92</v>
      </c>
      <c r="Z63" s="105">
        <v>8564</v>
      </c>
      <c r="AA63" s="107">
        <v>136.78611111111158</v>
      </c>
      <c r="AB63" s="105" t="s">
        <v>472</v>
      </c>
    </row>
    <row r="64" spans="1:28">
      <c r="A64" s="105">
        <f t="shared" si="0"/>
        <v>63</v>
      </c>
      <c r="B64" s="107">
        <f>YEAR(Table6[[#This Row],[Date]])+IF(MONTH(Table6[[#This Row],[Date]])&gt;=4,1,0)</f>
        <v>2025</v>
      </c>
      <c r="C64" s="105">
        <f>YEAR(Table6[[#This Row],[Date]])</f>
        <v>2025</v>
      </c>
      <c r="D64" s="105" t="s">
        <v>465</v>
      </c>
      <c r="E64" s="119">
        <f>Table6[[#This Row],[Date]]-DAY(Table6[[#This Row],[Date]])+1</f>
        <v>45717</v>
      </c>
      <c r="F64" s="118">
        <v>45747</v>
      </c>
      <c r="G64" s="105" t="s">
        <v>91</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473</v>
      </c>
      <c r="N64" s="39" t="s">
        <v>474</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478</v>
      </c>
      <c r="V64" s="351" t="s">
        <v>476</v>
      </c>
      <c r="W64" s="338">
        <f>Table6[[#This Row],[Breakdown Time]]*(1/39)</f>
        <v>2.2222222222222209E-2</v>
      </c>
      <c r="X64" s="336" t="s">
        <v>477</v>
      </c>
      <c r="Y64" s="352" t="s">
        <v>92</v>
      </c>
      <c r="Z64" s="105">
        <v>8564</v>
      </c>
      <c r="AA64" s="107">
        <v>309.25555555555542</v>
      </c>
      <c r="AB64" s="105" t="s">
        <v>472</v>
      </c>
    </row>
    <row r="65" spans="1:28">
      <c r="A65" s="105">
        <f t="shared" si="0"/>
        <v>64</v>
      </c>
      <c r="B65" s="107">
        <f>YEAR(Table6[[#This Row],[Date]])+IF(MONTH(Table6[[#This Row],[Date]])&gt;=4,1,0)</f>
        <v>2025</v>
      </c>
      <c r="C65" s="105">
        <f>YEAR(Table6[[#This Row],[Date]])</f>
        <v>2025</v>
      </c>
      <c r="D65" s="105" t="s">
        <v>465</v>
      </c>
      <c r="E65" s="119">
        <f>Table6[[#This Row],[Date]]-DAY(Table6[[#This Row],[Date]])+1</f>
        <v>45717</v>
      </c>
      <c r="F65" s="118">
        <v>45747</v>
      </c>
      <c r="G65" s="105" t="s">
        <v>94</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473</v>
      </c>
      <c r="N65" s="39" t="s">
        <v>474</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484</v>
      </c>
      <c r="V65" s="351" t="s">
        <v>476</v>
      </c>
      <c r="W65" s="338">
        <f>Table6[[#This Row],[Breakdown Time]]*(1/39)</f>
        <v>0.10940170940170942</v>
      </c>
      <c r="X65" s="336" t="s">
        <v>477</v>
      </c>
      <c r="Y65" s="352" t="s">
        <v>95</v>
      </c>
      <c r="Z65" s="105">
        <v>3920</v>
      </c>
      <c r="AA65" s="107">
        <v>696.88888888888903</v>
      </c>
      <c r="AB65" s="105" t="s">
        <v>472</v>
      </c>
    </row>
    <row r="66" spans="1:28">
      <c r="A66" s="105">
        <f t="shared" si="0"/>
        <v>65</v>
      </c>
      <c r="B66" s="107">
        <f>YEAR(Table6[[#This Row],[Date]])+IF(MONTH(Table6[[#This Row],[Date]])&gt;=4,1,0)</f>
        <v>2025</v>
      </c>
      <c r="C66" s="105">
        <f>YEAR(Table6[[#This Row],[Date]])</f>
        <v>2025</v>
      </c>
      <c r="D66" s="105" t="s">
        <v>465</v>
      </c>
      <c r="E66" s="119">
        <f>Table6[[#This Row],[Date]]-DAY(Table6[[#This Row],[Date]])+1</f>
        <v>45717</v>
      </c>
      <c r="F66" s="118">
        <v>45747</v>
      </c>
      <c r="G66" s="105" t="s">
        <v>95</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473</v>
      </c>
      <c r="N66" s="39" t="s">
        <v>474</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489</v>
      </c>
      <c r="V66" s="351" t="s">
        <v>470</v>
      </c>
      <c r="W66" s="338">
        <f>Table6[[#This Row],[Breakdown Time]]*(1/39)</f>
        <v>0.11196581196581197</v>
      </c>
      <c r="X66" s="336" t="s">
        <v>477</v>
      </c>
      <c r="Y66" s="352" t="s">
        <v>94</v>
      </c>
      <c r="Z66" s="105">
        <v>6850</v>
      </c>
      <c r="AA66" s="107">
        <v>1246.3194444444446</v>
      </c>
      <c r="AB66" s="105" t="s">
        <v>472</v>
      </c>
    </row>
    <row r="67" spans="1:28">
      <c r="A67" s="105">
        <f t="shared" si="0"/>
        <v>66</v>
      </c>
      <c r="B67" s="107">
        <f>YEAR(Table6[[#This Row],[Date]])+IF(MONTH(Table6[[#This Row],[Date]])&gt;=4,1,0)</f>
        <v>2025</v>
      </c>
      <c r="C67" s="105">
        <f>YEAR(Table6[[#This Row],[Date]])</f>
        <v>2025</v>
      </c>
      <c r="D67" s="105" t="s">
        <v>465</v>
      </c>
      <c r="E67" s="119">
        <f>Table6[[#This Row],[Date]]-DAY(Table6[[#This Row],[Date]])+1</f>
        <v>45717</v>
      </c>
      <c r="F67" s="118">
        <v>45747</v>
      </c>
      <c r="G67" s="105" t="s">
        <v>96</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473</v>
      </c>
      <c r="N67" s="39" t="s">
        <v>474</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490</v>
      </c>
      <c r="V67" s="351" t="s">
        <v>476</v>
      </c>
      <c r="W67" s="338">
        <f>Table6[[#This Row],[Breakdown Time]]*(1/39)</f>
        <v>8.3333333333333301E-2</v>
      </c>
      <c r="X67" s="336" t="s">
        <v>477</v>
      </c>
      <c r="Y67" s="352" t="s">
        <v>95</v>
      </c>
      <c r="Z67" s="105">
        <v>3920</v>
      </c>
      <c r="AA67" s="107">
        <v>530.83333333333326</v>
      </c>
      <c r="AB67" s="105" t="s">
        <v>472</v>
      </c>
    </row>
    <row r="68" spans="1:28">
      <c r="A68" s="105">
        <f t="shared" ref="A68:A131" si="1">A67+1</f>
        <v>67</v>
      </c>
      <c r="B68" s="107">
        <f>YEAR(Table6[[#This Row],[Date]])+IF(MONTH(Table6[[#This Row],[Date]])&gt;=4,1,0)</f>
        <v>2025</v>
      </c>
      <c r="C68" s="105">
        <f>YEAR(Table6[[#This Row],[Date]])</f>
        <v>2025</v>
      </c>
      <c r="D68" s="105" t="s">
        <v>465</v>
      </c>
      <c r="E68" s="119">
        <f>Table6[[#This Row],[Date]]-DAY(Table6[[#This Row],[Date]])+1</f>
        <v>45717</v>
      </c>
      <c r="F68" s="118">
        <v>45747</v>
      </c>
      <c r="G68" s="105" t="s">
        <v>96</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473</v>
      </c>
      <c r="N68" s="39" t="s">
        <v>474</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475</v>
      </c>
      <c r="V68" s="351" t="s">
        <v>476</v>
      </c>
      <c r="W68" s="338">
        <f>Table6[[#This Row],[Breakdown Time]]*(1/39)</f>
        <v>9.401709401709436E-3</v>
      </c>
      <c r="X68" s="336" t="s">
        <v>477</v>
      </c>
      <c r="Y68" s="352" t="s">
        <v>95</v>
      </c>
      <c r="Z68" s="105">
        <v>3920</v>
      </c>
      <c r="AA68" s="107">
        <v>59.888888888889113</v>
      </c>
      <c r="AB68" s="105" t="s">
        <v>472</v>
      </c>
    </row>
    <row r="69" spans="1:28">
      <c r="A69" s="105">
        <f t="shared" si="1"/>
        <v>68</v>
      </c>
      <c r="B69" s="107">
        <f>YEAR(Table6[[#This Row],[Date]])+IF(MONTH(Table6[[#This Row],[Date]])&gt;=4,1,0)</f>
        <v>2025</v>
      </c>
      <c r="C69" s="105">
        <f>YEAR(Table6[[#This Row],[Date]])</f>
        <v>2025</v>
      </c>
      <c r="D69" s="105" t="s">
        <v>465</v>
      </c>
      <c r="E69" s="119">
        <f>Table6[[#This Row],[Date]]-DAY(Table6[[#This Row],[Date]])+1</f>
        <v>45717</v>
      </c>
      <c r="F69" s="118">
        <v>45747</v>
      </c>
      <c r="G69" s="105" t="s">
        <v>98</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473</v>
      </c>
      <c r="N69" s="39" t="s">
        <v>474</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475</v>
      </c>
      <c r="V69" s="351" t="s">
        <v>476</v>
      </c>
      <c r="W69" s="338">
        <f>Table6[[#This Row],[Breakdown Time]]*(1/39)</f>
        <v>2.3076923076923078E-2</v>
      </c>
      <c r="X69" s="336" t="s">
        <v>477</v>
      </c>
      <c r="Y69" s="352" t="s">
        <v>104</v>
      </c>
      <c r="Z69" s="105">
        <v>5080</v>
      </c>
      <c r="AA69" s="107">
        <v>190.50000000000003</v>
      </c>
      <c r="AB69" s="105" t="s">
        <v>472</v>
      </c>
    </row>
    <row r="70" spans="1:28">
      <c r="A70" s="105">
        <f t="shared" si="1"/>
        <v>69</v>
      </c>
      <c r="B70" s="107">
        <f>YEAR(Table6[[#This Row],[Date]])+IF(MONTH(Table6[[#This Row],[Date]])&gt;=4,1,0)</f>
        <v>2025</v>
      </c>
      <c r="C70" s="105">
        <f>YEAR(Table6[[#This Row],[Date]])</f>
        <v>2025</v>
      </c>
      <c r="D70" s="105" t="s">
        <v>465</v>
      </c>
      <c r="E70" s="119">
        <f>Table6[[#This Row],[Date]]-DAY(Table6[[#This Row],[Date]])+1</f>
        <v>45717</v>
      </c>
      <c r="F70" s="118">
        <v>45747</v>
      </c>
      <c r="G70" s="105" t="s">
        <v>98</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473</v>
      </c>
      <c r="N70" s="39" t="s">
        <v>474</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491</v>
      </c>
      <c r="V70" s="351" t="s">
        <v>476</v>
      </c>
      <c r="W70" s="338">
        <f>Table6[[#This Row],[Breakdown Time]]*(1/39)</f>
        <v>0.19786324786324791</v>
      </c>
      <c r="X70" s="336" t="s">
        <v>477</v>
      </c>
      <c r="Y70" s="352" t="s">
        <v>104</v>
      </c>
      <c r="Z70" s="105">
        <v>5080</v>
      </c>
      <c r="AA70" s="107">
        <v>1633.3611111111115</v>
      </c>
      <c r="AB70" s="105" t="s">
        <v>472</v>
      </c>
    </row>
    <row r="71" spans="1:28">
      <c r="A71" s="105">
        <f t="shared" si="1"/>
        <v>70</v>
      </c>
      <c r="B71" s="107">
        <f>YEAR(Table6[[#This Row],[Date]])+IF(MONTH(Table6[[#This Row],[Date]])&gt;=4,1,0)</f>
        <v>2025</v>
      </c>
      <c r="C71" s="105">
        <f>YEAR(Table6[[#This Row],[Date]])</f>
        <v>2025</v>
      </c>
      <c r="D71" s="105" t="s">
        <v>465</v>
      </c>
      <c r="E71" s="119">
        <f>Table6[[#This Row],[Date]]-DAY(Table6[[#This Row],[Date]])+1</f>
        <v>45717</v>
      </c>
      <c r="F71" s="118">
        <v>45747</v>
      </c>
      <c r="G71" s="105" t="s">
        <v>98</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473</v>
      </c>
      <c r="N71" s="39" t="s">
        <v>474</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475</v>
      </c>
      <c r="V71" s="351" t="s">
        <v>476</v>
      </c>
      <c r="W71" s="338">
        <f>Table6[[#This Row],[Breakdown Time]]*(1/39)</f>
        <v>1.2820512820512775E-2</v>
      </c>
      <c r="X71" s="336" t="s">
        <v>477</v>
      </c>
      <c r="Y71" s="352" t="s">
        <v>104</v>
      </c>
      <c r="Z71" s="105">
        <v>5080</v>
      </c>
      <c r="AA71" s="107">
        <v>105.83333333333296</v>
      </c>
      <c r="AB71" s="105" t="s">
        <v>472</v>
      </c>
    </row>
    <row r="72" spans="1:28">
      <c r="A72" s="105">
        <f t="shared" si="1"/>
        <v>71</v>
      </c>
      <c r="B72" s="107">
        <f>YEAR(Table6[[#This Row],[Date]])+IF(MONTH(Table6[[#This Row],[Date]])&gt;=4,1,0)</f>
        <v>2025</v>
      </c>
      <c r="C72" s="105">
        <f>YEAR(Table6[[#This Row],[Date]])</f>
        <v>2025</v>
      </c>
      <c r="D72" s="105" t="s">
        <v>465</v>
      </c>
      <c r="E72" s="119">
        <f>Table6[[#This Row],[Date]]-DAY(Table6[[#This Row],[Date]])+1</f>
        <v>45717</v>
      </c>
      <c r="F72" s="118">
        <v>45747</v>
      </c>
      <c r="G72" s="105" t="s">
        <v>99</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473</v>
      </c>
      <c r="N72" s="39" t="s">
        <v>474</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478</v>
      </c>
      <c r="V72" s="351" t="s">
        <v>476</v>
      </c>
      <c r="W72" s="338">
        <f>Table6[[#This Row],[Breakdown Time]]*(1/39)</f>
        <v>2.1367521367521292E-3</v>
      </c>
      <c r="X72" s="336" t="s">
        <v>477</v>
      </c>
      <c r="Y72" s="352" t="s">
        <v>97</v>
      </c>
      <c r="Z72" s="105">
        <v>7082</v>
      </c>
      <c r="AA72" s="107">
        <v>24.59027777777769</v>
      </c>
      <c r="AB72" s="105" t="s">
        <v>472</v>
      </c>
    </row>
    <row r="73" spans="1:28">
      <c r="A73" s="105">
        <f t="shared" si="1"/>
        <v>72</v>
      </c>
      <c r="B73" s="107">
        <f>YEAR(Table6[[#This Row],[Date]])+IF(MONTH(Table6[[#This Row],[Date]])&gt;=4,1,0)</f>
        <v>2025</v>
      </c>
      <c r="C73" s="105">
        <f>YEAR(Table6[[#This Row],[Date]])</f>
        <v>2025</v>
      </c>
      <c r="D73" s="105" t="s">
        <v>465</v>
      </c>
      <c r="E73" s="119">
        <f>Table6[[#This Row],[Date]]-DAY(Table6[[#This Row],[Date]])+1</f>
        <v>45717</v>
      </c>
      <c r="F73" s="118">
        <v>45747</v>
      </c>
      <c r="G73" s="105" t="s">
        <v>102</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473</v>
      </c>
      <c r="N73" s="39" t="s">
        <v>474</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489</v>
      </c>
      <c r="V73" s="351" t="s">
        <v>470</v>
      </c>
      <c r="W73" s="338">
        <f>Table6[[#This Row],[Breakdown Time]]*(1/39)</f>
        <v>0.11196581196581197</v>
      </c>
      <c r="X73" s="336" t="s">
        <v>477</v>
      </c>
      <c r="Y73" s="352" t="s">
        <v>100</v>
      </c>
      <c r="Z73" s="105">
        <v>6006</v>
      </c>
      <c r="AA73" s="107">
        <v>1092.7583333333334</v>
      </c>
      <c r="AB73" s="105" t="s">
        <v>472</v>
      </c>
    </row>
    <row r="74" spans="1:28">
      <c r="A74" s="105">
        <f t="shared" si="1"/>
        <v>73</v>
      </c>
      <c r="B74" s="107">
        <f>YEAR(Table6[[#This Row],[Date]])+IF(MONTH(Table6[[#This Row],[Date]])&gt;=4,1,0)</f>
        <v>2025</v>
      </c>
      <c r="C74" s="105">
        <f>YEAR(Table6[[#This Row],[Date]])</f>
        <v>2025</v>
      </c>
      <c r="D74" s="105" t="s">
        <v>465</v>
      </c>
      <c r="E74" s="119">
        <f>Table6[[#This Row],[Date]]-DAY(Table6[[#This Row],[Date]])+1</f>
        <v>45717</v>
      </c>
      <c r="F74" s="118">
        <v>45747</v>
      </c>
      <c r="G74" s="105" t="s">
        <v>104</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473</v>
      </c>
      <c r="N74" s="39" t="s">
        <v>474</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484</v>
      </c>
      <c r="V74" s="351" t="s">
        <v>476</v>
      </c>
      <c r="W74" s="338">
        <f>Table6[[#This Row],[Breakdown Time]]*(1/39)</f>
        <v>4.4444444444444418E-2</v>
      </c>
      <c r="X74" s="336" t="s">
        <v>477</v>
      </c>
      <c r="Y74" s="352" t="s">
        <v>98</v>
      </c>
      <c r="Z74" s="105">
        <v>5480</v>
      </c>
      <c r="AA74" s="107">
        <v>395.7777777777776</v>
      </c>
      <c r="AB74" s="105" t="s">
        <v>472</v>
      </c>
    </row>
    <row r="75" spans="1:28">
      <c r="A75" s="105">
        <f t="shared" si="1"/>
        <v>74</v>
      </c>
      <c r="B75" s="107">
        <f>YEAR(Table6[[#This Row],[Date]])+IF(MONTH(Table6[[#This Row],[Date]])&gt;=4,1,0)</f>
        <v>2025</v>
      </c>
      <c r="C75" s="105">
        <f>YEAR(Table6[[#This Row],[Date]])</f>
        <v>2025</v>
      </c>
      <c r="D75" s="105" t="s">
        <v>465</v>
      </c>
      <c r="E75" s="119">
        <f>Table6[[#This Row],[Date]]-DAY(Table6[[#This Row],[Date]])+1</f>
        <v>45717</v>
      </c>
      <c r="F75" s="118">
        <v>45747</v>
      </c>
      <c r="G75" s="105" t="s">
        <v>105</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473</v>
      </c>
      <c r="N75" s="39" t="s">
        <v>474</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478</v>
      </c>
      <c r="V75" s="351" t="s">
        <v>476</v>
      </c>
      <c r="W75" s="338">
        <f>Table6[[#This Row],[Breakdown Time]]*(1/39)</f>
        <v>2.1367521367521292E-3</v>
      </c>
      <c r="X75" s="336" t="s">
        <v>477</v>
      </c>
      <c r="Y75" s="352" t="s">
        <v>106</v>
      </c>
      <c r="Z75" s="105">
        <v>7996</v>
      </c>
      <c r="AA75" s="107">
        <v>27.763888888888793</v>
      </c>
      <c r="AB75" s="105" t="s">
        <v>472</v>
      </c>
    </row>
    <row r="76" spans="1:28">
      <c r="A76" s="105">
        <f t="shared" si="1"/>
        <v>75</v>
      </c>
      <c r="B76" s="107">
        <f>YEAR(Table6[[#This Row],[Date]])+IF(MONTH(Table6[[#This Row],[Date]])&gt;=4,1,0)</f>
        <v>2025</v>
      </c>
      <c r="C76" s="105">
        <f>YEAR(Table6[[#This Row],[Date]])</f>
        <v>2025</v>
      </c>
      <c r="D76" s="105" t="s">
        <v>465</v>
      </c>
      <c r="E76" s="119">
        <f>Table6[[#This Row],[Date]]-DAY(Table6[[#This Row],[Date]])+1</f>
        <v>45717</v>
      </c>
      <c r="F76" s="118">
        <v>45747</v>
      </c>
      <c r="G76" s="105" t="s">
        <v>106</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473</v>
      </c>
      <c r="N76" s="39" t="s">
        <v>474</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478</v>
      </c>
      <c r="V76" s="351" t="s">
        <v>476</v>
      </c>
      <c r="W76" s="338">
        <f>Table6[[#This Row],[Breakdown Time]]*(1/39)</f>
        <v>2.1367521367521292E-3</v>
      </c>
      <c r="X76" s="336" t="s">
        <v>477</v>
      </c>
      <c r="Y76" s="352" t="s">
        <v>105</v>
      </c>
      <c r="Z76" s="105">
        <v>6703</v>
      </c>
      <c r="AA76" s="107">
        <v>23.274305555555475</v>
      </c>
      <c r="AB76" s="105" t="s">
        <v>472</v>
      </c>
    </row>
    <row r="77" spans="1:28">
      <c r="A77" s="105">
        <f t="shared" si="1"/>
        <v>76</v>
      </c>
      <c r="B77" s="107">
        <f>YEAR(Table6[[#This Row],[Date]])+IF(MONTH(Table6[[#This Row],[Date]])&gt;=4,1,0)</f>
        <v>2025</v>
      </c>
      <c r="C77" s="105">
        <f>YEAR(Table6[[#This Row],[Date]])</f>
        <v>2025</v>
      </c>
      <c r="D77" s="105" t="s">
        <v>465</v>
      </c>
      <c r="E77" s="119">
        <f>Table6[[#This Row],[Date]]-DAY(Table6[[#This Row],[Date]])+1</f>
        <v>45717</v>
      </c>
      <c r="F77" s="118">
        <v>45747</v>
      </c>
      <c r="G77" s="105" t="s">
        <v>107</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473</v>
      </c>
      <c r="N77" s="39" t="s">
        <v>474</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489</v>
      </c>
      <c r="V77" s="351" t="s">
        <v>470</v>
      </c>
      <c r="W77" s="338">
        <f>Table6[[#This Row],[Breakdown Time]]*(1/39)</f>
        <v>0.11923076923076921</v>
      </c>
      <c r="X77" s="336" t="s">
        <v>477</v>
      </c>
      <c r="Y77" s="352" t="s">
        <v>108</v>
      </c>
      <c r="Z77" s="105">
        <v>4792</v>
      </c>
      <c r="AA77" s="107">
        <v>928.44999999999982</v>
      </c>
      <c r="AB77" s="105" t="s">
        <v>472</v>
      </c>
    </row>
    <row r="78" spans="1:28">
      <c r="A78" s="105">
        <f t="shared" si="1"/>
        <v>77</v>
      </c>
      <c r="B78" s="107">
        <f>YEAR(Table6[[#This Row],[Date]])+IF(MONTH(Table6[[#This Row],[Date]])&gt;=4,1,0)</f>
        <v>2025</v>
      </c>
      <c r="C78" s="105">
        <f>YEAR(Table6[[#This Row],[Date]])</f>
        <v>2025</v>
      </c>
      <c r="D78" s="105" t="s">
        <v>465</v>
      </c>
      <c r="E78" s="119">
        <f>Table6[[#This Row],[Date]]-DAY(Table6[[#This Row],[Date]])+1</f>
        <v>45717</v>
      </c>
      <c r="F78" s="118">
        <v>45747</v>
      </c>
      <c r="G78" s="105" t="s">
        <v>108</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473</v>
      </c>
      <c r="N78" s="39" t="s">
        <v>474</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478</v>
      </c>
      <c r="V78" s="351" t="s">
        <v>476</v>
      </c>
      <c r="W78" s="338">
        <f>Table6[[#This Row],[Breakdown Time]]*(1/39)</f>
        <v>2.1367521367521292E-3</v>
      </c>
      <c r="X78" s="336" t="s">
        <v>477</v>
      </c>
      <c r="Y78" s="352" t="s">
        <v>107</v>
      </c>
      <c r="Z78" s="105">
        <v>4764</v>
      </c>
      <c r="AA78" s="107">
        <v>16.541666666666607</v>
      </c>
      <c r="AB78" s="105" t="s">
        <v>472</v>
      </c>
    </row>
    <row r="79" spans="1:28">
      <c r="A79" s="105">
        <f t="shared" si="1"/>
        <v>78</v>
      </c>
      <c r="B79" s="107">
        <f>YEAR(Table6[[#This Row],[Date]])+IF(MONTH(Table6[[#This Row],[Date]])&gt;=4,1,0)</f>
        <v>2025</v>
      </c>
      <c r="C79" s="105">
        <f>YEAR(Table6[[#This Row],[Date]])</f>
        <v>2025</v>
      </c>
      <c r="D79" s="105" t="s">
        <v>465</v>
      </c>
      <c r="E79" s="119">
        <f>Table6[[#This Row],[Date]]-DAY(Table6[[#This Row],[Date]])+1</f>
        <v>45717</v>
      </c>
      <c r="F79" s="118">
        <v>45747</v>
      </c>
      <c r="G79" s="105" t="s">
        <v>108</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473</v>
      </c>
      <c r="N79" s="39" t="s">
        <v>474</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478</v>
      </c>
      <c r="V79" s="351" t="s">
        <v>476</v>
      </c>
      <c r="W79" s="338">
        <f>Table6[[#This Row],[Breakdown Time]]*(1/39)</f>
        <v>2.1367521367521292E-3</v>
      </c>
      <c r="X79" s="336" t="s">
        <v>477</v>
      </c>
      <c r="Y79" s="352" t="s">
        <v>107</v>
      </c>
      <c r="Z79" s="105">
        <v>4764</v>
      </c>
      <c r="AA79" s="107">
        <v>16.541666666666607</v>
      </c>
      <c r="AB79" s="105" t="s">
        <v>472</v>
      </c>
    </row>
    <row r="80" spans="1:28">
      <c r="A80" s="105">
        <f t="shared" si="1"/>
        <v>79</v>
      </c>
      <c r="B80" s="107">
        <f>YEAR(Table6[[#This Row],[Date]])+IF(MONTH(Table6[[#This Row],[Date]])&gt;=4,1,0)</f>
        <v>2025</v>
      </c>
      <c r="C80" s="105">
        <f>YEAR(Table6[[#This Row],[Date]])</f>
        <v>2025</v>
      </c>
      <c r="D80" s="105" t="s">
        <v>465</v>
      </c>
      <c r="E80" s="119">
        <f>Table6[[#This Row],[Date]]-DAY(Table6[[#This Row],[Date]])+1</f>
        <v>45717</v>
      </c>
      <c r="F80" s="118">
        <v>45747</v>
      </c>
      <c r="G80" s="105" t="s">
        <v>108</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473</v>
      </c>
      <c r="N80" s="39" t="s">
        <v>474</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478</v>
      </c>
      <c r="V80" s="351" t="s">
        <v>476</v>
      </c>
      <c r="W80" s="338">
        <f>Table6[[#This Row],[Breakdown Time]]*(1/39)</f>
        <v>2.1367521367521292E-3</v>
      </c>
      <c r="X80" s="336" t="s">
        <v>477</v>
      </c>
      <c r="Y80" s="352" t="s">
        <v>107</v>
      </c>
      <c r="Z80" s="105">
        <v>4764</v>
      </c>
      <c r="AA80" s="107">
        <v>16.541666666666607</v>
      </c>
      <c r="AB80" s="105" t="s">
        <v>472</v>
      </c>
    </row>
    <row r="81" spans="1:28">
      <c r="A81" s="105">
        <f t="shared" si="1"/>
        <v>80</v>
      </c>
      <c r="B81" s="107">
        <f>YEAR(Table6[[#This Row],[Date]])+IF(MONTH(Table6[[#This Row],[Date]])&gt;=4,1,0)</f>
        <v>2025</v>
      </c>
      <c r="C81" s="105">
        <f>YEAR(Table6[[#This Row],[Date]])</f>
        <v>2025</v>
      </c>
      <c r="D81" s="105" t="s">
        <v>465</v>
      </c>
      <c r="E81" s="119">
        <f>Table6[[#This Row],[Date]]-DAY(Table6[[#This Row],[Date]])+1</f>
        <v>45717</v>
      </c>
      <c r="F81" s="118">
        <v>45747</v>
      </c>
      <c r="G81" s="105" t="s">
        <v>108</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473</v>
      </c>
      <c r="N81" s="39" t="s">
        <v>474</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478</v>
      </c>
      <c r="V81" s="351" t="s">
        <v>476</v>
      </c>
      <c r="W81" s="338">
        <f>Table6[[#This Row],[Breakdown Time]]*(1/39)</f>
        <v>2.1367521367521292E-3</v>
      </c>
      <c r="X81" s="336" t="s">
        <v>477</v>
      </c>
      <c r="Y81" s="352" t="s">
        <v>107</v>
      </c>
      <c r="Z81" s="105">
        <v>4764</v>
      </c>
      <c r="AA81" s="107">
        <v>16.541666666666607</v>
      </c>
      <c r="AB81" s="105" t="s">
        <v>472</v>
      </c>
    </row>
    <row r="82" spans="1:28">
      <c r="A82" s="105">
        <f t="shared" si="1"/>
        <v>81</v>
      </c>
      <c r="B82" s="107">
        <f>YEAR(Table6[[#This Row],[Date]])+IF(MONTH(Table6[[#This Row],[Date]])&gt;=4,1,0)</f>
        <v>2025</v>
      </c>
      <c r="C82" s="105">
        <f>YEAR(Table6[[#This Row],[Date]])</f>
        <v>2025</v>
      </c>
      <c r="D82" s="105" t="s">
        <v>465</v>
      </c>
      <c r="E82" s="119">
        <f>Table6[[#This Row],[Date]]-DAY(Table6[[#This Row],[Date]])+1</f>
        <v>45717</v>
      </c>
      <c r="F82" s="118">
        <v>45747</v>
      </c>
      <c r="G82" s="105" t="s">
        <v>108</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473</v>
      </c>
      <c r="N82" s="39" t="s">
        <v>474</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475</v>
      </c>
      <c r="V82" s="351" t="s">
        <v>476</v>
      </c>
      <c r="W82" s="338">
        <f>Table6[[#This Row],[Breakdown Time]]*(1/39)</f>
        <v>2.2649572649572704E-2</v>
      </c>
      <c r="X82" s="336" t="s">
        <v>477</v>
      </c>
      <c r="Y82" s="352" t="s">
        <v>107</v>
      </c>
      <c r="Z82" s="105">
        <v>4764</v>
      </c>
      <c r="AA82" s="107">
        <v>175.34166666666709</v>
      </c>
      <c r="AB82" s="105" t="s">
        <v>472</v>
      </c>
    </row>
    <row r="83" spans="1:28">
      <c r="A83" s="105">
        <f t="shared" si="1"/>
        <v>82</v>
      </c>
      <c r="B83" s="107">
        <f>YEAR(Table6[[#This Row],[Date]])+IF(MONTH(Table6[[#This Row],[Date]])&gt;=4,1,0)</f>
        <v>2025</v>
      </c>
      <c r="C83" s="105">
        <f>YEAR(Table6[[#This Row],[Date]])</f>
        <v>2025</v>
      </c>
      <c r="D83" s="105" t="s">
        <v>465</v>
      </c>
      <c r="E83" s="119">
        <f>Table6[[#This Row],[Date]]-DAY(Table6[[#This Row],[Date]])+1</f>
        <v>45717</v>
      </c>
      <c r="F83" s="118">
        <v>45747</v>
      </c>
      <c r="G83" s="105" t="s">
        <v>108</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473</v>
      </c>
      <c r="N83" s="39" t="s">
        <v>474</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475</v>
      </c>
      <c r="V83" s="351" t="s">
        <v>476</v>
      </c>
      <c r="W83" s="338">
        <f>Table6[[#This Row],[Breakdown Time]]*(1/39)</f>
        <v>1.2393162393162417E-2</v>
      </c>
      <c r="X83" s="336" t="s">
        <v>477</v>
      </c>
      <c r="Y83" s="352" t="s">
        <v>107</v>
      </c>
      <c r="Z83" s="105">
        <v>4764</v>
      </c>
      <c r="AA83" s="107">
        <v>95.941666666666862</v>
      </c>
      <c r="AB83" s="105" t="s">
        <v>472</v>
      </c>
    </row>
    <row r="84" spans="1:28">
      <c r="A84" s="105">
        <f t="shared" si="1"/>
        <v>83</v>
      </c>
      <c r="B84" s="107">
        <f>YEAR(Table6[[#This Row],[Date]])+IF(MONTH(Table6[[#This Row],[Date]])&gt;=4,1,0)</f>
        <v>2025</v>
      </c>
      <c r="C84" s="105">
        <f>YEAR(Table6[[#This Row],[Date]])</f>
        <v>2025</v>
      </c>
      <c r="D84" s="105" t="s">
        <v>465</v>
      </c>
      <c r="E84" s="119">
        <f>Table6[[#This Row],[Date]]-DAY(Table6[[#This Row],[Date]])+1</f>
        <v>45717</v>
      </c>
      <c r="F84" s="118">
        <v>45747</v>
      </c>
      <c r="G84" s="105" t="s">
        <v>108</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473</v>
      </c>
      <c r="N84" s="39" t="s">
        <v>474</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489</v>
      </c>
      <c r="V84" s="351" t="s">
        <v>470</v>
      </c>
      <c r="W84" s="338">
        <f>Table6[[#This Row],[Breakdown Time]]*(1/39)</f>
        <v>0.11923076923076921</v>
      </c>
      <c r="X84" s="336" t="s">
        <v>477</v>
      </c>
      <c r="Y84" s="352" t="s">
        <v>107</v>
      </c>
      <c r="Z84" s="105">
        <v>4764</v>
      </c>
      <c r="AA84" s="107">
        <v>923.02499999999986</v>
      </c>
      <c r="AB84" s="105" t="s">
        <v>472</v>
      </c>
    </row>
    <row r="85" spans="1:28">
      <c r="A85" s="105">
        <f t="shared" si="1"/>
        <v>84</v>
      </c>
      <c r="B85" s="107">
        <f>YEAR(Table6[[#This Row],[Date]])+IF(MONTH(Table6[[#This Row],[Date]])&gt;=4,1,0)</f>
        <v>2025</v>
      </c>
      <c r="C85" s="105">
        <f>YEAR(Table6[[#This Row],[Date]])</f>
        <v>2025</v>
      </c>
      <c r="D85" s="105" t="s">
        <v>465</v>
      </c>
      <c r="E85" s="119">
        <f>Table6[[#This Row],[Date]]-DAY(Table6[[#This Row],[Date]])+1</f>
        <v>45717</v>
      </c>
      <c r="F85" s="118">
        <v>45747</v>
      </c>
      <c r="G85" s="105" t="s">
        <v>109</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473</v>
      </c>
      <c r="N85" s="39" t="s">
        <v>474</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492</v>
      </c>
      <c r="V85" s="351" t="s">
        <v>476</v>
      </c>
      <c r="W85" s="338">
        <f>Table6[[#This Row],[Breakdown Time]]*(1/39)</f>
        <v>0.27008547008547001</v>
      </c>
      <c r="X85" s="336" t="s">
        <v>477</v>
      </c>
      <c r="Y85" s="352" t="s">
        <v>108</v>
      </c>
      <c r="Z85" s="105">
        <v>4792</v>
      </c>
      <c r="AA85" s="107">
        <v>2103.1555555555551</v>
      </c>
      <c r="AB85" s="105" t="s">
        <v>472</v>
      </c>
    </row>
    <row r="86" spans="1:28">
      <c r="A86" s="105">
        <f t="shared" si="1"/>
        <v>85</v>
      </c>
      <c r="B86" s="107">
        <f>YEAR(Table6[[#This Row],[Date]])+IF(MONTH(Table6[[#This Row],[Date]])&gt;=4,1,0)</f>
        <v>2025</v>
      </c>
      <c r="C86" s="105">
        <f>YEAR(Table6[[#This Row],[Date]])</f>
        <v>2025</v>
      </c>
      <c r="D86" s="105" t="s">
        <v>465</v>
      </c>
      <c r="E86" s="119">
        <f>Table6[[#This Row],[Date]]-DAY(Table6[[#This Row],[Date]])+1</f>
        <v>45717</v>
      </c>
      <c r="F86" s="118">
        <v>45747</v>
      </c>
      <c r="G86" s="105" t="s">
        <v>110</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473</v>
      </c>
      <c r="N86" s="39" t="s">
        <v>474</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475</v>
      </c>
      <c r="V86" s="351" t="s">
        <v>476</v>
      </c>
      <c r="W86" s="338">
        <f>Table6[[#This Row],[Breakdown Time]]*(1/39)</f>
        <v>1.3675213675213627E-2</v>
      </c>
      <c r="X86" s="336" t="s">
        <v>477</v>
      </c>
      <c r="Y86" s="352" t="s">
        <v>111</v>
      </c>
      <c r="Z86" s="105">
        <v>7552</v>
      </c>
      <c r="AA86" s="107">
        <v>167.82222222222163</v>
      </c>
      <c r="AB86" s="105" t="s">
        <v>472</v>
      </c>
    </row>
    <row r="87" spans="1:28">
      <c r="A87" s="105">
        <f t="shared" si="1"/>
        <v>86</v>
      </c>
      <c r="B87" s="107">
        <f>YEAR(Table6[[#This Row],[Date]])+IF(MONTH(Table6[[#This Row],[Date]])&gt;=4,1,0)</f>
        <v>2025</v>
      </c>
      <c r="C87" s="105">
        <f>YEAR(Table6[[#This Row],[Date]])</f>
        <v>2025</v>
      </c>
      <c r="D87" s="105" t="s">
        <v>465</v>
      </c>
      <c r="E87" s="119">
        <f>Table6[[#This Row],[Date]]-DAY(Table6[[#This Row],[Date]])+1</f>
        <v>45717</v>
      </c>
      <c r="F87" s="118">
        <v>45747</v>
      </c>
      <c r="G87" s="105" t="s">
        <v>111</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473</v>
      </c>
      <c r="N87" s="39" t="s">
        <v>474</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475</v>
      </c>
      <c r="V87" s="351" t="s">
        <v>476</v>
      </c>
      <c r="W87" s="338">
        <f>Table6[[#This Row],[Breakdown Time]]*(1/39)</f>
        <v>1.3675213675213627E-2</v>
      </c>
      <c r="X87" s="336" t="s">
        <v>477</v>
      </c>
      <c r="Y87" s="352" t="s">
        <v>110</v>
      </c>
      <c r="Z87" s="105">
        <v>6680</v>
      </c>
      <c r="AA87" s="107">
        <v>148.44444444444392</v>
      </c>
      <c r="AB87" s="105" t="s">
        <v>472</v>
      </c>
    </row>
    <row r="88" spans="1:28">
      <c r="A88" s="105">
        <f t="shared" si="1"/>
        <v>87</v>
      </c>
      <c r="B88" s="107">
        <f>YEAR(Table6[[#This Row],[Date]])+IF(MONTH(Table6[[#This Row],[Date]])&gt;=4,1,0)</f>
        <v>2025</v>
      </c>
      <c r="C88" s="105">
        <f>YEAR(Table6[[#This Row],[Date]])</f>
        <v>2025</v>
      </c>
      <c r="D88" s="105" t="s">
        <v>465</v>
      </c>
      <c r="E88" s="119">
        <f>Table6[[#This Row],[Date]]-DAY(Table6[[#This Row],[Date]])+1</f>
        <v>45717</v>
      </c>
      <c r="F88" s="118">
        <v>45747</v>
      </c>
      <c r="G88" s="105" t="s">
        <v>112</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473</v>
      </c>
      <c r="N88" s="39" t="s">
        <v>474</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478</v>
      </c>
      <c r="V88" s="351" t="s">
        <v>476</v>
      </c>
      <c r="W88" s="338">
        <f>Table6[[#This Row],[Breakdown Time]]*(1/39)</f>
        <v>2.1367521367521292E-3</v>
      </c>
      <c r="X88" s="336" t="s">
        <v>477</v>
      </c>
      <c r="Y88" s="352" t="s">
        <v>111</v>
      </c>
      <c r="Z88" s="105">
        <v>7552</v>
      </c>
      <c r="AA88" s="107">
        <v>26.222222222222129</v>
      </c>
      <c r="AB88" s="105" t="s">
        <v>472</v>
      </c>
    </row>
    <row r="89" spans="1:28">
      <c r="A89" s="105">
        <f t="shared" si="1"/>
        <v>88</v>
      </c>
      <c r="B89" s="107">
        <f>YEAR(Table6[[#This Row],[Date]])+IF(MONTH(Table6[[#This Row],[Date]])&gt;=4,1,0)</f>
        <v>2025</v>
      </c>
      <c r="C89" s="105">
        <f>YEAR(Table6[[#This Row],[Date]])</f>
        <v>2025</v>
      </c>
      <c r="D89" s="105" t="s">
        <v>465</v>
      </c>
      <c r="E89" s="119">
        <f>Table6[[#This Row],[Date]]-DAY(Table6[[#This Row],[Date]])+1</f>
        <v>45717</v>
      </c>
      <c r="F89" s="118">
        <v>45747</v>
      </c>
      <c r="G89" s="105" t="s">
        <v>112</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473</v>
      </c>
      <c r="N89" s="39" t="s">
        <v>474</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478</v>
      </c>
      <c r="V89" s="351" t="s">
        <v>476</v>
      </c>
      <c r="W89" s="338">
        <f>Table6[[#This Row],[Breakdown Time]]*(1/39)</f>
        <v>2.1367521367521292E-3</v>
      </c>
      <c r="X89" s="336" t="s">
        <v>477</v>
      </c>
      <c r="Y89" s="352" t="s">
        <v>111</v>
      </c>
      <c r="Z89" s="105">
        <v>7552</v>
      </c>
      <c r="AA89" s="107">
        <v>26.222222222222129</v>
      </c>
      <c r="AB89" s="105" t="s">
        <v>472</v>
      </c>
    </row>
    <row r="90" spans="1:28">
      <c r="A90" s="105">
        <f t="shared" si="1"/>
        <v>89</v>
      </c>
      <c r="B90" s="107">
        <f>YEAR(Table6[[#This Row],[Date]])+IF(MONTH(Table6[[#This Row],[Date]])&gt;=4,1,0)</f>
        <v>2025</v>
      </c>
      <c r="C90" s="105">
        <f>YEAR(Table6[[#This Row],[Date]])</f>
        <v>2025</v>
      </c>
      <c r="D90" s="105" t="s">
        <v>465</v>
      </c>
      <c r="E90" s="119">
        <f>Table6[[#This Row],[Date]]-DAY(Table6[[#This Row],[Date]])+1</f>
        <v>45717</v>
      </c>
      <c r="F90" s="118">
        <v>45747</v>
      </c>
      <c r="G90" s="105" t="s">
        <v>112</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473</v>
      </c>
      <c r="N90" s="39" t="s">
        <v>474</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478</v>
      </c>
      <c r="V90" s="351" t="s">
        <v>476</v>
      </c>
      <c r="W90" s="338">
        <f>Table6[[#This Row],[Breakdown Time]]*(1/39)</f>
        <v>2.1367521367521292E-3</v>
      </c>
      <c r="X90" s="336" t="s">
        <v>477</v>
      </c>
      <c r="Y90" s="352" t="s">
        <v>111</v>
      </c>
      <c r="Z90" s="105">
        <v>7552</v>
      </c>
      <c r="AA90" s="107">
        <v>26.222222222222129</v>
      </c>
      <c r="AB90" s="105" t="s">
        <v>472</v>
      </c>
    </row>
    <row r="91" spans="1:28">
      <c r="A91" s="105">
        <f t="shared" si="1"/>
        <v>90</v>
      </c>
      <c r="B91" s="107">
        <f>YEAR(Table6[[#This Row],[Date]])+IF(MONTH(Table6[[#This Row],[Date]])&gt;=4,1,0)</f>
        <v>2025</v>
      </c>
      <c r="C91" s="105">
        <f>YEAR(Table6[[#This Row],[Date]])</f>
        <v>2025</v>
      </c>
      <c r="D91" s="105" t="s">
        <v>465</v>
      </c>
      <c r="E91" s="119">
        <f>Table6[[#This Row],[Date]]-DAY(Table6[[#This Row],[Date]])+1</f>
        <v>45717</v>
      </c>
      <c r="F91" s="118">
        <v>45747</v>
      </c>
      <c r="G91" s="105" t="s">
        <v>112</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473</v>
      </c>
      <c r="N91" s="39" t="s">
        <v>474</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478</v>
      </c>
      <c r="V91" s="351" t="s">
        <v>476</v>
      </c>
      <c r="W91" s="338">
        <f>Table6[[#This Row],[Breakdown Time]]*(1/39)</f>
        <v>2.1367521367521292E-3</v>
      </c>
      <c r="X91" s="336" t="s">
        <v>477</v>
      </c>
      <c r="Y91" s="352" t="s">
        <v>111</v>
      </c>
      <c r="Z91" s="105">
        <v>7552</v>
      </c>
      <c r="AA91" s="107">
        <v>26.222222222222129</v>
      </c>
      <c r="AB91" s="105" t="s">
        <v>472</v>
      </c>
    </row>
    <row r="92" spans="1:28">
      <c r="A92" s="105">
        <f t="shared" si="1"/>
        <v>91</v>
      </c>
      <c r="B92" s="107">
        <f>YEAR(Table6[[#This Row],[Date]])+IF(MONTH(Table6[[#This Row],[Date]])&gt;=4,1,0)</f>
        <v>2025</v>
      </c>
      <c r="C92" s="105">
        <f>YEAR(Table6[[#This Row],[Date]])</f>
        <v>2025</v>
      </c>
      <c r="D92" s="105" t="s">
        <v>465</v>
      </c>
      <c r="E92" s="119">
        <f>Table6[[#This Row],[Date]]-DAY(Table6[[#This Row],[Date]])+1</f>
        <v>45717</v>
      </c>
      <c r="F92" s="118">
        <v>45747</v>
      </c>
      <c r="G92" s="105" t="s">
        <v>112</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473</v>
      </c>
      <c r="N92" s="39" t="s">
        <v>474</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484</v>
      </c>
      <c r="V92" s="351" t="s">
        <v>476</v>
      </c>
      <c r="W92" s="338">
        <f>Table6[[#This Row],[Breakdown Time]]*(1/39)</f>
        <v>3.03418803418803E-2</v>
      </c>
      <c r="X92" s="336" t="s">
        <v>477</v>
      </c>
      <c r="Y92" s="352" t="s">
        <v>111</v>
      </c>
      <c r="Z92" s="105">
        <v>7552</v>
      </c>
      <c r="AA92" s="107">
        <v>372.3555555555551</v>
      </c>
      <c r="AB92" s="105" t="s">
        <v>472</v>
      </c>
    </row>
    <row r="93" spans="1:28">
      <c r="A93" s="105">
        <f t="shared" si="1"/>
        <v>92</v>
      </c>
      <c r="B93" s="107">
        <f>YEAR(Table6[[#This Row],[Date]])+IF(MONTH(Table6[[#This Row],[Date]])&gt;=4,1,0)</f>
        <v>2025</v>
      </c>
      <c r="C93" s="105">
        <f>YEAR(Table6[[#This Row],[Date]])</f>
        <v>2025</v>
      </c>
      <c r="D93" s="105" t="s">
        <v>465</v>
      </c>
      <c r="E93" s="119">
        <f>Table6[[#This Row],[Date]]-DAY(Table6[[#This Row],[Date]])+1</f>
        <v>45717</v>
      </c>
      <c r="F93" s="118">
        <v>45747</v>
      </c>
      <c r="G93" s="105" t="s">
        <v>112</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473</v>
      </c>
      <c r="N93" s="39" t="s">
        <v>474</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489</v>
      </c>
      <c r="V93" s="351" t="s">
        <v>470</v>
      </c>
      <c r="W93" s="338">
        <f>Table6[[#This Row],[Breakdown Time]]*(1/39)</f>
        <v>0.11111111111111112</v>
      </c>
      <c r="X93" s="336" t="s">
        <v>477</v>
      </c>
      <c r="Y93" s="352" t="s">
        <v>111</v>
      </c>
      <c r="Z93" s="105">
        <v>7552</v>
      </c>
      <c r="AA93" s="107">
        <v>1363.5555555555559</v>
      </c>
      <c r="AB93" s="105" t="s">
        <v>472</v>
      </c>
    </row>
    <row r="94" spans="1:28">
      <c r="A94" s="105">
        <f t="shared" si="1"/>
        <v>93</v>
      </c>
      <c r="B94" s="107">
        <f>YEAR(Table6[[#This Row],[Date]])+IF(MONTH(Table6[[#This Row],[Date]])&gt;=4,1,0)</f>
        <v>2026</v>
      </c>
      <c r="C94" s="105">
        <f>YEAR(Table6[[#This Row],[Date]])</f>
        <v>2025</v>
      </c>
      <c r="D94" s="105" t="s">
        <v>465</v>
      </c>
      <c r="E94" s="119">
        <f>Table6[[#This Row],[Date]]-DAY(Table6[[#This Row],[Date]])+1</f>
        <v>45748</v>
      </c>
      <c r="F94" s="118">
        <v>45748</v>
      </c>
      <c r="G94" s="105" t="s">
        <v>103</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466</v>
      </c>
      <c r="L94" s="39" t="str">
        <f>IFERROR(VLOOKUP(Table6[[#This Row],[Error Code]],'Basic Data'!$T:$U,2,0),"")</f>
        <v>Manual Stop - Safety Related</v>
      </c>
      <c r="M94" s="346" t="s">
        <v>467</v>
      </c>
      <c r="N94" s="39" t="s">
        <v>468</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469</v>
      </c>
      <c r="V94" s="351" t="s">
        <v>470</v>
      </c>
      <c r="W94" s="338">
        <f>Table6[[#This Row],[Breakdown Time]]*(1/39)</f>
        <v>0.61495726495726499</v>
      </c>
      <c r="X94" s="336" t="s">
        <v>486</v>
      </c>
      <c r="Y94" s="352" t="s">
        <v>100</v>
      </c>
      <c r="Z94" s="105">
        <v>6260</v>
      </c>
      <c r="AA94" s="107">
        <v>6255.6527777777774</v>
      </c>
      <c r="AB94" s="105" t="s">
        <v>472</v>
      </c>
    </row>
    <row r="95" spans="1:28">
      <c r="A95" s="105">
        <f t="shared" si="1"/>
        <v>94</v>
      </c>
      <c r="B95" s="107">
        <f>YEAR(Table6[[#This Row],[Date]])+IF(MONTH(Table6[[#This Row],[Date]])&gt;=4,1,0)</f>
        <v>2026</v>
      </c>
      <c r="C95" s="105">
        <f>YEAR(Table6[[#This Row],[Date]])</f>
        <v>2025</v>
      </c>
      <c r="D95" s="105" t="s">
        <v>465</v>
      </c>
      <c r="E95" s="119">
        <f>Table6[[#This Row],[Date]]-DAY(Table6[[#This Row],[Date]])+1</f>
        <v>45748</v>
      </c>
      <c r="F95" s="118">
        <v>45748</v>
      </c>
      <c r="G95" s="105" t="s">
        <v>101</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466</v>
      </c>
      <c r="L95" s="39" t="str">
        <f>IFERROR(VLOOKUP(Table6[[#This Row],[Error Code]],'Basic Data'!$T:$U,2,0),"")</f>
        <v>Manual Stop - Safety Related</v>
      </c>
      <c r="M95" s="346" t="s">
        <v>467</v>
      </c>
      <c r="N95" s="39" t="s">
        <v>468</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469</v>
      </c>
      <c r="V95" s="351" t="s">
        <v>470</v>
      </c>
      <c r="W95" s="338">
        <f>Table6[[#This Row],[Breakdown Time]]*(1/39)</f>
        <v>0.61495726495726499</v>
      </c>
      <c r="X95" s="336" t="s">
        <v>486</v>
      </c>
      <c r="Y95" s="352" t="s">
        <v>100</v>
      </c>
      <c r="Z95" s="105">
        <v>6260</v>
      </c>
      <c r="AA95" s="107">
        <v>6255.6527777777774</v>
      </c>
      <c r="AB95" s="105" t="s">
        <v>472</v>
      </c>
    </row>
    <row r="96" spans="1:28">
      <c r="A96" s="105">
        <f t="shared" si="1"/>
        <v>95</v>
      </c>
      <c r="B96" s="107">
        <f>YEAR(Table6[[#This Row],[Date]])+IF(MONTH(Table6[[#This Row],[Date]])&gt;=4,1,0)</f>
        <v>2026</v>
      </c>
      <c r="C96" s="105">
        <f>YEAR(Table6[[#This Row],[Date]])</f>
        <v>2025</v>
      </c>
      <c r="D96" s="105" t="s">
        <v>465</v>
      </c>
      <c r="E96" s="119">
        <f>Table6[[#This Row],[Date]]-DAY(Table6[[#This Row],[Date]])+1</f>
        <v>45748</v>
      </c>
      <c r="F96" s="118">
        <v>45748</v>
      </c>
      <c r="G96" s="105" t="s">
        <v>74</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473</v>
      </c>
      <c r="N96" s="39" t="s">
        <v>474</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478</v>
      </c>
      <c r="V96" s="351" t="s">
        <v>476</v>
      </c>
      <c r="W96" s="338">
        <f>Table6[[#This Row],[Breakdown Time]]*(1/39)</f>
        <v>9.401709401709403E-3</v>
      </c>
      <c r="X96" s="336" t="s">
        <v>477</v>
      </c>
      <c r="Y96" s="352" t="s">
        <v>80</v>
      </c>
      <c r="Z96" s="105">
        <v>6951</v>
      </c>
      <c r="AA96" s="107">
        <v>106.19583333333334</v>
      </c>
      <c r="AB96" s="105" t="s">
        <v>472</v>
      </c>
    </row>
    <row r="97" spans="1:28">
      <c r="A97" s="105">
        <f t="shared" si="1"/>
        <v>96</v>
      </c>
      <c r="B97" s="107">
        <f>YEAR(Table6[[#This Row],[Date]])+IF(MONTH(Table6[[#This Row],[Date]])&gt;=4,1,0)</f>
        <v>2026</v>
      </c>
      <c r="C97" s="105">
        <f>YEAR(Table6[[#This Row],[Date]])</f>
        <v>2025</v>
      </c>
      <c r="D97" s="105" t="s">
        <v>465</v>
      </c>
      <c r="E97" s="119">
        <f>Table6[[#This Row],[Date]]-DAY(Table6[[#This Row],[Date]])+1</f>
        <v>45748</v>
      </c>
      <c r="F97" s="118">
        <v>45748</v>
      </c>
      <c r="G97" s="105" t="s">
        <v>74</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473</v>
      </c>
      <c r="N97" s="39" t="s">
        <v>474</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493</v>
      </c>
      <c r="V97" s="351" t="s">
        <v>476</v>
      </c>
      <c r="W97" s="338">
        <f>Table6[[#This Row],[Breakdown Time]]*(1/39)</f>
        <v>0.15170940170940173</v>
      </c>
      <c r="X97" s="336" t="s">
        <v>477</v>
      </c>
      <c r="Y97" s="352" t="s">
        <v>80</v>
      </c>
      <c r="Z97" s="105">
        <v>6951</v>
      </c>
      <c r="AA97" s="107">
        <v>1713.6145833333335</v>
      </c>
      <c r="AB97" s="105" t="s">
        <v>472</v>
      </c>
    </row>
    <row r="98" spans="1:28">
      <c r="A98" s="105">
        <f t="shared" si="1"/>
        <v>97</v>
      </c>
      <c r="B98" s="107">
        <f>YEAR(Table6[[#This Row],[Date]])+IF(MONTH(Table6[[#This Row],[Date]])&gt;=4,1,0)</f>
        <v>2026</v>
      </c>
      <c r="C98" s="105">
        <f>YEAR(Table6[[#This Row],[Date]])</f>
        <v>2025</v>
      </c>
      <c r="D98" s="105" t="s">
        <v>465</v>
      </c>
      <c r="E98" s="119">
        <f>Table6[[#This Row],[Date]]-DAY(Table6[[#This Row],[Date]])+1</f>
        <v>45748</v>
      </c>
      <c r="F98" s="118">
        <v>45748</v>
      </c>
      <c r="G98" s="105" t="s">
        <v>74</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473</v>
      </c>
      <c r="N98" s="39" t="s">
        <v>474</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494</v>
      </c>
      <c r="V98" s="351" t="s">
        <v>476</v>
      </c>
      <c r="W98" s="338">
        <f>Table6[[#This Row],[Breakdown Time]]*(1/39)</f>
        <v>7.8632478632478617E-2</v>
      </c>
      <c r="X98" s="336" t="s">
        <v>477</v>
      </c>
      <c r="Y98" s="352" t="s">
        <v>80</v>
      </c>
      <c r="Z98" s="105">
        <v>6951</v>
      </c>
      <c r="AA98" s="107">
        <v>888.18333333333328</v>
      </c>
      <c r="AB98" s="105" t="s">
        <v>472</v>
      </c>
    </row>
    <row r="99" spans="1:28">
      <c r="A99" s="105">
        <f t="shared" si="1"/>
        <v>98</v>
      </c>
      <c r="B99" s="107">
        <f>YEAR(Table6[[#This Row],[Date]])+IF(MONTH(Table6[[#This Row],[Date]])&gt;=4,1,0)</f>
        <v>2026</v>
      </c>
      <c r="C99" s="105">
        <f>YEAR(Table6[[#This Row],[Date]])</f>
        <v>2025</v>
      </c>
      <c r="D99" s="105" t="s">
        <v>465</v>
      </c>
      <c r="E99" s="119">
        <f>Table6[[#This Row],[Date]]-DAY(Table6[[#This Row],[Date]])+1</f>
        <v>45748</v>
      </c>
      <c r="F99" s="118">
        <v>45748</v>
      </c>
      <c r="G99" s="105" t="s">
        <v>77</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473</v>
      </c>
      <c r="N99" s="39" t="s">
        <v>474</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478</v>
      </c>
      <c r="V99" s="351" t="s">
        <v>476</v>
      </c>
      <c r="W99" s="338">
        <f>Table6[[#This Row],[Breakdown Time]]*(1/39)</f>
        <v>2.1367521367521292E-3</v>
      </c>
      <c r="X99" s="336" t="s">
        <v>477</v>
      </c>
      <c r="Y99" s="352" t="s">
        <v>76</v>
      </c>
      <c r="Z99" s="105">
        <v>5356</v>
      </c>
      <c r="AA99" s="107">
        <v>18.597222222222154</v>
      </c>
      <c r="AB99" s="105" t="s">
        <v>472</v>
      </c>
    </row>
    <row r="100" spans="1:28">
      <c r="A100" s="105">
        <f t="shared" si="1"/>
        <v>99</v>
      </c>
      <c r="B100" s="107">
        <f>YEAR(Table6[[#This Row],[Date]])+IF(MONTH(Table6[[#This Row],[Date]])&gt;=4,1,0)</f>
        <v>2026</v>
      </c>
      <c r="C100" s="105">
        <f>YEAR(Table6[[#This Row],[Date]])</f>
        <v>2025</v>
      </c>
      <c r="D100" s="105" t="s">
        <v>465</v>
      </c>
      <c r="E100" s="119">
        <f>Table6[[#This Row],[Date]]-DAY(Table6[[#This Row],[Date]])+1</f>
        <v>45748</v>
      </c>
      <c r="F100" s="118">
        <v>45748</v>
      </c>
      <c r="G100" s="105" t="s">
        <v>81</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473</v>
      </c>
      <c r="N100" s="39" t="s">
        <v>474</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476</v>
      </c>
      <c r="W100" s="338">
        <f>Table6[[#This Row],[Breakdown Time]]*(1/39)</f>
        <v>7.0085470085470086E-2</v>
      </c>
      <c r="X100" s="336" t="s">
        <v>477</v>
      </c>
      <c r="Y100" s="352" t="s">
        <v>81</v>
      </c>
      <c r="Z100" s="105">
        <v>6252</v>
      </c>
      <c r="AA100" s="107">
        <v>712.0333333333333</v>
      </c>
      <c r="AB100" s="105" t="s">
        <v>472</v>
      </c>
    </row>
    <row r="101" spans="1:28">
      <c r="A101" s="105">
        <f t="shared" si="1"/>
        <v>100</v>
      </c>
      <c r="B101" s="107">
        <f>YEAR(Table6[[#This Row],[Date]])+IF(MONTH(Table6[[#This Row],[Date]])&gt;=4,1,0)</f>
        <v>2026</v>
      </c>
      <c r="C101" s="105">
        <f>YEAR(Table6[[#This Row],[Date]])</f>
        <v>2025</v>
      </c>
      <c r="D101" s="105" t="s">
        <v>465</v>
      </c>
      <c r="E101" s="119">
        <f>Table6[[#This Row],[Date]]-DAY(Table6[[#This Row],[Date]])+1</f>
        <v>45748</v>
      </c>
      <c r="F101" s="118">
        <v>45748</v>
      </c>
      <c r="G101" s="105" t="s">
        <v>85</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473</v>
      </c>
      <c r="N101" s="39" t="s">
        <v>474</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478</v>
      </c>
      <c r="V101" s="351" t="s">
        <v>476</v>
      </c>
      <c r="W101" s="338">
        <f>Table6[[#This Row],[Breakdown Time]]*(1/39)</f>
        <v>2.1367521367521378E-3</v>
      </c>
      <c r="X101" s="336" t="s">
        <v>477</v>
      </c>
      <c r="Y101" s="352" t="s">
        <v>86</v>
      </c>
      <c r="Z101" s="105">
        <v>5686</v>
      </c>
      <c r="AA101" s="107">
        <v>19.743055555555564</v>
      </c>
      <c r="AB101" s="105" t="s">
        <v>472</v>
      </c>
    </row>
    <row r="102" spans="1:28">
      <c r="A102" s="105">
        <f t="shared" si="1"/>
        <v>101</v>
      </c>
      <c r="B102" s="107">
        <f>YEAR(Table6[[#This Row],[Date]])+IF(MONTH(Table6[[#This Row],[Date]])&gt;=4,1,0)</f>
        <v>2026</v>
      </c>
      <c r="C102" s="105">
        <f>YEAR(Table6[[#This Row],[Date]])</f>
        <v>2025</v>
      </c>
      <c r="D102" s="105" t="s">
        <v>465</v>
      </c>
      <c r="E102" s="119">
        <f>Table6[[#This Row],[Date]]-DAY(Table6[[#This Row],[Date]])+1</f>
        <v>45748</v>
      </c>
      <c r="F102" s="118">
        <v>45748</v>
      </c>
      <c r="G102" s="105" t="s">
        <v>85</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473</v>
      </c>
      <c r="N102" s="39" t="s">
        <v>474</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478</v>
      </c>
      <c r="V102" s="351" t="s">
        <v>476</v>
      </c>
      <c r="W102" s="338">
        <f>Table6[[#This Row],[Breakdown Time]]*(1/39)</f>
        <v>2.1367521367521292E-3</v>
      </c>
      <c r="X102" s="336" t="s">
        <v>477</v>
      </c>
      <c r="Y102" s="352" t="s">
        <v>86</v>
      </c>
      <c r="Z102" s="105">
        <v>5686</v>
      </c>
      <c r="AA102" s="107">
        <v>19.743055555555486</v>
      </c>
      <c r="AB102" s="105" t="s">
        <v>472</v>
      </c>
    </row>
    <row r="103" spans="1:28">
      <c r="A103" s="105">
        <f t="shared" si="1"/>
        <v>102</v>
      </c>
      <c r="B103" s="107">
        <f>YEAR(Table6[[#This Row],[Date]])+IF(MONTH(Table6[[#This Row],[Date]])&gt;=4,1,0)</f>
        <v>2026</v>
      </c>
      <c r="C103" s="105">
        <f>YEAR(Table6[[#This Row],[Date]])</f>
        <v>2025</v>
      </c>
      <c r="D103" s="105" t="s">
        <v>465</v>
      </c>
      <c r="E103" s="119">
        <f>Table6[[#This Row],[Date]]-DAY(Table6[[#This Row],[Date]])+1</f>
        <v>45748</v>
      </c>
      <c r="F103" s="118">
        <v>45748</v>
      </c>
      <c r="G103" s="105" t="s">
        <v>86</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473</v>
      </c>
      <c r="N103" s="39" t="s">
        <v>474</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489</v>
      </c>
      <c r="V103" s="351" t="s">
        <v>470</v>
      </c>
      <c r="W103" s="338">
        <f>Table6[[#This Row],[Breakdown Time]]*(1/39)</f>
        <v>3.5897435897435909E-2</v>
      </c>
      <c r="X103" s="336" t="s">
        <v>477</v>
      </c>
      <c r="Y103" s="352" t="s">
        <v>87</v>
      </c>
      <c r="Z103" s="105">
        <v>4942</v>
      </c>
      <c r="AA103" s="107">
        <v>288.28333333333342</v>
      </c>
      <c r="AB103" s="105" t="s">
        <v>472</v>
      </c>
    </row>
    <row r="104" spans="1:28">
      <c r="A104" s="105">
        <f t="shared" si="1"/>
        <v>103</v>
      </c>
      <c r="B104" s="107">
        <f>YEAR(Table6[[#This Row],[Date]])+IF(MONTH(Table6[[#This Row],[Date]])&gt;=4,1,0)</f>
        <v>2026</v>
      </c>
      <c r="C104" s="105">
        <f>YEAR(Table6[[#This Row],[Date]])</f>
        <v>2025</v>
      </c>
      <c r="D104" s="105" t="s">
        <v>465</v>
      </c>
      <c r="E104" s="119">
        <f>Table6[[#This Row],[Date]]-DAY(Table6[[#This Row],[Date]])+1</f>
        <v>45748</v>
      </c>
      <c r="F104" s="118">
        <v>45748</v>
      </c>
      <c r="G104" s="105" t="s">
        <v>87</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473</v>
      </c>
      <c r="N104" s="39" t="s">
        <v>474</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478</v>
      </c>
      <c r="V104" s="351" t="s">
        <v>476</v>
      </c>
      <c r="W104" s="338">
        <f>Table6[[#This Row],[Breakdown Time]]*(1/39)</f>
        <v>2.1367521367521292E-3</v>
      </c>
      <c r="X104" s="336" t="s">
        <v>477</v>
      </c>
      <c r="Y104" s="352" t="s">
        <v>88</v>
      </c>
      <c r="Z104" s="105">
        <v>4039</v>
      </c>
      <c r="AA104" s="107">
        <v>14.024305555555506</v>
      </c>
      <c r="AB104" s="105" t="s">
        <v>472</v>
      </c>
    </row>
    <row r="105" spans="1:28">
      <c r="A105" s="105">
        <f t="shared" si="1"/>
        <v>104</v>
      </c>
      <c r="B105" s="107">
        <f>YEAR(Table6[[#This Row],[Date]])+IF(MONTH(Table6[[#This Row],[Date]])&gt;=4,1,0)</f>
        <v>2026</v>
      </c>
      <c r="C105" s="105">
        <f>YEAR(Table6[[#This Row],[Date]])</f>
        <v>2025</v>
      </c>
      <c r="D105" s="105" t="s">
        <v>465</v>
      </c>
      <c r="E105" s="119">
        <f>Table6[[#This Row],[Date]]-DAY(Table6[[#This Row],[Date]])+1</f>
        <v>45748</v>
      </c>
      <c r="F105" s="118">
        <v>45748</v>
      </c>
      <c r="G105" s="105" t="s">
        <v>87</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473</v>
      </c>
      <c r="N105" s="39" t="s">
        <v>474</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489</v>
      </c>
      <c r="V105" s="351" t="s">
        <v>470</v>
      </c>
      <c r="W105" s="338">
        <f>Table6[[#This Row],[Breakdown Time]]*(1/39)</f>
        <v>2.3931623931623913E-2</v>
      </c>
      <c r="X105" s="336" t="s">
        <v>477</v>
      </c>
      <c r="Y105" s="352" t="s">
        <v>88</v>
      </c>
      <c r="Z105" s="105">
        <v>4039</v>
      </c>
      <c r="AA105" s="107">
        <v>157.07222222222211</v>
      </c>
      <c r="AB105" s="105" t="s">
        <v>472</v>
      </c>
    </row>
    <row r="106" spans="1:28">
      <c r="A106" s="105">
        <f t="shared" si="1"/>
        <v>105</v>
      </c>
      <c r="B106" s="107">
        <f>YEAR(Table6[[#This Row],[Date]])+IF(MONTH(Table6[[#This Row],[Date]])&gt;=4,1,0)</f>
        <v>2026</v>
      </c>
      <c r="C106" s="105">
        <f>YEAR(Table6[[#This Row],[Date]])</f>
        <v>2025</v>
      </c>
      <c r="D106" s="105" t="s">
        <v>465</v>
      </c>
      <c r="E106" s="119">
        <f>Table6[[#This Row],[Date]]-DAY(Table6[[#This Row],[Date]])+1</f>
        <v>45748</v>
      </c>
      <c r="F106" s="118">
        <v>45748</v>
      </c>
      <c r="G106" s="105" t="s">
        <v>88</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473</v>
      </c>
      <c r="N106" s="39" t="s">
        <v>474</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478</v>
      </c>
      <c r="V106" s="351" t="s">
        <v>476</v>
      </c>
      <c r="W106" s="338">
        <f>Table6[[#This Row],[Breakdown Time]]*(1/39)</f>
        <v>1.837606837606838E-2</v>
      </c>
      <c r="X106" s="336" t="s">
        <v>477</v>
      </c>
      <c r="Y106" s="352" t="s">
        <v>89</v>
      </c>
      <c r="Z106" s="105">
        <v>5316</v>
      </c>
      <c r="AA106" s="107">
        <v>158.7416666666667</v>
      </c>
      <c r="AB106" s="105" t="s">
        <v>472</v>
      </c>
    </row>
    <row r="107" spans="1:28">
      <c r="A107" s="105">
        <f t="shared" si="1"/>
        <v>106</v>
      </c>
      <c r="B107" s="107">
        <f>YEAR(Table6[[#This Row],[Date]])+IF(MONTH(Table6[[#This Row],[Date]])&gt;=4,1,0)</f>
        <v>2026</v>
      </c>
      <c r="C107" s="105">
        <f>YEAR(Table6[[#This Row],[Date]])</f>
        <v>2025</v>
      </c>
      <c r="D107" s="105" t="s">
        <v>465</v>
      </c>
      <c r="E107" s="119">
        <f>Table6[[#This Row],[Date]]-DAY(Table6[[#This Row],[Date]])+1</f>
        <v>45748</v>
      </c>
      <c r="F107" s="118">
        <v>45748</v>
      </c>
      <c r="G107" s="105" t="s">
        <v>89</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473</v>
      </c>
      <c r="N107" s="39" t="s">
        <v>474</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478</v>
      </c>
      <c r="V107" s="351" t="s">
        <v>476</v>
      </c>
      <c r="W107" s="338">
        <f>Table6[[#This Row],[Breakdown Time]]*(1/39)</f>
        <v>2.1367521367521461E-3</v>
      </c>
      <c r="X107" s="336" t="s">
        <v>477</v>
      </c>
      <c r="Y107" s="352" t="s">
        <v>90</v>
      </c>
      <c r="Z107" s="105">
        <v>6766</v>
      </c>
      <c r="AA107" s="107">
        <v>23.49305555555566</v>
      </c>
      <c r="AB107" s="105" t="s">
        <v>472</v>
      </c>
    </row>
    <row r="108" spans="1:28">
      <c r="A108" s="105">
        <f t="shared" si="1"/>
        <v>107</v>
      </c>
      <c r="B108" s="107">
        <f>YEAR(Table6[[#This Row],[Date]])+IF(MONTH(Table6[[#This Row],[Date]])&gt;=4,1,0)</f>
        <v>2026</v>
      </c>
      <c r="C108" s="105">
        <f>YEAR(Table6[[#This Row],[Date]])</f>
        <v>2025</v>
      </c>
      <c r="D108" s="105" t="s">
        <v>465</v>
      </c>
      <c r="E108" s="119">
        <f>Table6[[#This Row],[Date]]-DAY(Table6[[#This Row],[Date]])+1</f>
        <v>45748</v>
      </c>
      <c r="F108" s="118">
        <v>45748</v>
      </c>
      <c r="G108" s="105" t="s">
        <v>89</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473</v>
      </c>
      <c r="N108" s="39" t="s">
        <v>474</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484</v>
      </c>
      <c r="V108" s="351" t="s">
        <v>476</v>
      </c>
      <c r="W108" s="338">
        <f>Table6[[#This Row],[Breakdown Time]]*(1/39)</f>
        <v>2.6923076923076893E-2</v>
      </c>
      <c r="X108" s="336" t="s">
        <v>477</v>
      </c>
      <c r="Y108" s="352" t="s">
        <v>90</v>
      </c>
      <c r="Z108" s="105">
        <v>6766</v>
      </c>
      <c r="AA108" s="107">
        <v>296.0124999999997</v>
      </c>
      <c r="AB108" s="105" t="s">
        <v>472</v>
      </c>
    </row>
    <row r="109" spans="1:28">
      <c r="A109" s="105">
        <f t="shared" si="1"/>
        <v>108</v>
      </c>
      <c r="B109" s="107">
        <f>YEAR(Table6[[#This Row],[Date]])+IF(MONTH(Table6[[#This Row],[Date]])&gt;=4,1,0)</f>
        <v>2026</v>
      </c>
      <c r="C109" s="105">
        <f>YEAR(Table6[[#This Row],[Date]])</f>
        <v>2025</v>
      </c>
      <c r="D109" s="105" t="s">
        <v>465</v>
      </c>
      <c r="E109" s="119">
        <f>Table6[[#This Row],[Date]]-DAY(Table6[[#This Row],[Date]])+1</f>
        <v>45748</v>
      </c>
      <c r="F109" s="118">
        <v>45748</v>
      </c>
      <c r="G109" s="105" t="s">
        <v>90</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473</v>
      </c>
      <c r="N109" s="39" t="s">
        <v>474</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489</v>
      </c>
      <c r="V109" s="351" t="s">
        <v>470</v>
      </c>
      <c r="W109" s="338">
        <f>Table6[[#This Row],[Breakdown Time]]*(1/39)</f>
        <v>1.9658119658119654E-2</v>
      </c>
      <c r="X109" s="336" t="s">
        <v>477</v>
      </c>
      <c r="Y109" s="352" t="s">
        <v>89</v>
      </c>
      <c r="Z109" s="105">
        <v>5316</v>
      </c>
      <c r="AA109" s="107">
        <v>169.81666666666666</v>
      </c>
      <c r="AB109" s="105" t="s">
        <v>472</v>
      </c>
    </row>
    <row r="110" spans="1:28">
      <c r="A110" s="105">
        <f t="shared" si="1"/>
        <v>109</v>
      </c>
      <c r="B110" s="107">
        <f>YEAR(Table6[[#This Row],[Date]])+IF(MONTH(Table6[[#This Row],[Date]])&gt;=4,1,0)</f>
        <v>2026</v>
      </c>
      <c r="C110" s="105">
        <f>YEAR(Table6[[#This Row],[Date]])</f>
        <v>2025</v>
      </c>
      <c r="D110" s="105" t="s">
        <v>465</v>
      </c>
      <c r="E110" s="119">
        <f>Table6[[#This Row],[Date]]-DAY(Table6[[#This Row],[Date]])+1</f>
        <v>45748</v>
      </c>
      <c r="F110" s="118">
        <v>45748</v>
      </c>
      <c r="G110" s="105" t="s">
        <v>91</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473</v>
      </c>
      <c r="N110" s="39" t="s">
        <v>474</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478</v>
      </c>
      <c r="V110" s="351" t="s">
        <v>476</v>
      </c>
      <c r="W110" s="338">
        <f>Table6[[#This Row],[Breakdown Time]]*(1/39)</f>
        <v>4.1025641025641012E-2</v>
      </c>
      <c r="X110" s="336" t="s">
        <v>477</v>
      </c>
      <c r="Y110" s="352" t="s">
        <v>92</v>
      </c>
      <c r="Z110" s="105">
        <v>6788</v>
      </c>
      <c r="AA110" s="107">
        <v>452.53333333333319</v>
      </c>
      <c r="AB110" s="105" t="s">
        <v>472</v>
      </c>
    </row>
    <row r="111" spans="1:28">
      <c r="A111" s="105">
        <f t="shared" si="1"/>
        <v>110</v>
      </c>
      <c r="B111" s="107">
        <f>YEAR(Table6[[#This Row],[Date]])+IF(MONTH(Table6[[#This Row],[Date]])&gt;=4,1,0)</f>
        <v>2026</v>
      </c>
      <c r="C111" s="105">
        <f>YEAR(Table6[[#This Row],[Date]])</f>
        <v>2025</v>
      </c>
      <c r="D111" s="105" t="s">
        <v>465</v>
      </c>
      <c r="E111" s="119">
        <f>Table6[[#This Row],[Date]]-DAY(Table6[[#This Row],[Date]])+1</f>
        <v>45748</v>
      </c>
      <c r="F111" s="118">
        <v>45748</v>
      </c>
      <c r="G111" s="105" t="s">
        <v>92</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473</v>
      </c>
      <c r="N111" s="39" t="s">
        <v>474</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489</v>
      </c>
      <c r="V111" s="351" t="s">
        <v>470</v>
      </c>
      <c r="W111" s="338">
        <f>Table6[[#This Row],[Breakdown Time]]*(1/39)</f>
        <v>2.0512820512820506E-2</v>
      </c>
      <c r="X111" s="336" t="s">
        <v>477</v>
      </c>
      <c r="Y111" s="352" t="s">
        <v>91</v>
      </c>
      <c r="Z111" s="105">
        <v>6572</v>
      </c>
      <c r="AA111" s="107">
        <v>219.06666666666661</v>
      </c>
      <c r="AB111" s="105" t="s">
        <v>472</v>
      </c>
    </row>
    <row r="112" spans="1:28">
      <c r="A112" s="105">
        <f t="shared" si="1"/>
        <v>111</v>
      </c>
      <c r="B112" s="107">
        <f>YEAR(Table6[[#This Row],[Date]])+IF(MONTH(Table6[[#This Row],[Date]])&gt;=4,1,0)</f>
        <v>2026</v>
      </c>
      <c r="C112" s="105">
        <f>YEAR(Table6[[#This Row],[Date]])</f>
        <v>2025</v>
      </c>
      <c r="D112" s="105" t="s">
        <v>465</v>
      </c>
      <c r="E112" s="119">
        <f>Table6[[#This Row],[Date]]-DAY(Table6[[#This Row],[Date]])+1</f>
        <v>45748</v>
      </c>
      <c r="F112" s="118">
        <v>45748</v>
      </c>
      <c r="G112" s="105" t="s">
        <v>93</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473</v>
      </c>
      <c r="N112" s="39" t="s">
        <v>474</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489</v>
      </c>
      <c r="V112" s="351" t="s">
        <v>470</v>
      </c>
      <c r="W112" s="338">
        <f>Table6[[#This Row],[Breakdown Time]]*(1/39)</f>
        <v>2.3931623931623913E-2</v>
      </c>
      <c r="X112" s="336" t="s">
        <v>477</v>
      </c>
      <c r="Y112" s="352" t="s">
        <v>92</v>
      </c>
      <c r="Z112" s="105">
        <v>6788</v>
      </c>
      <c r="AA112" s="107">
        <v>263.97777777777759</v>
      </c>
      <c r="AB112" s="105" t="s">
        <v>472</v>
      </c>
    </row>
    <row r="113" spans="1:28">
      <c r="A113" s="105">
        <f t="shared" si="1"/>
        <v>112</v>
      </c>
      <c r="B113" s="107">
        <f>YEAR(Table6[[#This Row],[Date]])+IF(MONTH(Table6[[#This Row],[Date]])&gt;=4,1,0)</f>
        <v>2026</v>
      </c>
      <c r="C113" s="105">
        <f>YEAR(Table6[[#This Row],[Date]])</f>
        <v>2025</v>
      </c>
      <c r="D113" s="105" t="s">
        <v>465</v>
      </c>
      <c r="E113" s="119">
        <f>Table6[[#This Row],[Date]]-DAY(Table6[[#This Row],[Date]])+1</f>
        <v>45748</v>
      </c>
      <c r="F113" s="118">
        <v>45748</v>
      </c>
      <c r="G113" s="105" t="s">
        <v>95</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473</v>
      </c>
      <c r="N113" s="39" t="s">
        <v>474</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489</v>
      </c>
      <c r="V113" s="351" t="s">
        <v>476</v>
      </c>
      <c r="W113" s="338">
        <f>Table6[[#This Row],[Breakdown Time]]*(1/39)</f>
        <v>3.5897435897435909E-2</v>
      </c>
      <c r="X113" s="336" t="s">
        <v>477</v>
      </c>
      <c r="Y113" s="352" t="s">
        <v>78</v>
      </c>
      <c r="Z113" s="105">
        <v>4726</v>
      </c>
      <c r="AA113" s="107">
        <v>275.68333333333339</v>
      </c>
      <c r="AB113" s="105" t="s">
        <v>472</v>
      </c>
    </row>
    <row r="114" spans="1:28">
      <c r="A114" s="105">
        <f t="shared" si="1"/>
        <v>113</v>
      </c>
      <c r="B114" s="107">
        <f>YEAR(Table6[[#This Row],[Date]])+IF(MONTH(Table6[[#This Row],[Date]])&gt;=4,1,0)</f>
        <v>2026</v>
      </c>
      <c r="C114" s="105">
        <f>YEAR(Table6[[#This Row],[Date]])</f>
        <v>2025</v>
      </c>
      <c r="D114" s="105" t="s">
        <v>465</v>
      </c>
      <c r="E114" s="119">
        <f>Table6[[#This Row],[Date]]-DAY(Table6[[#This Row],[Date]])+1</f>
        <v>45748</v>
      </c>
      <c r="F114" s="118">
        <v>45748</v>
      </c>
      <c r="G114" s="105" t="s">
        <v>102</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473</v>
      </c>
      <c r="N114" s="39" t="s">
        <v>474</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496</v>
      </c>
      <c r="V114" s="351" t="s">
        <v>476</v>
      </c>
      <c r="W114" s="338">
        <f>Table6[[#This Row],[Breakdown Time]]*(1/39)</f>
        <v>0.35726495726495727</v>
      </c>
      <c r="X114" s="336" t="s">
        <v>477</v>
      </c>
      <c r="Y114" s="352" t="s">
        <v>100</v>
      </c>
      <c r="Z114" s="105">
        <v>6260</v>
      </c>
      <c r="AA114" s="107">
        <v>3634.2777777777774</v>
      </c>
      <c r="AB114" s="105" t="s">
        <v>472</v>
      </c>
    </row>
    <row r="115" spans="1:28">
      <c r="A115" s="105">
        <f t="shared" si="1"/>
        <v>114</v>
      </c>
      <c r="B115" s="107">
        <f>YEAR(Table6[[#This Row],[Date]])+IF(MONTH(Table6[[#This Row],[Date]])&gt;=4,1,0)</f>
        <v>2026</v>
      </c>
      <c r="C115" s="105">
        <f>YEAR(Table6[[#This Row],[Date]])</f>
        <v>2025</v>
      </c>
      <c r="D115" s="105" t="s">
        <v>465</v>
      </c>
      <c r="E115" s="119">
        <f>Table6[[#This Row],[Date]]-DAY(Table6[[#This Row],[Date]])+1</f>
        <v>45748</v>
      </c>
      <c r="F115" s="118">
        <v>45748</v>
      </c>
      <c r="G115" s="105" t="s">
        <v>104</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473</v>
      </c>
      <c r="N115" s="39" t="s">
        <v>474</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484</v>
      </c>
      <c r="V115" s="351" t="s">
        <v>476</v>
      </c>
      <c r="W115" s="338">
        <f>Table6[[#This Row],[Breakdown Time]]*(1/39)</f>
        <v>1.4102564102564103E-2</v>
      </c>
      <c r="X115" s="336" t="s">
        <v>477</v>
      </c>
      <c r="Y115" s="352" t="s">
        <v>98</v>
      </c>
      <c r="Z115" s="105">
        <v>5834</v>
      </c>
      <c r="AA115" s="107">
        <v>133.69583333333335</v>
      </c>
      <c r="AB115" s="105" t="s">
        <v>472</v>
      </c>
    </row>
    <row r="116" spans="1:28">
      <c r="A116" s="105">
        <f t="shared" si="1"/>
        <v>115</v>
      </c>
      <c r="B116" s="107">
        <f>YEAR(Table6[[#This Row],[Date]])+IF(MONTH(Table6[[#This Row],[Date]])&gt;=4,1,0)</f>
        <v>2026</v>
      </c>
      <c r="C116" s="105">
        <f>YEAR(Table6[[#This Row],[Date]])</f>
        <v>2025</v>
      </c>
      <c r="D116" s="105" t="s">
        <v>465</v>
      </c>
      <c r="E116" s="119">
        <f>Table6[[#This Row],[Date]]-DAY(Table6[[#This Row],[Date]])+1</f>
        <v>45748</v>
      </c>
      <c r="F116" s="118">
        <v>45748</v>
      </c>
      <c r="G116" s="105" t="s">
        <v>104</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473</v>
      </c>
      <c r="N116" s="39" t="s">
        <v>474</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484</v>
      </c>
      <c r="V116" s="351" t="s">
        <v>476</v>
      </c>
      <c r="W116" s="338">
        <f>Table6[[#This Row],[Breakdown Time]]*(1/39)</f>
        <v>5.9401709401709392E-2</v>
      </c>
      <c r="X116" s="336" t="s">
        <v>477</v>
      </c>
      <c r="Y116" s="352" t="s">
        <v>98</v>
      </c>
      <c r="Z116" s="105">
        <v>5834</v>
      </c>
      <c r="AA116" s="107">
        <v>563.14305555555552</v>
      </c>
      <c r="AB116" s="105" t="s">
        <v>472</v>
      </c>
    </row>
    <row r="117" spans="1:28">
      <c r="A117" s="105">
        <f t="shared" si="1"/>
        <v>116</v>
      </c>
      <c r="B117" s="107">
        <f>YEAR(Table6[[#This Row],[Date]])+IF(MONTH(Table6[[#This Row],[Date]])&gt;=4,1,0)</f>
        <v>2026</v>
      </c>
      <c r="C117" s="105">
        <f>YEAR(Table6[[#This Row],[Date]])</f>
        <v>2025</v>
      </c>
      <c r="D117" s="105" t="s">
        <v>465</v>
      </c>
      <c r="E117" s="119">
        <f>Table6[[#This Row],[Date]]-DAY(Table6[[#This Row],[Date]])+1</f>
        <v>45748</v>
      </c>
      <c r="F117" s="118">
        <v>45748</v>
      </c>
      <c r="G117" s="105" t="s">
        <v>104</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473</v>
      </c>
      <c r="N117" s="39" t="s">
        <v>474</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489</v>
      </c>
      <c r="V117" s="351" t="s">
        <v>476</v>
      </c>
      <c r="W117" s="338">
        <f>Table6[[#This Row],[Breakdown Time]]*(1/39)</f>
        <v>2.3504273504273487E-2</v>
      </c>
      <c r="X117" s="336" t="s">
        <v>477</v>
      </c>
      <c r="Y117" s="352" t="s">
        <v>98</v>
      </c>
      <c r="Z117" s="105">
        <v>5834</v>
      </c>
      <c r="AA117" s="107">
        <v>222.82638888888874</v>
      </c>
      <c r="AB117" s="105" t="s">
        <v>472</v>
      </c>
    </row>
    <row r="118" spans="1:28">
      <c r="A118" s="105">
        <f t="shared" si="1"/>
        <v>117</v>
      </c>
      <c r="B118" s="107">
        <f>YEAR(Table6[[#This Row],[Date]])+IF(MONTH(Table6[[#This Row],[Date]])&gt;=4,1,0)</f>
        <v>2026</v>
      </c>
      <c r="C118" s="105">
        <f>YEAR(Table6[[#This Row],[Date]])</f>
        <v>2025</v>
      </c>
      <c r="D118" s="105" t="s">
        <v>465</v>
      </c>
      <c r="E118" s="119">
        <f>Table6[[#This Row],[Date]]-DAY(Table6[[#This Row],[Date]])+1</f>
        <v>45748</v>
      </c>
      <c r="F118" s="118">
        <v>45748</v>
      </c>
      <c r="G118" s="105" t="s">
        <v>105</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473</v>
      </c>
      <c r="N118" s="39" t="s">
        <v>474</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478</v>
      </c>
      <c r="V118" s="351" t="s">
        <v>476</v>
      </c>
      <c r="W118" s="338">
        <f>Table6[[#This Row],[Breakdown Time]]*(1/39)</f>
        <v>2.1367521367521292E-3</v>
      </c>
      <c r="X118" s="336" t="s">
        <v>477</v>
      </c>
      <c r="Y118" s="352" t="s">
        <v>106</v>
      </c>
      <c r="Z118" s="105">
        <v>7280</v>
      </c>
      <c r="AA118" s="107">
        <v>25.277777777777686</v>
      </c>
      <c r="AB118" s="105" t="s">
        <v>472</v>
      </c>
    </row>
    <row r="119" spans="1:28">
      <c r="A119" s="105">
        <f t="shared" si="1"/>
        <v>118</v>
      </c>
      <c r="B119" s="107">
        <f>YEAR(Table6[[#This Row],[Date]])+IF(MONTH(Table6[[#This Row],[Date]])&gt;=4,1,0)</f>
        <v>2026</v>
      </c>
      <c r="C119" s="105">
        <f>YEAR(Table6[[#This Row],[Date]])</f>
        <v>2025</v>
      </c>
      <c r="D119" s="105" t="s">
        <v>465</v>
      </c>
      <c r="E119" s="119">
        <f>Table6[[#This Row],[Date]]-DAY(Table6[[#This Row],[Date]])+1</f>
        <v>45748</v>
      </c>
      <c r="F119" s="118">
        <v>45748</v>
      </c>
      <c r="G119" s="105" t="s">
        <v>107</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473</v>
      </c>
      <c r="N119" s="39" t="s">
        <v>474</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484</v>
      </c>
      <c r="V119" s="351" t="s">
        <v>476</v>
      </c>
      <c r="W119" s="338">
        <f>Table6[[#This Row],[Breakdown Time]]*(1/39)</f>
        <v>8.1623931623931625E-2</v>
      </c>
      <c r="X119" s="336" t="s">
        <v>477</v>
      </c>
      <c r="Y119" s="352" t="s">
        <v>108</v>
      </c>
      <c r="Z119" s="105">
        <v>3390</v>
      </c>
      <c r="AA119" s="107">
        <v>449.64583333333337</v>
      </c>
      <c r="AB119" s="105" t="s">
        <v>472</v>
      </c>
    </row>
    <row r="120" spans="1:28">
      <c r="A120" s="105">
        <f t="shared" si="1"/>
        <v>119</v>
      </c>
      <c r="B120" s="107">
        <f>YEAR(Table6[[#This Row],[Date]])+IF(MONTH(Table6[[#This Row],[Date]])&gt;=4,1,0)</f>
        <v>2026</v>
      </c>
      <c r="C120" s="105">
        <f>YEAR(Table6[[#This Row],[Date]])</f>
        <v>2025</v>
      </c>
      <c r="D120" s="105" t="s">
        <v>465</v>
      </c>
      <c r="E120" s="119">
        <f>Table6[[#This Row],[Date]]-DAY(Table6[[#This Row],[Date]])+1</f>
        <v>45748</v>
      </c>
      <c r="F120" s="118">
        <v>45748</v>
      </c>
      <c r="G120" s="105" t="s">
        <v>108</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473</v>
      </c>
      <c r="N120" s="39" t="s">
        <v>474</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497</v>
      </c>
      <c r="V120" s="351" t="s">
        <v>476</v>
      </c>
      <c r="W120" s="338">
        <f>Table6[[#This Row],[Breakdown Time]]*(1/39)</f>
        <v>0.40982905982905982</v>
      </c>
      <c r="X120" s="336" t="s">
        <v>477</v>
      </c>
      <c r="Y120" s="352" t="s">
        <v>109</v>
      </c>
      <c r="Z120" s="105">
        <v>7150</v>
      </c>
      <c r="AA120" s="107">
        <v>4761.7013888888887</v>
      </c>
      <c r="AB120" s="105" t="s">
        <v>472</v>
      </c>
    </row>
    <row r="121" spans="1:28">
      <c r="A121" s="105">
        <f t="shared" si="1"/>
        <v>120</v>
      </c>
      <c r="B121" s="107">
        <f>YEAR(Table6[[#This Row],[Date]])+IF(MONTH(Table6[[#This Row],[Date]])&gt;=4,1,0)</f>
        <v>2026</v>
      </c>
      <c r="C121" s="105">
        <f>YEAR(Table6[[#This Row],[Date]])</f>
        <v>2025</v>
      </c>
      <c r="D121" s="105" t="s">
        <v>465</v>
      </c>
      <c r="E121" s="119">
        <f>Table6[[#This Row],[Date]]-DAY(Table6[[#This Row],[Date]])+1</f>
        <v>45748</v>
      </c>
      <c r="F121" s="118">
        <v>45748</v>
      </c>
      <c r="G121" s="105" t="s">
        <v>110</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473</v>
      </c>
      <c r="N121" s="39" t="s">
        <v>474</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475</v>
      </c>
      <c r="V121" s="351" t="s">
        <v>476</v>
      </c>
      <c r="W121" s="338">
        <f>Table6[[#This Row],[Breakdown Time]]*(1/39)</f>
        <v>1.6666666666666677E-2</v>
      </c>
      <c r="X121" s="336" t="s">
        <v>477</v>
      </c>
      <c r="Y121" s="352" t="s">
        <v>111</v>
      </c>
      <c r="Z121" s="105">
        <v>6772</v>
      </c>
      <c r="AA121" s="107">
        <v>183.40833333333345</v>
      </c>
      <c r="AB121" s="105" t="s">
        <v>472</v>
      </c>
    </row>
    <row r="122" spans="1:28">
      <c r="A122" s="105">
        <f t="shared" si="1"/>
        <v>121</v>
      </c>
      <c r="B122" s="107">
        <f>YEAR(Table6[[#This Row],[Date]])+IF(MONTH(Table6[[#This Row],[Date]])&gt;=4,1,0)</f>
        <v>2026</v>
      </c>
      <c r="C122" s="105">
        <f>YEAR(Table6[[#This Row],[Date]])</f>
        <v>2025</v>
      </c>
      <c r="D122" s="105" t="s">
        <v>465</v>
      </c>
      <c r="E122" s="119">
        <f>Table6[[#This Row],[Date]]-DAY(Table6[[#This Row],[Date]])+1</f>
        <v>45748</v>
      </c>
      <c r="F122" s="118">
        <v>45748</v>
      </c>
      <c r="G122" s="105" t="s">
        <v>110</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473</v>
      </c>
      <c r="N122" s="39" t="s">
        <v>474</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498</v>
      </c>
      <c r="V122" s="351" t="s">
        <v>476</v>
      </c>
      <c r="W122" s="338">
        <f>Table6[[#This Row],[Breakdown Time]]*(1/39)</f>
        <v>0.14145299145299148</v>
      </c>
      <c r="X122" s="336" t="s">
        <v>477</v>
      </c>
      <c r="Y122" s="352" t="s">
        <v>111</v>
      </c>
      <c r="Z122" s="105">
        <v>6772</v>
      </c>
      <c r="AA122" s="107">
        <v>1556.6194444444448</v>
      </c>
      <c r="AB122" s="105" t="s">
        <v>472</v>
      </c>
    </row>
    <row r="123" spans="1:28">
      <c r="A123" s="105">
        <f t="shared" si="1"/>
        <v>122</v>
      </c>
      <c r="B123" s="107">
        <f>YEAR(Table6[[#This Row],[Date]])+IF(MONTH(Table6[[#This Row],[Date]])&gt;=4,1,0)</f>
        <v>2026</v>
      </c>
      <c r="C123" s="105">
        <f>YEAR(Table6[[#This Row],[Date]])</f>
        <v>2025</v>
      </c>
      <c r="D123" s="105" t="s">
        <v>465</v>
      </c>
      <c r="E123" s="119">
        <f>Table6[[#This Row],[Date]]-DAY(Table6[[#This Row],[Date]])+1</f>
        <v>45748</v>
      </c>
      <c r="F123" s="118">
        <v>45748</v>
      </c>
      <c r="G123" s="105" t="s">
        <v>110</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466</v>
      </c>
      <c r="L123" s="39" t="str">
        <f>IFERROR(VLOOKUP(Table6[[#This Row],[Error Code]],'Basic Data'!$T:$U,2,0),"")</f>
        <v>Manual Stop - Safety Related</v>
      </c>
      <c r="M123" s="346" t="s">
        <v>499</v>
      </c>
      <c r="N123" s="39" t="s">
        <v>189</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500</v>
      </c>
      <c r="V123" s="351" t="s">
        <v>476</v>
      </c>
      <c r="W123" s="338">
        <f>Table6[[#This Row],[Breakdown Time]]*(1/39)</f>
        <v>9.5299145299145294E-2</v>
      </c>
      <c r="X123" s="336" t="s">
        <v>501</v>
      </c>
      <c r="Y123" s="352" t="s">
        <v>111</v>
      </c>
      <c r="Z123" s="105">
        <v>6772</v>
      </c>
      <c r="AA123" s="107">
        <v>1048.7194444444447</v>
      </c>
      <c r="AB123" s="105" t="s">
        <v>472</v>
      </c>
    </row>
    <row r="124" spans="1:28">
      <c r="A124" s="105">
        <f t="shared" si="1"/>
        <v>123</v>
      </c>
      <c r="B124" s="107">
        <f>YEAR(Table6[[#This Row],[Date]])+IF(MONTH(Table6[[#This Row],[Date]])&gt;=4,1,0)</f>
        <v>2026</v>
      </c>
      <c r="C124" s="105">
        <f>YEAR(Table6[[#This Row],[Date]])</f>
        <v>2025</v>
      </c>
      <c r="D124" s="105" t="s">
        <v>465</v>
      </c>
      <c r="E124" s="119">
        <f>Table6[[#This Row],[Date]]-DAY(Table6[[#This Row],[Date]])+1</f>
        <v>45748</v>
      </c>
      <c r="F124" s="118">
        <v>45748</v>
      </c>
      <c r="G124" s="105" t="s">
        <v>111</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473</v>
      </c>
      <c r="N124" s="39" t="s">
        <v>474</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478</v>
      </c>
      <c r="V124" s="351" t="s">
        <v>476</v>
      </c>
      <c r="W124" s="338">
        <f>Table6[[#This Row],[Breakdown Time]]*(1/39)</f>
        <v>4.2735042735042583E-3</v>
      </c>
      <c r="X124" s="336" t="s">
        <v>477</v>
      </c>
      <c r="Y124" s="352" t="s">
        <v>112</v>
      </c>
      <c r="Z124" s="105">
        <v>3752</v>
      </c>
      <c r="AA124" s="107">
        <v>26.055555555555465</v>
      </c>
      <c r="AB124" s="105" t="s">
        <v>472</v>
      </c>
    </row>
    <row r="125" spans="1:28">
      <c r="A125" s="105">
        <f t="shared" si="1"/>
        <v>124</v>
      </c>
      <c r="B125" s="107">
        <f>YEAR(Table6[[#This Row],[Date]])+IF(MONTH(Table6[[#This Row],[Date]])&gt;=4,1,0)</f>
        <v>2026</v>
      </c>
      <c r="C125" s="105">
        <f>YEAR(Table6[[#This Row],[Date]])</f>
        <v>2025</v>
      </c>
      <c r="D125" s="105" t="s">
        <v>465</v>
      </c>
      <c r="E125" s="119">
        <f>Table6[[#This Row],[Date]]-DAY(Table6[[#This Row],[Date]])+1</f>
        <v>45748</v>
      </c>
      <c r="F125" s="118">
        <v>45748</v>
      </c>
      <c r="G125" s="105" t="s">
        <v>112</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473</v>
      </c>
      <c r="N125" s="39" t="s">
        <v>474</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478</v>
      </c>
      <c r="V125" s="351" t="s">
        <v>476</v>
      </c>
      <c r="W125" s="338">
        <f>Table6[[#This Row],[Breakdown Time]]*(1/39)</f>
        <v>0.13632478632478631</v>
      </c>
      <c r="X125" s="336" t="s">
        <v>477</v>
      </c>
      <c r="Y125" s="352" t="s">
        <v>111</v>
      </c>
      <c r="Z125" s="105">
        <v>6772</v>
      </c>
      <c r="AA125" s="107">
        <v>1500.1861111111111</v>
      </c>
      <c r="AB125" s="105" t="s">
        <v>472</v>
      </c>
    </row>
    <row r="126" spans="1:28">
      <c r="A126" s="105">
        <f t="shared" si="1"/>
        <v>125</v>
      </c>
      <c r="B126" s="107">
        <f>YEAR(Table6[[#This Row],[Date]])+IF(MONTH(Table6[[#This Row],[Date]])&gt;=4,1,0)</f>
        <v>2026</v>
      </c>
      <c r="C126" s="105">
        <f>YEAR(Table6[[#This Row],[Date]])</f>
        <v>2025</v>
      </c>
      <c r="D126" s="105" t="s">
        <v>465</v>
      </c>
      <c r="E126" s="119">
        <f>Table6[[#This Row],[Date]]-DAY(Table6[[#This Row],[Date]])+1</f>
        <v>45748</v>
      </c>
      <c r="F126" s="118">
        <v>45748</v>
      </c>
      <c r="G126" s="105" t="s">
        <v>112</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473</v>
      </c>
      <c r="N126" s="39" t="s">
        <v>474</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484</v>
      </c>
      <c r="V126" s="351" t="s">
        <v>476</v>
      </c>
      <c r="W126" s="338">
        <f>Table6[[#This Row],[Breakdown Time]]*(1/39)</f>
        <v>0.13846153846153844</v>
      </c>
      <c r="X126" s="336" t="s">
        <v>477</v>
      </c>
      <c r="Y126" s="352" t="s">
        <v>111</v>
      </c>
      <c r="Z126" s="105">
        <v>6772</v>
      </c>
      <c r="AA126" s="107">
        <v>1523.7</v>
      </c>
      <c r="AB126" s="105" t="s">
        <v>472</v>
      </c>
    </row>
    <row r="127" spans="1:28">
      <c r="A127" s="105">
        <f t="shared" si="1"/>
        <v>126</v>
      </c>
      <c r="B127" s="107">
        <f>YEAR(Table6[[#This Row],[Date]])+IF(MONTH(Table6[[#This Row],[Date]])&gt;=4,1,0)</f>
        <v>2026</v>
      </c>
      <c r="C127" s="105">
        <f>YEAR(Table6[[#This Row],[Date]])</f>
        <v>2025</v>
      </c>
      <c r="D127" s="105" t="s">
        <v>465</v>
      </c>
      <c r="E127" s="119">
        <f>Table6[[#This Row],[Date]]-DAY(Table6[[#This Row],[Date]])+1</f>
        <v>45748</v>
      </c>
      <c r="F127" s="118">
        <v>45748</v>
      </c>
      <c r="G127" s="105" t="s">
        <v>112</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473</v>
      </c>
      <c r="N127" s="39" t="s">
        <v>474</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484</v>
      </c>
      <c r="V127" s="351" t="s">
        <v>476</v>
      </c>
      <c r="W127" s="338">
        <f>Table6[[#This Row],[Breakdown Time]]*(1/39)</f>
        <v>1.1111111111111139E-2</v>
      </c>
      <c r="X127" s="336" t="s">
        <v>477</v>
      </c>
      <c r="Y127" s="352" t="s">
        <v>111</v>
      </c>
      <c r="Z127" s="105">
        <v>6772</v>
      </c>
      <c r="AA127" s="107">
        <v>122.27222222222255</v>
      </c>
      <c r="AB127" s="105" t="s">
        <v>472</v>
      </c>
    </row>
    <row r="128" spans="1:28">
      <c r="A128" s="105">
        <f t="shared" si="1"/>
        <v>127</v>
      </c>
      <c r="B128" s="107">
        <f>YEAR(Table6[[#This Row],[Date]])+IF(MONTH(Table6[[#This Row],[Date]])&gt;=4,1,0)</f>
        <v>2026</v>
      </c>
      <c r="C128" s="105">
        <f>YEAR(Table6[[#This Row],[Date]])</f>
        <v>2025</v>
      </c>
      <c r="D128" s="105" t="s">
        <v>465</v>
      </c>
      <c r="E128" s="119">
        <f>Table6[[#This Row],[Date]]-DAY(Table6[[#This Row],[Date]])+1</f>
        <v>45748</v>
      </c>
      <c r="F128" s="118">
        <v>45748</v>
      </c>
      <c r="G128" s="105" t="s">
        <v>112</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473</v>
      </c>
      <c r="N128" s="39" t="s">
        <v>474</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484</v>
      </c>
      <c r="V128" s="351" t="s">
        <v>476</v>
      </c>
      <c r="W128" s="338">
        <f>Table6[[#This Row],[Breakdown Time]]*(1/39)</f>
        <v>1.7521367521367529E-2</v>
      </c>
      <c r="X128" s="336" t="s">
        <v>477</v>
      </c>
      <c r="Y128" s="352" t="s">
        <v>111</v>
      </c>
      <c r="Z128" s="105">
        <v>6772</v>
      </c>
      <c r="AA128" s="107">
        <v>192.81388888888898</v>
      </c>
      <c r="AB128" s="105" t="s">
        <v>472</v>
      </c>
    </row>
    <row r="129" spans="1:28">
      <c r="A129" s="105">
        <f t="shared" si="1"/>
        <v>128</v>
      </c>
      <c r="B129" s="107">
        <f>YEAR(Table6[[#This Row],[Date]])+IF(MONTH(Table6[[#This Row],[Date]])&gt;=4,1,0)</f>
        <v>2026</v>
      </c>
      <c r="C129" s="105">
        <f>YEAR(Table6[[#This Row],[Date]])</f>
        <v>2025</v>
      </c>
      <c r="D129" s="105" t="s">
        <v>465</v>
      </c>
      <c r="E129" s="119">
        <f>Table6[[#This Row],[Date]]-DAY(Table6[[#This Row],[Date]])+1</f>
        <v>45748</v>
      </c>
      <c r="F129" s="118">
        <v>45749</v>
      </c>
      <c r="G129" s="105" t="s">
        <v>103</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466</v>
      </c>
      <c r="L129" s="39" t="str">
        <f>IFERROR(VLOOKUP(Table6[[#This Row],[Error Code]],'Basic Data'!$T:$U,2,0),"")</f>
        <v>Manual Stop - Safety Related</v>
      </c>
      <c r="M129" s="346" t="s">
        <v>467</v>
      </c>
      <c r="N129" s="39" t="s">
        <v>468</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469</v>
      </c>
      <c r="V129" s="351" t="s">
        <v>470</v>
      </c>
      <c r="W129" s="338">
        <f>Table6[[#This Row],[Breakdown Time]]*(1/39)</f>
        <v>0.61495726495726499</v>
      </c>
      <c r="X129" s="336" t="s">
        <v>486</v>
      </c>
      <c r="Y129" s="352" t="s">
        <v>100</v>
      </c>
      <c r="Z129" s="105">
        <v>10142</v>
      </c>
      <c r="AA129" s="107">
        <v>10134.956944444444</v>
      </c>
      <c r="AB129" s="105" t="s">
        <v>472</v>
      </c>
    </row>
    <row r="130" spans="1:28">
      <c r="A130" s="105">
        <f t="shared" si="1"/>
        <v>129</v>
      </c>
      <c r="B130" s="107">
        <f>YEAR(Table6[[#This Row],[Date]])+IF(MONTH(Table6[[#This Row],[Date]])&gt;=4,1,0)</f>
        <v>2026</v>
      </c>
      <c r="C130" s="105">
        <f>YEAR(Table6[[#This Row],[Date]])</f>
        <v>2025</v>
      </c>
      <c r="D130" s="105" t="s">
        <v>465</v>
      </c>
      <c r="E130" s="119">
        <f>Table6[[#This Row],[Date]]-DAY(Table6[[#This Row],[Date]])+1</f>
        <v>45748</v>
      </c>
      <c r="F130" s="118">
        <v>45749</v>
      </c>
      <c r="G130" s="105" t="s">
        <v>101</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466</v>
      </c>
      <c r="L130" s="39" t="str">
        <f>IFERROR(VLOOKUP(Table6[[#This Row],[Error Code]],'Basic Data'!$T:$U,2,0),"")</f>
        <v>Manual Stop - Safety Related</v>
      </c>
      <c r="M130" s="346" t="s">
        <v>467</v>
      </c>
      <c r="N130" s="39" t="s">
        <v>468</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469</v>
      </c>
      <c r="V130" s="351" t="s">
        <v>470</v>
      </c>
      <c r="W130" s="338">
        <f>Table6[[#This Row],[Breakdown Time]]*(1/39)</f>
        <v>0.61495726495726499</v>
      </c>
      <c r="X130" s="336" t="s">
        <v>486</v>
      </c>
      <c r="Y130" s="352" t="s">
        <v>100</v>
      </c>
      <c r="Z130" s="105">
        <v>10142</v>
      </c>
      <c r="AA130" s="107">
        <v>10134.956944444444</v>
      </c>
      <c r="AB130" s="105" t="s">
        <v>472</v>
      </c>
    </row>
    <row r="131" spans="1:28">
      <c r="A131" s="105">
        <f t="shared" si="1"/>
        <v>130</v>
      </c>
      <c r="B131" s="107">
        <f>YEAR(Table6[[#This Row],[Date]])+IF(MONTH(Table6[[#This Row],[Date]])&gt;=4,1,0)</f>
        <v>2026</v>
      </c>
      <c r="C131" s="105">
        <f>YEAR(Table6[[#This Row],[Date]])</f>
        <v>2025</v>
      </c>
      <c r="D131" s="105" t="s">
        <v>465</v>
      </c>
      <c r="E131" s="119">
        <f>Table6[[#This Row],[Date]]-DAY(Table6[[#This Row],[Date]])+1</f>
        <v>45748</v>
      </c>
      <c r="F131" s="118">
        <v>45749</v>
      </c>
      <c r="G131" s="105" t="s">
        <v>75</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473</v>
      </c>
      <c r="N131" s="39" t="s">
        <v>474</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502</v>
      </c>
      <c r="V131" s="351" t="s">
        <v>476</v>
      </c>
      <c r="W131" s="338">
        <f>Table6[[#This Row],[Breakdown Time]]*(1/39)</f>
        <v>8.3333333333333343E-2</v>
      </c>
      <c r="X131" s="336" t="s">
        <v>477</v>
      </c>
      <c r="Y131" s="352" t="s">
        <v>77</v>
      </c>
      <c r="Z131" s="105">
        <v>5956</v>
      </c>
      <c r="AA131" s="107">
        <v>806.54166666666674</v>
      </c>
      <c r="AB131" s="105" t="s">
        <v>472</v>
      </c>
    </row>
    <row r="132" spans="1:28">
      <c r="A132" s="105">
        <f t="shared" ref="A132:A195" si="2">A131+1</f>
        <v>131</v>
      </c>
      <c r="B132" s="107">
        <f>YEAR(Table6[[#This Row],[Date]])+IF(MONTH(Table6[[#This Row],[Date]])&gt;=4,1,0)</f>
        <v>2026</v>
      </c>
      <c r="C132" s="105">
        <f>YEAR(Table6[[#This Row],[Date]])</f>
        <v>2025</v>
      </c>
      <c r="D132" s="105" t="s">
        <v>465</v>
      </c>
      <c r="E132" s="119">
        <f>Table6[[#This Row],[Date]]-DAY(Table6[[#This Row],[Date]])+1</f>
        <v>45748</v>
      </c>
      <c r="F132" s="118">
        <v>45749</v>
      </c>
      <c r="G132" s="105" t="s">
        <v>77</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473</v>
      </c>
      <c r="N132" s="39" t="s">
        <v>474</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503</v>
      </c>
      <c r="V132" s="351" t="s">
        <v>476</v>
      </c>
      <c r="W132" s="338">
        <f>Table6[[#This Row],[Breakdown Time]]*(1/39)</f>
        <v>0.10982905982905984</v>
      </c>
      <c r="X132" s="336" t="s">
        <v>477</v>
      </c>
      <c r="Y132" s="352" t="s">
        <v>76</v>
      </c>
      <c r="Z132" s="105">
        <v>10570</v>
      </c>
      <c r="AA132" s="107">
        <v>1886.4513888888894</v>
      </c>
      <c r="AB132" s="105" t="s">
        <v>472</v>
      </c>
    </row>
    <row r="133" spans="1:28">
      <c r="A133" s="105">
        <f t="shared" si="2"/>
        <v>132</v>
      </c>
      <c r="B133" s="107">
        <f>YEAR(Table6[[#This Row],[Date]])+IF(MONTH(Table6[[#This Row],[Date]])&gt;=4,1,0)</f>
        <v>2026</v>
      </c>
      <c r="C133" s="105">
        <f>YEAR(Table6[[#This Row],[Date]])</f>
        <v>2025</v>
      </c>
      <c r="D133" s="105" t="s">
        <v>465</v>
      </c>
      <c r="E133" s="119">
        <f>Table6[[#This Row],[Date]]-DAY(Table6[[#This Row],[Date]])+1</f>
        <v>45748</v>
      </c>
      <c r="F133" s="118">
        <v>45749</v>
      </c>
      <c r="G133" s="105" t="s">
        <v>77</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473</v>
      </c>
      <c r="N133" s="39" t="s">
        <v>474</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475</v>
      </c>
      <c r="V133" s="351" t="s">
        <v>476</v>
      </c>
      <c r="W133" s="338">
        <f>Table6[[#This Row],[Breakdown Time]]*(1/39)</f>
        <v>8.9316239316239304E-2</v>
      </c>
      <c r="X133" s="336" t="s">
        <v>477</v>
      </c>
      <c r="Y133" s="352" t="s">
        <v>76</v>
      </c>
      <c r="Z133" s="105">
        <v>10570</v>
      </c>
      <c r="AA133" s="107">
        <v>1534.1180555555554</v>
      </c>
      <c r="AB133" s="105" t="s">
        <v>472</v>
      </c>
    </row>
    <row r="134" spans="1:28">
      <c r="A134" s="105">
        <f t="shared" si="2"/>
        <v>133</v>
      </c>
      <c r="B134" s="107">
        <f>YEAR(Table6[[#This Row],[Date]])+IF(MONTH(Table6[[#This Row],[Date]])&gt;=4,1,0)</f>
        <v>2026</v>
      </c>
      <c r="C134" s="105">
        <f>YEAR(Table6[[#This Row],[Date]])</f>
        <v>2025</v>
      </c>
      <c r="D134" s="105" t="s">
        <v>465</v>
      </c>
      <c r="E134" s="119">
        <f>Table6[[#This Row],[Date]]-DAY(Table6[[#This Row],[Date]])+1</f>
        <v>45748</v>
      </c>
      <c r="F134" s="118">
        <v>45749</v>
      </c>
      <c r="G134" s="105" t="s">
        <v>85</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473</v>
      </c>
      <c r="N134" s="39" t="s">
        <v>474</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478</v>
      </c>
      <c r="V134" s="351" t="s">
        <v>476</v>
      </c>
      <c r="W134" s="338">
        <f>Table6[[#This Row],[Breakdown Time]]*(1/39)</f>
        <v>8.547008547008534E-3</v>
      </c>
      <c r="X134" s="336" t="s">
        <v>477</v>
      </c>
      <c r="Y134" s="352" t="s">
        <v>86</v>
      </c>
      <c r="Z134" s="105">
        <v>11088</v>
      </c>
      <c r="AA134" s="107">
        <v>153.99999999999977</v>
      </c>
      <c r="AB134" s="105" t="s">
        <v>472</v>
      </c>
    </row>
    <row r="135" spans="1:28">
      <c r="A135" s="105">
        <f t="shared" si="2"/>
        <v>134</v>
      </c>
      <c r="B135" s="107">
        <f>YEAR(Table6[[#This Row],[Date]])+IF(MONTH(Table6[[#This Row],[Date]])&gt;=4,1,0)</f>
        <v>2026</v>
      </c>
      <c r="C135" s="105">
        <f>YEAR(Table6[[#This Row],[Date]])</f>
        <v>2025</v>
      </c>
      <c r="D135" s="105" t="s">
        <v>465</v>
      </c>
      <c r="E135" s="119">
        <f>Table6[[#This Row],[Date]]-DAY(Table6[[#This Row],[Date]])+1</f>
        <v>45748</v>
      </c>
      <c r="F135" s="118">
        <v>45749</v>
      </c>
      <c r="G135" s="105" t="s">
        <v>85</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473</v>
      </c>
      <c r="N135" s="39" t="s">
        <v>474</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475</v>
      </c>
      <c r="V135" s="351" t="s">
        <v>476</v>
      </c>
      <c r="W135" s="338">
        <f>Table6[[#This Row],[Breakdown Time]]*(1/39)</f>
        <v>4.7008547008546842E-3</v>
      </c>
      <c r="X135" s="336" t="s">
        <v>477</v>
      </c>
      <c r="Y135" s="352" t="s">
        <v>86</v>
      </c>
      <c r="Z135" s="105">
        <v>11088</v>
      </c>
      <c r="AA135" s="107">
        <v>84.699999999999704</v>
      </c>
      <c r="AB135" s="105" t="s">
        <v>472</v>
      </c>
    </row>
    <row r="136" spans="1:28">
      <c r="A136" s="105">
        <f t="shared" si="2"/>
        <v>135</v>
      </c>
      <c r="B136" s="107">
        <f>YEAR(Table6[[#This Row],[Date]])+IF(MONTH(Table6[[#This Row],[Date]])&gt;=4,1,0)</f>
        <v>2026</v>
      </c>
      <c r="C136" s="105">
        <f>YEAR(Table6[[#This Row],[Date]])</f>
        <v>2025</v>
      </c>
      <c r="D136" s="105" t="s">
        <v>465</v>
      </c>
      <c r="E136" s="119">
        <f>Table6[[#This Row],[Date]]-DAY(Table6[[#This Row],[Date]])+1</f>
        <v>45748</v>
      </c>
      <c r="F136" s="118">
        <v>45749</v>
      </c>
      <c r="G136" s="105" t="s">
        <v>86</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473</v>
      </c>
      <c r="N136" s="39" t="s">
        <v>474</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504</v>
      </c>
      <c r="V136" s="351" t="s">
        <v>476</v>
      </c>
      <c r="W136" s="338">
        <f>Table6[[#This Row],[Breakdown Time]]*(1/39)</f>
        <v>3.8034188034188024E-2</v>
      </c>
      <c r="X136" s="336" t="s">
        <v>477</v>
      </c>
      <c r="Y136" s="352" t="s">
        <v>87</v>
      </c>
      <c r="Z136" s="105">
        <v>12636</v>
      </c>
      <c r="AA136" s="107">
        <v>780.9749999999998</v>
      </c>
      <c r="AB136" s="105" t="s">
        <v>472</v>
      </c>
    </row>
    <row r="137" spans="1:28">
      <c r="A137" s="105">
        <f t="shared" si="2"/>
        <v>136</v>
      </c>
      <c r="B137" s="107">
        <f>YEAR(Table6[[#This Row],[Date]])+IF(MONTH(Table6[[#This Row],[Date]])&gt;=4,1,0)</f>
        <v>2026</v>
      </c>
      <c r="C137" s="105">
        <f>YEAR(Table6[[#This Row],[Date]])</f>
        <v>2025</v>
      </c>
      <c r="D137" s="105" t="s">
        <v>465</v>
      </c>
      <c r="E137" s="119">
        <f>Table6[[#This Row],[Date]]-DAY(Table6[[#This Row],[Date]])+1</f>
        <v>45748</v>
      </c>
      <c r="F137" s="118">
        <v>45749</v>
      </c>
      <c r="G137" s="105" t="s">
        <v>86</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473</v>
      </c>
      <c r="N137" s="39" t="s">
        <v>474</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478</v>
      </c>
      <c r="V137" s="351" t="s">
        <v>476</v>
      </c>
      <c r="W137" s="338">
        <f>Table6[[#This Row],[Breakdown Time]]*(1/39)</f>
        <v>2.1367521367521292E-3</v>
      </c>
      <c r="X137" s="336" t="s">
        <v>477</v>
      </c>
      <c r="Y137" s="352" t="s">
        <v>87</v>
      </c>
      <c r="Z137" s="105">
        <v>12636</v>
      </c>
      <c r="AA137" s="107">
        <v>43.874999999999844</v>
      </c>
      <c r="AB137" s="105" t="s">
        <v>472</v>
      </c>
    </row>
    <row r="138" spans="1:28">
      <c r="A138" s="105">
        <f t="shared" si="2"/>
        <v>137</v>
      </c>
      <c r="B138" s="107">
        <f>YEAR(Table6[[#This Row],[Date]])+IF(MONTH(Table6[[#This Row],[Date]])&gt;=4,1,0)</f>
        <v>2026</v>
      </c>
      <c r="C138" s="105">
        <f>YEAR(Table6[[#This Row],[Date]])</f>
        <v>2025</v>
      </c>
      <c r="D138" s="105" t="s">
        <v>465</v>
      </c>
      <c r="E138" s="119">
        <f>Table6[[#This Row],[Date]]-DAY(Table6[[#This Row],[Date]])+1</f>
        <v>45748</v>
      </c>
      <c r="F138" s="118">
        <v>45749</v>
      </c>
      <c r="G138" s="105" t="s">
        <v>86</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473</v>
      </c>
      <c r="N138" s="39" t="s">
        <v>474</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478</v>
      </c>
      <c r="V138" s="351" t="s">
        <v>476</v>
      </c>
      <c r="W138" s="338">
        <f>Table6[[#This Row],[Breakdown Time]]*(1/39)</f>
        <v>2.1367521367521292E-3</v>
      </c>
      <c r="X138" s="336" t="s">
        <v>477</v>
      </c>
      <c r="Y138" s="352" t="s">
        <v>87</v>
      </c>
      <c r="Z138" s="105">
        <v>12636</v>
      </c>
      <c r="AA138" s="107">
        <v>43.874999999999844</v>
      </c>
      <c r="AB138" s="105" t="s">
        <v>472</v>
      </c>
    </row>
    <row r="139" spans="1:28">
      <c r="A139" s="105">
        <f t="shared" si="2"/>
        <v>138</v>
      </c>
      <c r="B139" s="107">
        <f>YEAR(Table6[[#This Row],[Date]])+IF(MONTH(Table6[[#This Row],[Date]])&gt;=4,1,0)</f>
        <v>2026</v>
      </c>
      <c r="C139" s="105">
        <f>YEAR(Table6[[#This Row],[Date]])</f>
        <v>2025</v>
      </c>
      <c r="D139" s="105" t="s">
        <v>465</v>
      </c>
      <c r="E139" s="119">
        <f>Table6[[#This Row],[Date]]-DAY(Table6[[#This Row],[Date]])+1</f>
        <v>45748</v>
      </c>
      <c r="F139" s="118">
        <v>45749</v>
      </c>
      <c r="G139" s="105" t="s">
        <v>86</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473</v>
      </c>
      <c r="N139" s="39" t="s">
        <v>474</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478</v>
      </c>
      <c r="V139" s="351" t="s">
        <v>476</v>
      </c>
      <c r="W139" s="338">
        <f>Table6[[#This Row],[Breakdown Time]]*(1/39)</f>
        <v>2.1367521367521292E-3</v>
      </c>
      <c r="X139" s="336" t="s">
        <v>477</v>
      </c>
      <c r="Y139" s="352" t="s">
        <v>87</v>
      </c>
      <c r="Z139" s="105">
        <v>12636</v>
      </c>
      <c r="AA139" s="107">
        <v>43.874999999999844</v>
      </c>
      <c r="AB139" s="105" t="s">
        <v>472</v>
      </c>
    </row>
    <row r="140" spans="1:28">
      <c r="A140" s="105">
        <f t="shared" si="2"/>
        <v>139</v>
      </c>
      <c r="B140" s="107">
        <f>YEAR(Table6[[#This Row],[Date]])+IF(MONTH(Table6[[#This Row],[Date]])&gt;=4,1,0)</f>
        <v>2026</v>
      </c>
      <c r="C140" s="105">
        <f>YEAR(Table6[[#This Row],[Date]])</f>
        <v>2025</v>
      </c>
      <c r="D140" s="105" t="s">
        <v>465</v>
      </c>
      <c r="E140" s="119">
        <f>Table6[[#This Row],[Date]]-DAY(Table6[[#This Row],[Date]])+1</f>
        <v>45748</v>
      </c>
      <c r="F140" s="118">
        <v>45749</v>
      </c>
      <c r="G140" s="105" t="s">
        <v>86</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473</v>
      </c>
      <c r="N140" s="39" t="s">
        <v>474</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475</v>
      </c>
      <c r="V140" s="351" t="s">
        <v>476</v>
      </c>
      <c r="W140" s="338">
        <f>Table6[[#This Row],[Breakdown Time]]*(1/39)</f>
        <v>1.0683760683760679E-2</v>
      </c>
      <c r="X140" s="336" t="s">
        <v>477</v>
      </c>
      <c r="Y140" s="352" t="s">
        <v>87</v>
      </c>
      <c r="Z140" s="105">
        <v>12636</v>
      </c>
      <c r="AA140" s="107">
        <v>219.37499999999991</v>
      </c>
      <c r="AB140" s="105" t="s">
        <v>472</v>
      </c>
    </row>
    <row r="141" spans="1:28">
      <c r="A141" s="105">
        <f t="shared" si="2"/>
        <v>140</v>
      </c>
      <c r="B141" s="107">
        <f>YEAR(Table6[[#This Row],[Date]])+IF(MONTH(Table6[[#This Row],[Date]])&gt;=4,1,0)</f>
        <v>2026</v>
      </c>
      <c r="C141" s="105">
        <f>YEAR(Table6[[#This Row],[Date]])</f>
        <v>2025</v>
      </c>
      <c r="D141" s="105" t="s">
        <v>465</v>
      </c>
      <c r="E141" s="119">
        <f>Table6[[#This Row],[Date]]-DAY(Table6[[#This Row],[Date]])+1</f>
        <v>45748</v>
      </c>
      <c r="F141" s="118">
        <v>45749</v>
      </c>
      <c r="G141" s="105" t="s">
        <v>86</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473</v>
      </c>
      <c r="N141" s="39" t="s">
        <v>474</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478</v>
      </c>
      <c r="V141" s="351" t="s">
        <v>476</v>
      </c>
      <c r="W141" s="338">
        <f>Table6[[#This Row],[Breakdown Time]]*(1/39)</f>
        <v>2.1367521367521634E-3</v>
      </c>
      <c r="X141" s="336" t="s">
        <v>477</v>
      </c>
      <c r="Y141" s="352" t="s">
        <v>87</v>
      </c>
      <c r="Z141" s="105">
        <v>12636</v>
      </c>
      <c r="AA141" s="107">
        <v>43.875000000000547</v>
      </c>
      <c r="AB141" s="105" t="s">
        <v>472</v>
      </c>
    </row>
    <row r="142" spans="1:28">
      <c r="A142" s="105">
        <f t="shared" si="2"/>
        <v>141</v>
      </c>
      <c r="B142" s="107">
        <f>YEAR(Table6[[#This Row],[Date]])+IF(MONTH(Table6[[#This Row],[Date]])&gt;=4,1,0)</f>
        <v>2026</v>
      </c>
      <c r="C142" s="105">
        <f>YEAR(Table6[[#This Row],[Date]])</f>
        <v>2025</v>
      </c>
      <c r="D142" s="105" t="s">
        <v>465</v>
      </c>
      <c r="E142" s="119">
        <f>Table6[[#This Row],[Date]]-DAY(Table6[[#This Row],[Date]])+1</f>
        <v>45748</v>
      </c>
      <c r="F142" s="118">
        <v>45749</v>
      </c>
      <c r="G142" s="105" t="s">
        <v>86</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473</v>
      </c>
      <c r="N142" s="39" t="s">
        <v>474</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478</v>
      </c>
      <c r="V142" s="351" t="s">
        <v>476</v>
      </c>
      <c r="W142" s="338">
        <f>Table6[[#This Row],[Breakdown Time]]*(1/39)</f>
        <v>2.1367521367521634E-3</v>
      </c>
      <c r="X142" s="336" t="s">
        <v>477</v>
      </c>
      <c r="Y142" s="352" t="s">
        <v>87</v>
      </c>
      <c r="Z142" s="105">
        <v>12636</v>
      </c>
      <c r="AA142" s="107">
        <v>43.875000000000547</v>
      </c>
      <c r="AB142" s="105" t="s">
        <v>472</v>
      </c>
    </row>
    <row r="143" spans="1:28">
      <c r="A143" s="105">
        <f t="shared" si="2"/>
        <v>142</v>
      </c>
      <c r="B143" s="107">
        <f>YEAR(Table6[[#This Row],[Date]])+IF(MONTH(Table6[[#This Row],[Date]])&gt;=4,1,0)</f>
        <v>2026</v>
      </c>
      <c r="C143" s="105">
        <f>YEAR(Table6[[#This Row],[Date]])</f>
        <v>2025</v>
      </c>
      <c r="D143" s="105" t="s">
        <v>465</v>
      </c>
      <c r="E143" s="119">
        <f>Table6[[#This Row],[Date]]-DAY(Table6[[#This Row],[Date]])+1</f>
        <v>45748</v>
      </c>
      <c r="F143" s="118">
        <v>45749</v>
      </c>
      <c r="G143" s="105" t="s">
        <v>87</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473</v>
      </c>
      <c r="N143" s="39" t="s">
        <v>474</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475</v>
      </c>
      <c r="V143" s="351" t="s">
        <v>476</v>
      </c>
      <c r="W143" s="338">
        <f>Table6[[#This Row],[Breakdown Time]]*(1/39)</f>
        <v>5.9401709401709406E-2</v>
      </c>
      <c r="X143" s="336" t="s">
        <v>477</v>
      </c>
      <c r="Y143" s="352" t="s">
        <v>88</v>
      </c>
      <c r="Z143" s="105">
        <v>14796</v>
      </c>
      <c r="AA143" s="107">
        <v>1428.2250000000001</v>
      </c>
      <c r="AB143" s="105" t="s">
        <v>472</v>
      </c>
    </row>
    <row r="144" spans="1:28">
      <c r="A144" s="105">
        <f t="shared" si="2"/>
        <v>143</v>
      </c>
      <c r="B144" s="107">
        <f>YEAR(Table6[[#This Row],[Date]])+IF(MONTH(Table6[[#This Row],[Date]])&gt;=4,1,0)</f>
        <v>2026</v>
      </c>
      <c r="C144" s="105">
        <f>YEAR(Table6[[#This Row],[Date]])</f>
        <v>2025</v>
      </c>
      <c r="D144" s="105" t="s">
        <v>465</v>
      </c>
      <c r="E144" s="119">
        <f>Table6[[#This Row],[Date]]-DAY(Table6[[#This Row],[Date]])+1</f>
        <v>45748</v>
      </c>
      <c r="F144" s="118">
        <v>45749</v>
      </c>
      <c r="G144" s="105" t="s">
        <v>89</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473</v>
      </c>
      <c r="N144" s="39" t="s">
        <v>474</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484</v>
      </c>
      <c r="V144" s="351" t="s">
        <v>476</v>
      </c>
      <c r="W144" s="338">
        <f>Table6[[#This Row],[Breakdown Time]]*(1/39)</f>
        <v>1.1965811965811965E-2</v>
      </c>
      <c r="X144" s="336" t="s">
        <v>477</v>
      </c>
      <c r="Y144" s="352" t="s">
        <v>90</v>
      </c>
      <c r="Z144" s="105">
        <v>15820</v>
      </c>
      <c r="AA144" s="107">
        <v>307.61111111111109</v>
      </c>
      <c r="AB144" s="105" t="s">
        <v>472</v>
      </c>
    </row>
    <row r="145" spans="1:28">
      <c r="A145" s="105">
        <f t="shared" si="2"/>
        <v>144</v>
      </c>
      <c r="B145" s="107">
        <f>YEAR(Table6[[#This Row],[Date]])+IF(MONTH(Table6[[#This Row],[Date]])&gt;=4,1,0)</f>
        <v>2026</v>
      </c>
      <c r="C145" s="105">
        <f>YEAR(Table6[[#This Row],[Date]])</f>
        <v>2025</v>
      </c>
      <c r="D145" s="105" t="s">
        <v>465</v>
      </c>
      <c r="E145" s="119">
        <f>Table6[[#This Row],[Date]]-DAY(Table6[[#This Row],[Date]])+1</f>
        <v>45748</v>
      </c>
      <c r="F145" s="118">
        <v>45749</v>
      </c>
      <c r="G145" s="105" t="s">
        <v>89</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473</v>
      </c>
      <c r="N145" s="39" t="s">
        <v>474</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475</v>
      </c>
      <c r="V145" s="351" t="s">
        <v>476</v>
      </c>
      <c r="W145" s="338">
        <f>Table6[[#This Row],[Breakdown Time]]*(1/39)</f>
        <v>0.14700854700854699</v>
      </c>
      <c r="X145" s="336" t="s">
        <v>477</v>
      </c>
      <c r="Y145" s="352" t="s">
        <v>90</v>
      </c>
      <c r="Z145" s="105">
        <v>15820</v>
      </c>
      <c r="AA145" s="107">
        <v>3779.2222222222213</v>
      </c>
      <c r="AB145" s="105" t="s">
        <v>472</v>
      </c>
    </row>
    <row r="146" spans="1:28">
      <c r="A146" s="105">
        <f t="shared" si="2"/>
        <v>145</v>
      </c>
      <c r="B146" s="107">
        <f>YEAR(Table6[[#This Row],[Date]])+IF(MONTH(Table6[[#This Row],[Date]])&gt;=4,1,0)</f>
        <v>2026</v>
      </c>
      <c r="C146" s="105">
        <f>YEAR(Table6[[#This Row],[Date]])</f>
        <v>2025</v>
      </c>
      <c r="D146" s="105" t="s">
        <v>465</v>
      </c>
      <c r="E146" s="119">
        <f>Table6[[#This Row],[Date]]-DAY(Table6[[#This Row],[Date]])+1</f>
        <v>45748</v>
      </c>
      <c r="F146" s="118">
        <v>45749</v>
      </c>
      <c r="G146" s="105" t="s">
        <v>89</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473</v>
      </c>
      <c r="N146" s="39" t="s">
        <v>474</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475</v>
      </c>
      <c r="V146" s="351" t="s">
        <v>476</v>
      </c>
      <c r="W146" s="338">
        <f>Table6[[#This Row],[Breakdown Time]]*(1/39)</f>
        <v>7.1794871794871776E-2</v>
      </c>
      <c r="X146" s="336" t="s">
        <v>477</v>
      </c>
      <c r="Y146" s="352" t="s">
        <v>90</v>
      </c>
      <c r="Z146" s="105">
        <v>15820</v>
      </c>
      <c r="AA146" s="107">
        <v>1845.6666666666661</v>
      </c>
      <c r="AB146" s="105" t="s">
        <v>472</v>
      </c>
    </row>
    <row r="147" spans="1:28">
      <c r="A147" s="105">
        <f t="shared" si="2"/>
        <v>146</v>
      </c>
      <c r="B147" s="107">
        <f>YEAR(Table6[[#This Row],[Date]])+IF(MONTH(Table6[[#This Row],[Date]])&gt;=4,1,0)</f>
        <v>2026</v>
      </c>
      <c r="C147" s="105">
        <f>YEAR(Table6[[#This Row],[Date]])</f>
        <v>2025</v>
      </c>
      <c r="D147" s="105" t="s">
        <v>465</v>
      </c>
      <c r="E147" s="119">
        <f>Table6[[#This Row],[Date]]-DAY(Table6[[#This Row],[Date]])+1</f>
        <v>45748</v>
      </c>
      <c r="F147" s="118">
        <v>45749</v>
      </c>
      <c r="G147" s="105" t="s">
        <v>90</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473</v>
      </c>
      <c r="N147" s="39" t="s">
        <v>474</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484</v>
      </c>
      <c r="V147" s="351" t="s">
        <v>476</v>
      </c>
      <c r="W147" s="338">
        <f>Table6[[#This Row],[Breakdown Time]]*(1/39)</f>
        <v>2.6068376068376066E-2</v>
      </c>
      <c r="X147" s="336" t="s">
        <v>477</v>
      </c>
      <c r="Y147" s="352" t="s">
        <v>89</v>
      </c>
      <c r="Z147" s="105">
        <v>7036</v>
      </c>
      <c r="AA147" s="107">
        <v>298.05277777777781</v>
      </c>
      <c r="AB147" s="105" t="s">
        <v>472</v>
      </c>
    </row>
    <row r="148" spans="1:28">
      <c r="A148" s="105">
        <f t="shared" si="2"/>
        <v>147</v>
      </c>
      <c r="B148" s="107">
        <f>YEAR(Table6[[#This Row],[Date]])+IF(MONTH(Table6[[#This Row],[Date]])&gt;=4,1,0)</f>
        <v>2026</v>
      </c>
      <c r="C148" s="105">
        <f>YEAR(Table6[[#This Row],[Date]])</f>
        <v>2025</v>
      </c>
      <c r="D148" s="105" t="s">
        <v>465</v>
      </c>
      <c r="E148" s="119">
        <f>Table6[[#This Row],[Date]]-DAY(Table6[[#This Row],[Date]])+1</f>
        <v>45748</v>
      </c>
      <c r="F148" s="118">
        <v>45749</v>
      </c>
      <c r="G148" s="105" t="s">
        <v>90</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473</v>
      </c>
      <c r="N148" s="39" t="s">
        <v>474</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478</v>
      </c>
      <c r="V148" s="351" t="s">
        <v>476</v>
      </c>
      <c r="W148" s="338">
        <f>Table6[[#This Row],[Breakdown Time]]*(1/39)</f>
        <v>2.1367521367521292E-3</v>
      </c>
      <c r="X148" s="336" t="s">
        <v>477</v>
      </c>
      <c r="Y148" s="352" t="s">
        <v>89</v>
      </c>
      <c r="Z148" s="105">
        <v>7036</v>
      </c>
      <c r="AA148" s="107">
        <v>24.430555555555472</v>
      </c>
      <c r="AB148" s="105" t="s">
        <v>472</v>
      </c>
    </row>
    <row r="149" spans="1:28">
      <c r="A149" s="105">
        <f t="shared" si="2"/>
        <v>148</v>
      </c>
      <c r="B149" s="107">
        <f>YEAR(Table6[[#This Row],[Date]])+IF(MONTH(Table6[[#This Row],[Date]])&gt;=4,1,0)</f>
        <v>2026</v>
      </c>
      <c r="C149" s="105">
        <f>YEAR(Table6[[#This Row],[Date]])</f>
        <v>2025</v>
      </c>
      <c r="D149" s="105" t="s">
        <v>465</v>
      </c>
      <c r="E149" s="119">
        <f>Table6[[#This Row],[Date]]-DAY(Table6[[#This Row],[Date]])+1</f>
        <v>45748</v>
      </c>
      <c r="F149" s="118">
        <v>45749</v>
      </c>
      <c r="G149" s="105" t="s">
        <v>91</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473</v>
      </c>
      <c r="N149" s="39" t="s">
        <v>474</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478</v>
      </c>
      <c r="V149" s="351" t="s">
        <v>476</v>
      </c>
      <c r="W149" s="338">
        <f>Table6[[#This Row],[Breakdown Time]]*(1/39)</f>
        <v>2.1367521367521292E-3</v>
      </c>
      <c r="X149" s="336" t="s">
        <v>477</v>
      </c>
      <c r="Y149" s="352" t="s">
        <v>92</v>
      </c>
      <c r="Z149" s="105">
        <v>17394</v>
      </c>
      <c r="AA149" s="107">
        <v>60.395833333333115</v>
      </c>
      <c r="AB149" s="105" t="s">
        <v>472</v>
      </c>
    </row>
    <row r="150" spans="1:28">
      <c r="A150" s="105">
        <f t="shared" si="2"/>
        <v>149</v>
      </c>
      <c r="B150" s="107">
        <f>YEAR(Table6[[#This Row],[Date]])+IF(MONTH(Table6[[#This Row],[Date]])&gt;=4,1,0)</f>
        <v>2026</v>
      </c>
      <c r="C150" s="105">
        <f>YEAR(Table6[[#This Row],[Date]])</f>
        <v>2025</v>
      </c>
      <c r="D150" s="105" t="s">
        <v>465</v>
      </c>
      <c r="E150" s="119">
        <f>Table6[[#This Row],[Date]]-DAY(Table6[[#This Row],[Date]])+1</f>
        <v>45748</v>
      </c>
      <c r="F150" s="118">
        <v>45749</v>
      </c>
      <c r="G150" s="105" t="s">
        <v>95</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473</v>
      </c>
      <c r="N150" s="39" t="s">
        <v>474</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505</v>
      </c>
      <c r="V150" s="351" t="s">
        <v>476</v>
      </c>
      <c r="W150" s="338">
        <f>Table6[[#This Row],[Breakdown Time]]*(1/39)</f>
        <v>0.27948717948717949</v>
      </c>
      <c r="X150" s="336" t="s">
        <v>477</v>
      </c>
      <c r="Y150" s="352" t="s">
        <v>78</v>
      </c>
      <c r="Z150" s="105">
        <v>11540</v>
      </c>
      <c r="AA150" s="107">
        <v>5241.083333333333</v>
      </c>
      <c r="AB150" s="105" t="s">
        <v>472</v>
      </c>
    </row>
    <row r="151" spans="1:28">
      <c r="A151" s="105">
        <f t="shared" si="2"/>
        <v>150</v>
      </c>
      <c r="B151" s="107">
        <f>YEAR(Table6[[#This Row],[Date]])+IF(MONTH(Table6[[#This Row],[Date]])&gt;=4,1,0)</f>
        <v>2026</v>
      </c>
      <c r="C151" s="105">
        <f>YEAR(Table6[[#This Row],[Date]])</f>
        <v>2025</v>
      </c>
      <c r="D151" s="105" t="s">
        <v>465</v>
      </c>
      <c r="E151" s="119">
        <f>Table6[[#This Row],[Date]]-DAY(Table6[[#This Row],[Date]])+1</f>
        <v>45748</v>
      </c>
      <c r="F151" s="118">
        <v>45749</v>
      </c>
      <c r="G151" s="105" t="s">
        <v>95</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473</v>
      </c>
      <c r="N151" s="39" t="s">
        <v>474</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478</v>
      </c>
      <c r="V151" s="351" t="s">
        <v>476</v>
      </c>
      <c r="W151" s="338">
        <f>Table6[[#This Row],[Breakdown Time]]*(1/39)</f>
        <v>4.2735042735043268E-3</v>
      </c>
      <c r="X151" s="336" t="s">
        <v>477</v>
      </c>
      <c r="Y151" s="352" t="s">
        <v>78</v>
      </c>
      <c r="Z151" s="105">
        <v>11540</v>
      </c>
      <c r="AA151" s="107">
        <v>80.13888888888988</v>
      </c>
      <c r="AB151" s="105" t="s">
        <v>472</v>
      </c>
    </row>
    <row r="152" spans="1:28">
      <c r="A152" s="105">
        <f t="shared" si="2"/>
        <v>151</v>
      </c>
      <c r="B152" s="107">
        <f>YEAR(Table6[[#This Row],[Date]])+IF(MONTH(Table6[[#This Row],[Date]])&gt;=4,1,0)</f>
        <v>2026</v>
      </c>
      <c r="C152" s="105">
        <f>YEAR(Table6[[#This Row],[Date]])</f>
        <v>2025</v>
      </c>
      <c r="D152" s="105" t="s">
        <v>465</v>
      </c>
      <c r="E152" s="119">
        <f>Table6[[#This Row],[Date]]-DAY(Table6[[#This Row],[Date]])+1</f>
        <v>45748</v>
      </c>
      <c r="F152" s="118">
        <v>45749</v>
      </c>
      <c r="G152" s="105" t="s">
        <v>95</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473</v>
      </c>
      <c r="N152" s="39" t="s">
        <v>474</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475</v>
      </c>
      <c r="V152" s="351" t="s">
        <v>476</v>
      </c>
      <c r="W152" s="338">
        <f>Table6[[#This Row],[Breakdown Time]]*(1/39)</f>
        <v>2.9914529914529944E-2</v>
      </c>
      <c r="X152" s="336" t="s">
        <v>477</v>
      </c>
      <c r="Y152" s="352" t="s">
        <v>78</v>
      </c>
      <c r="Z152" s="105">
        <v>11540</v>
      </c>
      <c r="AA152" s="107">
        <v>560.97222222222274</v>
      </c>
      <c r="AB152" s="105" t="s">
        <v>472</v>
      </c>
    </row>
    <row r="153" spans="1:28">
      <c r="A153" s="105">
        <f t="shared" si="2"/>
        <v>152</v>
      </c>
      <c r="B153" s="107">
        <f>YEAR(Table6[[#This Row],[Date]])+IF(MONTH(Table6[[#This Row],[Date]])&gt;=4,1,0)</f>
        <v>2026</v>
      </c>
      <c r="C153" s="105">
        <f>YEAR(Table6[[#This Row],[Date]])</f>
        <v>2025</v>
      </c>
      <c r="D153" s="105" t="s">
        <v>465</v>
      </c>
      <c r="E153" s="119">
        <f>Table6[[#This Row],[Date]]-DAY(Table6[[#This Row],[Date]])+1</f>
        <v>45748</v>
      </c>
      <c r="F153" s="118">
        <v>45749</v>
      </c>
      <c r="G153" s="105" t="s">
        <v>95</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466</v>
      </c>
      <c r="L153" s="39" t="str">
        <f>IFERROR(VLOOKUP(Table6[[#This Row],[Error Code]],'Basic Data'!$T:$U,2,0),"")</f>
        <v>Manual Stop - Safety Related</v>
      </c>
      <c r="M153" s="346" t="s">
        <v>467</v>
      </c>
      <c r="N153" s="39" t="s">
        <v>189</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506</v>
      </c>
      <c r="V153" s="351" t="s">
        <v>476</v>
      </c>
      <c r="W153" s="338">
        <f>Table6[[#This Row],[Breakdown Time]]*(1/39)</f>
        <v>7.8205128205128191E-2</v>
      </c>
      <c r="X153" s="336" t="s">
        <v>486</v>
      </c>
      <c r="Y153" s="352" t="s">
        <v>78</v>
      </c>
      <c r="Z153" s="105">
        <v>11540</v>
      </c>
      <c r="AA153" s="107">
        <v>1466.5416666666665</v>
      </c>
      <c r="AB153" s="105" t="s">
        <v>472</v>
      </c>
    </row>
    <row r="154" spans="1:28">
      <c r="A154" s="105">
        <f t="shared" si="2"/>
        <v>153</v>
      </c>
      <c r="B154" s="107">
        <f>YEAR(Table6[[#This Row],[Date]])+IF(MONTH(Table6[[#This Row],[Date]])&gt;=4,1,0)</f>
        <v>2026</v>
      </c>
      <c r="C154" s="105">
        <f>YEAR(Table6[[#This Row],[Date]])</f>
        <v>2025</v>
      </c>
      <c r="D154" s="105" t="s">
        <v>465</v>
      </c>
      <c r="E154" s="119">
        <f>Table6[[#This Row],[Date]]-DAY(Table6[[#This Row],[Date]])+1</f>
        <v>45748</v>
      </c>
      <c r="F154" s="118">
        <v>45749</v>
      </c>
      <c r="G154" s="105" t="s">
        <v>95</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473</v>
      </c>
      <c r="N154" s="39" t="s">
        <v>474</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484</v>
      </c>
      <c r="V154" s="351" t="s">
        <v>476</v>
      </c>
      <c r="W154" s="338">
        <f>Table6[[#This Row],[Breakdown Time]]*(1/39)</f>
        <v>9.4871794871794868E-2</v>
      </c>
      <c r="X154" s="336" t="s">
        <v>477</v>
      </c>
      <c r="Y154" s="352" t="s">
        <v>78</v>
      </c>
      <c r="Z154" s="105">
        <v>11540</v>
      </c>
      <c r="AA154" s="107">
        <v>1779.0833333333333</v>
      </c>
      <c r="AB154" s="105" t="s">
        <v>472</v>
      </c>
    </row>
    <row r="155" spans="1:28">
      <c r="A155" s="105">
        <f t="shared" si="2"/>
        <v>154</v>
      </c>
      <c r="B155" s="107">
        <f>YEAR(Table6[[#This Row],[Date]])+IF(MONTH(Table6[[#This Row],[Date]])&gt;=4,1,0)</f>
        <v>2026</v>
      </c>
      <c r="C155" s="105">
        <f>YEAR(Table6[[#This Row],[Date]])</f>
        <v>2025</v>
      </c>
      <c r="D155" s="105" t="s">
        <v>465</v>
      </c>
      <c r="E155" s="119">
        <f>Table6[[#This Row],[Date]]-DAY(Table6[[#This Row],[Date]])+1</f>
        <v>45748</v>
      </c>
      <c r="F155" s="118">
        <v>45749</v>
      </c>
      <c r="G155" s="105" t="s">
        <v>98</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473</v>
      </c>
      <c r="N155" s="39" t="s">
        <v>474</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478</v>
      </c>
      <c r="V155" s="351" t="s">
        <v>476</v>
      </c>
      <c r="W155" s="338">
        <f>Table6[[#This Row],[Breakdown Time]]*(1/39)</f>
        <v>2.1367521367521292E-3</v>
      </c>
      <c r="X155" s="336" t="s">
        <v>477</v>
      </c>
      <c r="Y155" s="352" t="s">
        <v>104</v>
      </c>
      <c r="Z155" s="105">
        <v>2722</v>
      </c>
      <c r="AA155" s="107">
        <v>9.4513888888888555</v>
      </c>
      <c r="AB155" s="105" t="s">
        <v>472</v>
      </c>
    </row>
    <row r="156" spans="1:28">
      <c r="A156" s="105">
        <f t="shared" si="2"/>
        <v>155</v>
      </c>
      <c r="B156" s="107">
        <f>YEAR(Table6[[#This Row],[Date]])+IF(MONTH(Table6[[#This Row],[Date]])&gt;=4,1,0)</f>
        <v>2026</v>
      </c>
      <c r="C156" s="105">
        <f>YEAR(Table6[[#This Row],[Date]])</f>
        <v>2025</v>
      </c>
      <c r="D156" s="105" t="s">
        <v>465</v>
      </c>
      <c r="E156" s="119">
        <f>Table6[[#This Row],[Date]]-DAY(Table6[[#This Row],[Date]])+1</f>
        <v>45748</v>
      </c>
      <c r="F156" s="118">
        <v>45749</v>
      </c>
      <c r="G156" s="105" t="s">
        <v>98</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473</v>
      </c>
      <c r="N156" s="39" t="s">
        <v>474</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478</v>
      </c>
      <c r="V156" s="351" t="s">
        <v>476</v>
      </c>
      <c r="W156" s="338">
        <f>Table6[[#This Row],[Breakdown Time]]*(1/39)</f>
        <v>2.1367521367521292E-3</v>
      </c>
      <c r="X156" s="336" t="s">
        <v>477</v>
      </c>
      <c r="Y156" s="352" t="s">
        <v>104</v>
      </c>
      <c r="Z156" s="105">
        <v>2722</v>
      </c>
      <c r="AA156" s="107">
        <v>9.4513888888888555</v>
      </c>
      <c r="AB156" s="105" t="s">
        <v>472</v>
      </c>
    </row>
    <row r="157" spans="1:28">
      <c r="A157" s="105">
        <f t="shared" si="2"/>
        <v>156</v>
      </c>
      <c r="B157" s="107">
        <f>YEAR(Table6[[#This Row],[Date]])+IF(MONTH(Table6[[#This Row],[Date]])&gt;=4,1,0)</f>
        <v>2026</v>
      </c>
      <c r="C157" s="105">
        <f>YEAR(Table6[[#This Row],[Date]])</f>
        <v>2025</v>
      </c>
      <c r="D157" s="105" t="s">
        <v>465</v>
      </c>
      <c r="E157" s="119">
        <f>Table6[[#This Row],[Date]]-DAY(Table6[[#This Row],[Date]])+1</f>
        <v>45748</v>
      </c>
      <c r="F157" s="118">
        <v>45749</v>
      </c>
      <c r="G157" s="105" t="s">
        <v>98</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473</v>
      </c>
      <c r="N157" s="39" t="s">
        <v>474</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478</v>
      </c>
      <c r="V157" s="351" t="s">
        <v>476</v>
      </c>
      <c r="W157" s="338">
        <f>Table6[[#This Row],[Breakdown Time]]*(1/39)</f>
        <v>2.1367521367521292E-3</v>
      </c>
      <c r="X157" s="336" t="s">
        <v>477</v>
      </c>
      <c r="Y157" s="352" t="s">
        <v>104</v>
      </c>
      <c r="Z157" s="105">
        <v>2722</v>
      </c>
      <c r="AA157" s="107">
        <v>9.4513888888888555</v>
      </c>
      <c r="AB157" s="105" t="s">
        <v>472</v>
      </c>
    </row>
    <row r="158" spans="1:28">
      <c r="A158" s="105">
        <f t="shared" si="2"/>
        <v>157</v>
      </c>
      <c r="B158" s="107">
        <f>YEAR(Table6[[#This Row],[Date]])+IF(MONTH(Table6[[#This Row],[Date]])&gt;=4,1,0)</f>
        <v>2026</v>
      </c>
      <c r="C158" s="105">
        <f>YEAR(Table6[[#This Row],[Date]])</f>
        <v>2025</v>
      </c>
      <c r="D158" s="105" t="s">
        <v>465</v>
      </c>
      <c r="E158" s="119">
        <f>Table6[[#This Row],[Date]]-DAY(Table6[[#This Row],[Date]])+1</f>
        <v>45748</v>
      </c>
      <c r="F158" s="118">
        <v>45749</v>
      </c>
      <c r="G158" s="105" t="s">
        <v>104</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473</v>
      </c>
      <c r="N158" s="39" t="s">
        <v>474</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484</v>
      </c>
      <c r="V158" s="351" t="s">
        <v>476</v>
      </c>
      <c r="W158" s="338">
        <f>Table6[[#This Row],[Breakdown Time]]*(1/39)</f>
        <v>0.27777777777777779</v>
      </c>
      <c r="X158" s="336" t="s">
        <v>477</v>
      </c>
      <c r="Y158" s="352" t="s">
        <v>98</v>
      </c>
      <c r="Z158" s="105">
        <v>12938</v>
      </c>
      <c r="AA158" s="107">
        <v>5840.0694444444453</v>
      </c>
      <c r="AB158" s="105" t="s">
        <v>472</v>
      </c>
    </row>
    <row r="159" spans="1:28">
      <c r="A159" s="105">
        <f t="shared" si="2"/>
        <v>158</v>
      </c>
      <c r="B159" s="107">
        <f>YEAR(Table6[[#This Row],[Date]])+IF(MONTH(Table6[[#This Row],[Date]])&gt;=4,1,0)</f>
        <v>2026</v>
      </c>
      <c r="C159" s="105">
        <f>YEAR(Table6[[#This Row],[Date]])</f>
        <v>2025</v>
      </c>
      <c r="D159" s="105" t="s">
        <v>465</v>
      </c>
      <c r="E159" s="119">
        <f>Table6[[#This Row],[Date]]-DAY(Table6[[#This Row],[Date]])+1</f>
        <v>45748</v>
      </c>
      <c r="F159" s="118">
        <v>45749</v>
      </c>
      <c r="G159" s="105" t="s">
        <v>104</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473</v>
      </c>
      <c r="N159" s="39" t="s">
        <v>474</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475</v>
      </c>
      <c r="V159" s="351" t="s">
        <v>476</v>
      </c>
      <c r="W159" s="338">
        <f>Table6[[#This Row],[Breakdown Time]]*(1/39)</f>
        <v>9.0598290598290609E-2</v>
      </c>
      <c r="X159" s="336" t="s">
        <v>477</v>
      </c>
      <c r="Y159" s="352" t="s">
        <v>98</v>
      </c>
      <c r="Z159" s="105">
        <v>12938</v>
      </c>
      <c r="AA159" s="107">
        <v>1904.7611111111116</v>
      </c>
      <c r="AB159" s="105" t="s">
        <v>472</v>
      </c>
    </row>
    <row r="160" spans="1:28">
      <c r="A160" s="105">
        <f t="shared" si="2"/>
        <v>159</v>
      </c>
      <c r="B160" s="107">
        <f>YEAR(Table6[[#This Row],[Date]])+IF(MONTH(Table6[[#This Row],[Date]])&gt;=4,1,0)</f>
        <v>2026</v>
      </c>
      <c r="C160" s="105">
        <f>YEAR(Table6[[#This Row],[Date]])</f>
        <v>2025</v>
      </c>
      <c r="D160" s="105" t="s">
        <v>465</v>
      </c>
      <c r="E160" s="119">
        <f>Table6[[#This Row],[Date]]-DAY(Table6[[#This Row],[Date]])+1</f>
        <v>45748</v>
      </c>
      <c r="F160" s="118">
        <v>45749</v>
      </c>
      <c r="G160" s="105" t="s">
        <v>104</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473</v>
      </c>
      <c r="N160" s="39" t="s">
        <v>474</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489</v>
      </c>
      <c r="V160" s="351" t="s">
        <v>476</v>
      </c>
      <c r="W160" s="338">
        <f>Table6[[#This Row],[Breakdown Time]]*(1/39)</f>
        <v>1.6666666666666677E-2</v>
      </c>
      <c r="X160" s="336" t="s">
        <v>477</v>
      </c>
      <c r="Y160" s="352" t="s">
        <v>98</v>
      </c>
      <c r="Z160" s="105">
        <v>12938</v>
      </c>
      <c r="AA160" s="107">
        <v>350.40416666666687</v>
      </c>
      <c r="AB160" s="105" t="s">
        <v>472</v>
      </c>
    </row>
    <row r="161" spans="1:28">
      <c r="A161" s="105">
        <f t="shared" si="2"/>
        <v>160</v>
      </c>
      <c r="B161" s="107">
        <f>YEAR(Table6[[#This Row],[Date]])+IF(MONTH(Table6[[#This Row],[Date]])&gt;=4,1,0)</f>
        <v>2026</v>
      </c>
      <c r="C161" s="105">
        <f>YEAR(Table6[[#This Row],[Date]])</f>
        <v>2025</v>
      </c>
      <c r="D161" s="105" t="s">
        <v>465</v>
      </c>
      <c r="E161" s="119">
        <f>Table6[[#This Row],[Date]]-DAY(Table6[[#This Row],[Date]])+1</f>
        <v>45748</v>
      </c>
      <c r="F161" s="118">
        <v>45749</v>
      </c>
      <c r="G161" s="105" t="s">
        <v>111</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473</v>
      </c>
      <c r="N161" s="39" t="s">
        <v>474</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478</v>
      </c>
      <c r="V161" s="351" t="s">
        <v>476</v>
      </c>
      <c r="W161" s="338">
        <f>Table6[[#This Row],[Breakdown Time]]*(1/39)</f>
        <v>2.1367521367521292E-3</v>
      </c>
      <c r="X161" s="336" t="s">
        <v>477</v>
      </c>
      <c r="Y161" s="352" t="s">
        <v>110</v>
      </c>
      <c r="Z161" s="105">
        <v>11404</v>
      </c>
      <c r="AA161" s="107">
        <v>39.597222222222086</v>
      </c>
      <c r="AB161" s="105" t="s">
        <v>472</v>
      </c>
    </row>
    <row r="162" spans="1:28">
      <c r="A162" s="105">
        <f t="shared" si="2"/>
        <v>161</v>
      </c>
      <c r="B162" s="107">
        <f>YEAR(Table6[[#This Row],[Date]])+IF(MONTH(Table6[[#This Row],[Date]])&gt;=4,1,0)</f>
        <v>2026</v>
      </c>
      <c r="C162" s="105">
        <f>YEAR(Table6[[#This Row],[Date]])</f>
        <v>2025</v>
      </c>
      <c r="D162" s="105" t="s">
        <v>465</v>
      </c>
      <c r="E162" s="119">
        <f>Table6[[#This Row],[Date]]-DAY(Table6[[#This Row],[Date]])+1</f>
        <v>45748</v>
      </c>
      <c r="F162" s="118">
        <v>45749</v>
      </c>
      <c r="G162" s="105" t="s">
        <v>111</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473</v>
      </c>
      <c r="N162" s="39" t="s">
        <v>474</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478</v>
      </c>
      <c r="V162" s="351" t="s">
        <v>476</v>
      </c>
      <c r="W162" s="338">
        <f>Table6[[#This Row],[Breakdown Time]]*(1/39)</f>
        <v>2.1367521367521292E-3</v>
      </c>
      <c r="X162" s="336" t="s">
        <v>477</v>
      </c>
      <c r="Y162" s="352" t="s">
        <v>110</v>
      </c>
      <c r="Z162" s="105">
        <v>11404</v>
      </c>
      <c r="AA162" s="107">
        <v>39.597222222222086</v>
      </c>
      <c r="AB162" s="105" t="s">
        <v>472</v>
      </c>
    </row>
    <row r="163" spans="1:28">
      <c r="A163" s="105">
        <f t="shared" si="2"/>
        <v>162</v>
      </c>
      <c r="B163" s="107">
        <f>YEAR(Table6[[#This Row],[Date]])+IF(MONTH(Table6[[#This Row],[Date]])&gt;=4,1,0)</f>
        <v>2026</v>
      </c>
      <c r="C163" s="105">
        <f>YEAR(Table6[[#This Row],[Date]])</f>
        <v>2025</v>
      </c>
      <c r="D163" s="105" t="s">
        <v>465</v>
      </c>
      <c r="E163" s="119">
        <f>Table6[[#This Row],[Date]]-DAY(Table6[[#This Row],[Date]])+1</f>
        <v>45748</v>
      </c>
      <c r="F163" s="118">
        <v>45749</v>
      </c>
      <c r="G163" s="105" t="s">
        <v>111</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473</v>
      </c>
      <c r="N163" s="39" t="s">
        <v>474</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478</v>
      </c>
      <c r="V163" s="351" t="s">
        <v>476</v>
      </c>
      <c r="W163" s="338">
        <f>Table6[[#This Row],[Breakdown Time]]*(1/39)</f>
        <v>4.7008547008547527E-3</v>
      </c>
      <c r="X163" s="336" t="s">
        <v>477</v>
      </c>
      <c r="Y163" s="352" t="s">
        <v>110</v>
      </c>
      <c r="Z163" s="105">
        <v>11404</v>
      </c>
      <c r="AA163" s="107">
        <v>87.113888888889846</v>
      </c>
      <c r="AB163" s="105" t="s">
        <v>472</v>
      </c>
    </row>
    <row r="164" spans="1:28">
      <c r="A164" s="105">
        <f t="shared" si="2"/>
        <v>163</v>
      </c>
      <c r="B164" s="107">
        <f>YEAR(Table6[[#This Row],[Date]])+IF(MONTH(Table6[[#This Row],[Date]])&gt;=4,1,0)</f>
        <v>2026</v>
      </c>
      <c r="C164" s="105">
        <f>YEAR(Table6[[#This Row],[Date]])</f>
        <v>2025</v>
      </c>
      <c r="D164" s="105" t="s">
        <v>465</v>
      </c>
      <c r="E164" s="119">
        <f>Table6[[#This Row],[Date]]-DAY(Table6[[#This Row],[Date]])+1</f>
        <v>45748</v>
      </c>
      <c r="F164" s="118">
        <v>45749</v>
      </c>
      <c r="G164" s="105" t="s">
        <v>112</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473</v>
      </c>
      <c r="N164" s="39" t="s">
        <v>474</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475</v>
      </c>
      <c r="V164" s="351" t="s">
        <v>476</v>
      </c>
      <c r="W164" s="338">
        <f>Table6[[#This Row],[Breakdown Time]]*(1/39)</f>
        <v>8.461538461538462E-2</v>
      </c>
      <c r="X164" s="336" t="s">
        <v>477</v>
      </c>
      <c r="Y164" s="352" t="s">
        <v>111</v>
      </c>
      <c r="Z164" s="105">
        <v>11460</v>
      </c>
      <c r="AA164" s="107">
        <v>1575.7500000000002</v>
      </c>
      <c r="AB164" s="105" t="s">
        <v>472</v>
      </c>
    </row>
    <row r="165" spans="1:28">
      <c r="A165" s="105">
        <f t="shared" si="2"/>
        <v>164</v>
      </c>
      <c r="B165" s="107">
        <f>YEAR(Table6[[#This Row],[Date]])+IF(MONTH(Table6[[#This Row],[Date]])&gt;=4,1,0)</f>
        <v>2026</v>
      </c>
      <c r="C165" s="105">
        <f>YEAR(Table6[[#This Row],[Date]])</f>
        <v>2025</v>
      </c>
      <c r="D165" s="105" t="s">
        <v>465</v>
      </c>
      <c r="E165" s="119">
        <f>Table6[[#This Row],[Date]]-DAY(Table6[[#This Row],[Date]])+1</f>
        <v>45748</v>
      </c>
      <c r="F165" s="118">
        <v>45750</v>
      </c>
      <c r="G165" s="105" t="s">
        <v>103</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466</v>
      </c>
      <c r="L165" s="39" t="str">
        <f>IFERROR(VLOOKUP(Table6[[#This Row],[Error Code]],'Basic Data'!$T:$U,2,0),"")</f>
        <v>Manual Stop - Safety Related</v>
      </c>
      <c r="M165" s="346" t="s">
        <v>467</v>
      </c>
      <c r="N165" s="39" t="s">
        <v>468</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469</v>
      </c>
      <c r="V165" s="351" t="s">
        <v>470</v>
      </c>
      <c r="W165" s="338">
        <f>Table6[[#This Row],[Breakdown Time]]*(1/39)</f>
        <v>0.61495726495726499</v>
      </c>
      <c r="X165" s="336" t="s">
        <v>486</v>
      </c>
      <c r="Y165" s="352" t="s">
        <v>100</v>
      </c>
      <c r="Z165" s="105">
        <v>6354</v>
      </c>
      <c r="AA165" s="107">
        <v>6349.5875000000005</v>
      </c>
      <c r="AB165" s="105" t="s">
        <v>472</v>
      </c>
    </row>
    <row r="166" spans="1:28">
      <c r="A166" s="105">
        <f t="shared" si="2"/>
        <v>165</v>
      </c>
      <c r="B166" s="107">
        <f>YEAR(Table6[[#This Row],[Date]])+IF(MONTH(Table6[[#This Row],[Date]])&gt;=4,1,0)</f>
        <v>2026</v>
      </c>
      <c r="C166" s="105">
        <f>YEAR(Table6[[#This Row],[Date]])</f>
        <v>2025</v>
      </c>
      <c r="D166" s="105" t="s">
        <v>465</v>
      </c>
      <c r="E166" s="119">
        <f>Table6[[#This Row],[Date]]-DAY(Table6[[#This Row],[Date]])+1</f>
        <v>45748</v>
      </c>
      <c r="F166" s="118">
        <v>45750</v>
      </c>
      <c r="G166" s="105" t="s">
        <v>101</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466</v>
      </c>
      <c r="L166" s="39" t="str">
        <f>IFERROR(VLOOKUP(Table6[[#This Row],[Error Code]],'Basic Data'!$T:$U,2,0),"")</f>
        <v>Manual Stop - Safety Related</v>
      </c>
      <c r="M166" s="346" t="s">
        <v>467</v>
      </c>
      <c r="N166" s="39" t="s">
        <v>468</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469</v>
      </c>
      <c r="V166" s="351" t="s">
        <v>470</v>
      </c>
      <c r="W166" s="338">
        <f>Table6[[#This Row],[Breakdown Time]]*(1/39)</f>
        <v>0.61495726495726499</v>
      </c>
      <c r="X166" s="336" t="s">
        <v>486</v>
      </c>
      <c r="Y166" s="352" t="s">
        <v>100</v>
      </c>
      <c r="Z166" s="105">
        <v>6354</v>
      </c>
      <c r="AA166" s="107">
        <v>6349.5875000000005</v>
      </c>
      <c r="AB166" s="105" t="s">
        <v>472</v>
      </c>
    </row>
    <row r="167" spans="1:28">
      <c r="A167" s="105">
        <f t="shared" si="2"/>
        <v>166</v>
      </c>
      <c r="B167" s="107">
        <f>YEAR(Table6[[#This Row],[Date]])+IF(MONTH(Table6[[#This Row],[Date]])&gt;=4,1,0)</f>
        <v>2026</v>
      </c>
      <c r="C167" s="105">
        <f>YEAR(Table6[[#This Row],[Date]])</f>
        <v>2025</v>
      </c>
      <c r="D167" s="105" t="s">
        <v>465</v>
      </c>
      <c r="E167" s="119">
        <f>Table6[[#This Row],[Date]]-DAY(Table6[[#This Row],[Date]])+1</f>
        <v>45748</v>
      </c>
      <c r="F167" s="118">
        <v>45750</v>
      </c>
      <c r="G167" s="105" t="s">
        <v>77</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473</v>
      </c>
      <c r="N167" s="39" t="s">
        <v>474</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478</v>
      </c>
      <c r="V167" s="351" t="s">
        <v>476</v>
      </c>
      <c r="W167" s="338">
        <f>Table6[[#This Row],[Breakdown Time]]*(1/39)</f>
        <v>2.1367521367521292E-3</v>
      </c>
      <c r="X167" s="336" t="s">
        <v>477</v>
      </c>
      <c r="Y167" s="352" t="s">
        <v>76</v>
      </c>
      <c r="Z167" s="105">
        <v>6462</v>
      </c>
      <c r="AA167" s="107">
        <v>22.437499999999922</v>
      </c>
      <c r="AB167" s="105" t="s">
        <v>472</v>
      </c>
    </row>
    <row r="168" spans="1:28">
      <c r="A168" s="105">
        <f t="shared" si="2"/>
        <v>167</v>
      </c>
      <c r="B168" s="107">
        <f>YEAR(Table6[[#This Row],[Date]])+IF(MONTH(Table6[[#This Row],[Date]])&gt;=4,1,0)</f>
        <v>2026</v>
      </c>
      <c r="C168" s="105">
        <f>YEAR(Table6[[#This Row],[Date]])</f>
        <v>2025</v>
      </c>
      <c r="D168" s="105" t="s">
        <v>465</v>
      </c>
      <c r="E168" s="119">
        <f>Table6[[#This Row],[Date]]-DAY(Table6[[#This Row],[Date]])+1</f>
        <v>45748</v>
      </c>
      <c r="F168" s="118">
        <v>45750</v>
      </c>
      <c r="G168" s="105" t="s">
        <v>77</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473</v>
      </c>
      <c r="N168" s="39" t="s">
        <v>474</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478</v>
      </c>
      <c r="V168" s="351" t="s">
        <v>476</v>
      </c>
      <c r="W168" s="338">
        <f>Table6[[#This Row],[Breakdown Time]]*(1/39)</f>
        <v>2.1367521367521292E-3</v>
      </c>
      <c r="X168" s="336" t="s">
        <v>477</v>
      </c>
      <c r="Y168" s="352" t="s">
        <v>76</v>
      </c>
      <c r="Z168" s="105">
        <v>6462</v>
      </c>
      <c r="AA168" s="107">
        <v>22.437499999999922</v>
      </c>
      <c r="AB168" s="105" t="s">
        <v>472</v>
      </c>
    </row>
    <row r="169" spans="1:28">
      <c r="A169" s="105">
        <f t="shared" si="2"/>
        <v>168</v>
      </c>
      <c r="B169" s="107">
        <f>YEAR(Table6[[#This Row],[Date]])+IF(MONTH(Table6[[#This Row],[Date]])&gt;=4,1,0)</f>
        <v>2026</v>
      </c>
      <c r="C169" s="105">
        <f>YEAR(Table6[[#This Row],[Date]])</f>
        <v>2025</v>
      </c>
      <c r="D169" s="105" t="s">
        <v>465</v>
      </c>
      <c r="E169" s="119">
        <f>Table6[[#This Row],[Date]]-DAY(Table6[[#This Row],[Date]])+1</f>
        <v>45748</v>
      </c>
      <c r="F169" s="118">
        <v>45750</v>
      </c>
      <c r="G169" s="105" t="s">
        <v>77</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473</v>
      </c>
      <c r="N169" s="39" t="s">
        <v>474</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478</v>
      </c>
      <c r="V169" s="351" t="s">
        <v>476</v>
      </c>
      <c r="W169" s="338">
        <f>Table6[[#This Row],[Breakdown Time]]*(1/39)</f>
        <v>2.1367521367521292E-3</v>
      </c>
      <c r="X169" s="336" t="s">
        <v>477</v>
      </c>
      <c r="Y169" s="352" t="s">
        <v>76</v>
      </c>
      <c r="Z169" s="105">
        <v>6462</v>
      </c>
      <c r="AA169" s="107">
        <v>22.437499999999922</v>
      </c>
      <c r="AB169" s="105" t="s">
        <v>472</v>
      </c>
    </row>
    <row r="170" spans="1:28">
      <c r="A170" s="105">
        <f t="shared" si="2"/>
        <v>169</v>
      </c>
      <c r="B170" s="107">
        <f>YEAR(Table6[[#This Row],[Date]])+IF(MONTH(Table6[[#This Row],[Date]])&gt;=4,1,0)</f>
        <v>2026</v>
      </c>
      <c r="C170" s="105">
        <f>YEAR(Table6[[#This Row],[Date]])</f>
        <v>2025</v>
      </c>
      <c r="D170" s="105" t="s">
        <v>465</v>
      </c>
      <c r="E170" s="119">
        <f>Table6[[#This Row],[Date]]-DAY(Table6[[#This Row],[Date]])+1</f>
        <v>45748</v>
      </c>
      <c r="F170" s="118">
        <v>45750</v>
      </c>
      <c r="G170" s="105" t="s">
        <v>79</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473</v>
      </c>
      <c r="N170" s="39" t="s">
        <v>474</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507</v>
      </c>
      <c r="V170" s="351" t="s">
        <v>476</v>
      </c>
      <c r="W170" s="338">
        <f>Table6[[#This Row],[Breakdown Time]]*(1/39)</f>
        <v>3.5042735042735057E-2</v>
      </c>
      <c r="X170" s="336" t="s">
        <v>477</v>
      </c>
      <c r="Y170" s="352" t="s">
        <v>76</v>
      </c>
      <c r="Z170" s="105">
        <v>6462</v>
      </c>
      <c r="AA170" s="107">
        <v>367.97500000000014</v>
      </c>
      <c r="AB170" s="105" t="s">
        <v>472</v>
      </c>
    </row>
    <row r="171" spans="1:28">
      <c r="A171" s="105">
        <f t="shared" si="2"/>
        <v>170</v>
      </c>
      <c r="B171" s="107">
        <f>YEAR(Table6[[#This Row],[Date]])+IF(MONTH(Table6[[#This Row],[Date]])&gt;=4,1,0)</f>
        <v>2026</v>
      </c>
      <c r="C171" s="105">
        <f>YEAR(Table6[[#This Row],[Date]])</f>
        <v>2025</v>
      </c>
      <c r="D171" s="105" t="s">
        <v>465</v>
      </c>
      <c r="E171" s="119">
        <f>Table6[[#This Row],[Date]]-DAY(Table6[[#This Row],[Date]])+1</f>
        <v>45748</v>
      </c>
      <c r="F171" s="118">
        <v>45750</v>
      </c>
      <c r="G171" s="105" t="s">
        <v>79</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473</v>
      </c>
      <c r="N171" s="39" t="s">
        <v>474</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489</v>
      </c>
      <c r="V171" s="351" t="s">
        <v>470</v>
      </c>
      <c r="W171" s="338">
        <f>Table6[[#This Row],[Breakdown Time]]*(1/39)</f>
        <v>0.10170940170940168</v>
      </c>
      <c r="X171" s="336" t="s">
        <v>477</v>
      </c>
      <c r="Y171" s="352" t="s">
        <v>76</v>
      </c>
      <c r="Z171" s="105">
        <v>6462</v>
      </c>
      <c r="AA171" s="107">
        <v>1068.0249999999999</v>
      </c>
      <c r="AB171" s="105" t="s">
        <v>472</v>
      </c>
    </row>
    <row r="172" spans="1:28">
      <c r="A172" s="105">
        <f t="shared" si="2"/>
        <v>171</v>
      </c>
      <c r="B172" s="107">
        <f>YEAR(Table6[[#This Row],[Date]])+IF(MONTH(Table6[[#This Row],[Date]])&gt;=4,1,0)</f>
        <v>2026</v>
      </c>
      <c r="C172" s="105">
        <f>YEAR(Table6[[#This Row],[Date]])</f>
        <v>2025</v>
      </c>
      <c r="D172" s="105" t="s">
        <v>465</v>
      </c>
      <c r="E172" s="119">
        <f>Table6[[#This Row],[Date]]-DAY(Table6[[#This Row],[Date]])+1</f>
        <v>45748</v>
      </c>
      <c r="F172" s="118">
        <v>45750</v>
      </c>
      <c r="G172" s="105" t="s">
        <v>80</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473</v>
      </c>
      <c r="N172" s="39" t="s">
        <v>474</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475</v>
      </c>
      <c r="V172" s="351" t="s">
        <v>476</v>
      </c>
      <c r="W172" s="338">
        <f>Table6[[#This Row],[Breakdown Time]]*(1/39)</f>
        <v>8.1196581196581172E-2</v>
      </c>
      <c r="X172" s="336" t="s">
        <v>477</v>
      </c>
      <c r="Y172" s="352" t="s">
        <v>74</v>
      </c>
      <c r="Z172" s="105">
        <v>7048</v>
      </c>
      <c r="AA172" s="107">
        <v>929.94444444444434</v>
      </c>
      <c r="AB172" s="105" t="s">
        <v>472</v>
      </c>
    </row>
    <row r="173" spans="1:28">
      <c r="A173" s="105">
        <f t="shared" si="2"/>
        <v>172</v>
      </c>
      <c r="B173" s="107">
        <f>YEAR(Table6[[#This Row],[Date]])+IF(MONTH(Table6[[#This Row],[Date]])&gt;=4,1,0)</f>
        <v>2026</v>
      </c>
      <c r="C173" s="105">
        <f>YEAR(Table6[[#This Row],[Date]])</f>
        <v>2025</v>
      </c>
      <c r="D173" s="105" t="s">
        <v>465</v>
      </c>
      <c r="E173" s="119">
        <f>Table6[[#This Row],[Date]]-DAY(Table6[[#This Row],[Date]])+1</f>
        <v>45748</v>
      </c>
      <c r="F173" s="118">
        <v>45750</v>
      </c>
      <c r="G173" s="105" t="s">
        <v>80</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473</v>
      </c>
      <c r="N173" s="39" t="s">
        <v>474</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475</v>
      </c>
      <c r="V173" s="351" t="s">
        <v>476</v>
      </c>
      <c r="W173" s="338">
        <f>Table6[[#This Row],[Breakdown Time]]*(1/39)</f>
        <v>2.9059829059829023E-2</v>
      </c>
      <c r="X173" s="336" t="s">
        <v>477</v>
      </c>
      <c r="Y173" s="352" t="s">
        <v>74</v>
      </c>
      <c r="Z173" s="105">
        <v>7048</v>
      </c>
      <c r="AA173" s="107">
        <v>332.82222222222185</v>
      </c>
      <c r="AB173" s="105" t="s">
        <v>472</v>
      </c>
    </row>
    <row r="174" spans="1:28">
      <c r="A174" s="105">
        <f t="shared" si="2"/>
        <v>173</v>
      </c>
      <c r="B174" s="107">
        <f>YEAR(Table6[[#This Row],[Date]])+IF(MONTH(Table6[[#This Row],[Date]])&gt;=4,1,0)</f>
        <v>2026</v>
      </c>
      <c r="C174" s="105">
        <f>YEAR(Table6[[#This Row],[Date]])</f>
        <v>2025</v>
      </c>
      <c r="D174" s="105" t="s">
        <v>465</v>
      </c>
      <c r="E174" s="119">
        <f>Table6[[#This Row],[Date]]-DAY(Table6[[#This Row],[Date]])+1</f>
        <v>45748</v>
      </c>
      <c r="F174" s="118">
        <v>45750</v>
      </c>
      <c r="G174" s="105" t="s">
        <v>80</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473</v>
      </c>
      <c r="N174" s="39" t="s">
        <v>474</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489</v>
      </c>
      <c r="V174" s="351" t="s">
        <v>476</v>
      </c>
      <c r="W174" s="338">
        <f>Table6[[#This Row],[Breakdown Time]]*(1/39)</f>
        <v>8.5897435897435856E-2</v>
      </c>
      <c r="X174" s="336" t="s">
        <v>477</v>
      </c>
      <c r="Y174" s="352" t="s">
        <v>74</v>
      </c>
      <c r="Z174" s="105">
        <v>7048</v>
      </c>
      <c r="AA174" s="107">
        <v>983.78333333333308</v>
      </c>
      <c r="AB174" s="105" t="s">
        <v>472</v>
      </c>
    </row>
    <row r="175" spans="1:28">
      <c r="A175" s="105">
        <f t="shared" si="2"/>
        <v>174</v>
      </c>
      <c r="B175" s="107">
        <f>YEAR(Table6[[#This Row],[Date]])+IF(MONTH(Table6[[#This Row],[Date]])&gt;=4,1,0)</f>
        <v>2026</v>
      </c>
      <c r="C175" s="105">
        <f>YEAR(Table6[[#This Row],[Date]])</f>
        <v>2025</v>
      </c>
      <c r="D175" s="105" t="s">
        <v>465</v>
      </c>
      <c r="E175" s="119">
        <f>Table6[[#This Row],[Date]]-DAY(Table6[[#This Row],[Date]])+1</f>
        <v>45748</v>
      </c>
      <c r="F175" s="118">
        <v>45750</v>
      </c>
      <c r="G175" s="105" t="s">
        <v>86</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473</v>
      </c>
      <c r="N175" s="39" t="s">
        <v>474</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478</v>
      </c>
      <c r="V175" s="351" t="s">
        <v>476</v>
      </c>
      <c r="W175" s="338">
        <f>Table6[[#This Row],[Breakdown Time]]*(1/39)</f>
        <v>2.1367521367521292E-3</v>
      </c>
      <c r="X175" s="336" t="s">
        <v>477</v>
      </c>
      <c r="Y175" s="352" t="s">
        <v>85</v>
      </c>
      <c r="Z175" s="105">
        <v>8930</v>
      </c>
      <c r="AA175" s="107">
        <v>31.006944444444333</v>
      </c>
      <c r="AB175" s="105" t="s">
        <v>472</v>
      </c>
    </row>
    <row r="176" spans="1:28">
      <c r="A176" s="105">
        <f t="shared" si="2"/>
        <v>175</v>
      </c>
      <c r="B176" s="107">
        <f>YEAR(Table6[[#This Row],[Date]])+IF(MONTH(Table6[[#This Row],[Date]])&gt;=4,1,0)</f>
        <v>2026</v>
      </c>
      <c r="C176" s="105">
        <f>YEAR(Table6[[#This Row],[Date]])</f>
        <v>2025</v>
      </c>
      <c r="D176" s="105" t="s">
        <v>465</v>
      </c>
      <c r="E176" s="119">
        <f>Table6[[#This Row],[Date]]-DAY(Table6[[#This Row],[Date]])+1</f>
        <v>45748</v>
      </c>
      <c r="F176" s="118">
        <v>45750</v>
      </c>
      <c r="G176" s="105" t="s">
        <v>89</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473</v>
      </c>
      <c r="N176" s="39" t="s">
        <v>474</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484</v>
      </c>
      <c r="V176" s="351" t="s">
        <v>476</v>
      </c>
      <c r="W176" s="338">
        <f>Table6[[#This Row],[Breakdown Time]]*(1/39)</f>
        <v>7.6923076923076927E-2</v>
      </c>
      <c r="X176" s="336" t="s">
        <v>477</v>
      </c>
      <c r="Y176" s="352" t="s">
        <v>90</v>
      </c>
      <c r="Z176" s="105">
        <v>10152</v>
      </c>
      <c r="AA176" s="107">
        <v>1269</v>
      </c>
      <c r="AB176" s="105" t="s">
        <v>472</v>
      </c>
    </row>
    <row r="177" spans="1:28">
      <c r="A177" s="105">
        <f t="shared" si="2"/>
        <v>176</v>
      </c>
      <c r="B177" s="107">
        <f>YEAR(Table6[[#This Row],[Date]])+IF(MONTH(Table6[[#This Row],[Date]])&gt;=4,1,0)</f>
        <v>2026</v>
      </c>
      <c r="C177" s="105">
        <f>YEAR(Table6[[#This Row],[Date]])</f>
        <v>2025</v>
      </c>
      <c r="D177" s="105" t="s">
        <v>465</v>
      </c>
      <c r="E177" s="119">
        <f>Table6[[#This Row],[Date]]-DAY(Table6[[#This Row],[Date]])+1</f>
        <v>45748</v>
      </c>
      <c r="F177" s="118">
        <v>45750</v>
      </c>
      <c r="G177" s="105" t="s">
        <v>89</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473</v>
      </c>
      <c r="N177" s="39" t="s">
        <v>474</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489</v>
      </c>
      <c r="V177" s="351" t="s">
        <v>476</v>
      </c>
      <c r="W177" s="338">
        <f>Table6[[#This Row],[Breakdown Time]]*(1/39)</f>
        <v>3.4188034188034067E-3</v>
      </c>
      <c r="X177" s="336" t="s">
        <v>477</v>
      </c>
      <c r="Y177" s="352" t="s">
        <v>90</v>
      </c>
      <c r="Z177" s="105">
        <v>10152</v>
      </c>
      <c r="AA177" s="107">
        <v>56.3999999999998</v>
      </c>
      <c r="AB177" s="105" t="s">
        <v>472</v>
      </c>
    </row>
    <row r="178" spans="1:28">
      <c r="A178" s="105">
        <f t="shared" si="2"/>
        <v>177</v>
      </c>
      <c r="B178" s="107">
        <f>YEAR(Table6[[#This Row],[Date]])+IF(MONTH(Table6[[#This Row],[Date]])&gt;=4,1,0)</f>
        <v>2026</v>
      </c>
      <c r="C178" s="105">
        <f>YEAR(Table6[[#This Row],[Date]])</f>
        <v>2025</v>
      </c>
      <c r="D178" s="105" t="s">
        <v>465</v>
      </c>
      <c r="E178" s="119">
        <f>Table6[[#This Row],[Date]]-DAY(Table6[[#This Row],[Date]])+1</f>
        <v>45748</v>
      </c>
      <c r="F178" s="118">
        <v>45750</v>
      </c>
      <c r="G178" s="105" t="s">
        <v>91</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473</v>
      </c>
      <c r="N178" s="39" t="s">
        <v>474</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478</v>
      </c>
      <c r="V178" s="351" t="s">
        <v>476</v>
      </c>
      <c r="W178" s="338">
        <f>Table6[[#This Row],[Breakdown Time]]*(1/39)</f>
        <v>2.1367521367521292E-3</v>
      </c>
      <c r="X178" s="336" t="s">
        <v>477</v>
      </c>
      <c r="Y178" s="352" t="s">
        <v>92</v>
      </c>
      <c r="Z178" s="105">
        <v>10280</v>
      </c>
      <c r="AA178" s="107">
        <v>35.694444444444315</v>
      </c>
      <c r="AB178" s="105" t="s">
        <v>472</v>
      </c>
    </row>
    <row r="179" spans="1:28">
      <c r="A179" s="105">
        <f t="shared" si="2"/>
        <v>178</v>
      </c>
      <c r="B179" s="107">
        <f>YEAR(Table6[[#This Row],[Date]])+IF(MONTH(Table6[[#This Row],[Date]])&gt;=4,1,0)</f>
        <v>2026</v>
      </c>
      <c r="C179" s="105">
        <f>YEAR(Table6[[#This Row],[Date]])</f>
        <v>2025</v>
      </c>
      <c r="D179" s="105" t="s">
        <v>465</v>
      </c>
      <c r="E179" s="119">
        <f>Table6[[#This Row],[Date]]-DAY(Table6[[#This Row],[Date]])+1</f>
        <v>45748</v>
      </c>
      <c r="F179" s="118">
        <v>45750</v>
      </c>
      <c r="G179" s="105" t="s">
        <v>91</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473</v>
      </c>
      <c r="N179" s="39" t="s">
        <v>474</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475</v>
      </c>
      <c r="V179" s="351" t="s">
        <v>476</v>
      </c>
      <c r="W179" s="338">
        <f>Table6[[#This Row],[Breakdown Time]]*(1/39)</f>
        <v>6.9658119658119688E-2</v>
      </c>
      <c r="X179" s="336" t="s">
        <v>477</v>
      </c>
      <c r="Y179" s="352" t="s">
        <v>92</v>
      </c>
      <c r="Z179" s="105">
        <v>10280</v>
      </c>
      <c r="AA179" s="107">
        <v>1163.6388888888894</v>
      </c>
      <c r="AB179" s="105" t="s">
        <v>472</v>
      </c>
    </row>
    <row r="180" spans="1:28">
      <c r="A180" s="105">
        <f t="shared" si="2"/>
        <v>179</v>
      </c>
      <c r="B180" s="107">
        <f>YEAR(Table6[[#This Row],[Date]])+IF(MONTH(Table6[[#This Row],[Date]])&gt;=4,1,0)</f>
        <v>2026</v>
      </c>
      <c r="C180" s="105">
        <f>YEAR(Table6[[#This Row],[Date]])</f>
        <v>2025</v>
      </c>
      <c r="D180" s="105" t="s">
        <v>465</v>
      </c>
      <c r="E180" s="119">
        <f>Table6[[#This Row],[Date]]-DAY(Table6[[#This Row],[Date]])+1</f>
        <v>45748</v>
      </c>
      <c r="F180" s="118">
        <v>45750</v>
      </c>
      <c r="G180" s="105" t="s">
        <v>97</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473</v>
      </c>
      <c r="N180" s="39" t="s">
        <v>474</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508</v>
      </c>
      <c r="V180" s="351" t="s">
        <v>476</v>
      </c>
      <c r="W180" s="338">
        <f>Table6[[#This Row],[Breakdown Time]]*(1/39)</f>
        <v>8.7179487179487203E-2</v>
      </c>
      <c r="X180" s="336" t="s">
        <v>477</v>
      </c>
      <c r="Y180" s="352" t="s">
        <v>99</v>
      </c>
      <c r="Z180" s="105">
        <v>6588</v>
      </c>
      <c r="AA180" s="107">
        <v>933.3000000000003</v>
      </c>
      <c r="AB180" s="105" t="s">
        <v>472</v>
      </c>
    </row>
    <row r="181" spans="1:28">
      <c r="A181" s="105">
        <f t="shared" si="2"/>
        <v>180</v>
      </c>
      <c r="B181" s="107">
        <f>YEAR(Table6[[#This Row],[Date]])+IF(MONTH(Table6[[#This Row],[Date]])&gt;=4,1,0)</f>
        <v>2026</v>
      </c>
      <c r="C181" s="105">
        <f>YEAR(Table6[[#This Row],[Date]])</f>
        <v>2025</v>
      </c>
      <c r="D181" s="105" t="s">
        <v>465</v>
      </c>
      <c r="E181" s="119">
        <f>Table6[[#This Row],[Date]]-DAY(Table6[[#This Row],[Date]])+1</f>
        <v>45748</v>
      </c>
      <c r="F181" s="118">
        <v>45750</v>
      </c>
      <c r="G181" s="105" t="s">
        <v>104</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473</v>
      </c>
      <c r="N181" s="39" t="s">
        <v>474</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475</v>
      </c>
      <c r="V181" s="351" t="s">
        <v>476</v>
      </c>
      <c r="W181" s="338">
        <f>Table6[[#This Row],[Breakdown Time]]*(1/39)</f>
        <v>4.1880341880341884E-2</v>
      </c>
      <c r="X181" s="336" t="s">
        <v>477</v>
      </c>
      <c r="Y181" s="352" t="s">
        <v>98</v>
      </c>
      <c r="Z181" s="105">
        <v>7248</v>
      </c>
      <c r="AA181" s="107">
        <v>493.26666666666671</v>
      </c>
      <c r="AB181" s="105" t="s">
        <v>472</v>
      </c>
    </row>
    <row r="182" spans="1:28">
      <c r="A182" s="105">
        <f t="shared" si="2"/>
        <v>181</v>
      </c>
      <c r="B182" s="107">
        <f>YEAR(Table6[[#This Row],[Date]])+IF(MONTH(Table6[[#This Row],[Date]])&gt;=4,1,0)</f>
        <v>2026</v>
      </c>
      <c r="C182" s="105">
        <f>YEAR(Table6[[#This Row],[Date]])</f>
        <v>2025</v>
      </c>
      <c r="D182" s="105" t="s">
        <v>465</v>
      </c>
      <c r="E182" s="119">
        <f>Table6[[#This Row],[Date]]-DAY(Table6[[#This Row],[Date]])+1</f>
        <v>45748</v>
      </c>
      <c r="F182" s="118">
        <v>45750</v>
      </c>
      <c r="G182" s="105" t="s">
        <v>104</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473</v>
      </c>
      <c r="N182" s="39" t="s">
        <v>474</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509</v>
      </c>
      <c r="V182" s="351" t="s">
        <v>476</v>
      </c>
      <c r="W182" s="338">
        <f>Table6[[#This Row],[Breakdown Time]]*(1/39)</f>
        <v>0.15128205128205124</v>
      </c>
      <c r="X182" s="336" t="s">
        <v>477</v>
      </c>
      <c r="Y182" s="352" t="s">
        <v>98</v>
      </c>
      <c r="Z182" s="105">
        <v>7248</v>
      </c>
      <c r="AA182" s="107">
        <v>1781.7999999999995</v>
      </c>
      <c r="AB182" s="105" t="s">
        <v>472</v>
      </c>
    </row>
    <row r="183" spans="1:28">
      <c r="A183" s="105">
        <f t="shared" si="2"/>
        <v>182</v>
      </c>
      <c r="B183" s="107">
        <f>YEAR(Table6[[#This Row],[Date]])+IF(MONTH(Table6[[#This Row],[Date]])&gt;=4,1,0)</f>
        <v>2026</v>
      </c>
      <c r="C183" s="105">
        <f>YEAR(Table6[[#This Row],[Date]])</f>
        <v>2025</v>
      </c>
      <c r="D183" s="105" t="s">
        <v>465</v>
      </c>
      <c r="E183" s="119">
        <f>Table6[[#This Row],[Date]]-DAY(Table6[[#This Row],[Date]])+1</f>
        <v>45748</v>
      </c>
      <c r="F183" s="118">
        <v>45750</v>
      </c>
      <c r="G183" s="105" t="s">
        <v>105</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473</v>
      </c>
      <c r="N183" s="39" t="s">
        <v>474</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484</v>
      </c>
      <c r="V183" s="351" t="s">
        <v>476</v>
      </c>
      <c r="W183" s="338">
        <f>Table6[[#This Row],[Breakdown Time]]*(1/39)</f>
        <v>3.0769230769230795E-2</v>
      </c>
      <c r="X183" s="336" t="s">
        <v>477</v>
      </c>
      <c r="Y183" s="352" t="s">
        <v>106</v>
      </c>
      <c r="Z183" s="105">
        <v>3472</v>
      </c>
      <c r="AA183" s="107">
        <v>173.60000000000014</v>
      </c>
      <c r="AB183" s="105" t="s">
        <v>472</v>
      </c>
    </row>
    <row r="184" spans="1:28">
      <c r="A184" s="105">
        <f t="shared" si="2"/>
        <v>183</v>
      </c>
      <c r="B184" s="107">
        <f>YEAR(Table6[[#This Row],[Date]])+IF(MONTH(Table6[[#This Row],[Date]])&gt;=4,1,0)</f>
        <v>2026</v>
      </c>
      <c r="C184" s="105">
        <f>YEAR(Table6[[#This Row],[Date]])</f>
        <v>2025</v>
      </c>
      <c r="D184" s="105" t="s">
        <v>465</v>
      </c>
      <c r="E184" s="119">
        <f>Table6[[#This Row],[Date]]-DAY(Table6[[#This Row],[Date]])+1</f>
        <v>45748</v>
      </c>
      <c r="F184" s="118">
        <v>45750</v>
      </c>
      <c r="G184" s="105" t="s">
        <v>105</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473</v>
      </c>
      <c r="N184" s="39" t="s">
        <v>474</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510</v>
      </c>
      <c r="V184" s="351" t="s">
        <v>476</v>
      </c>
      <c r="W184" s="338">
        <f>Table6[[#This Row],[Breakdown Time]]*(1/39)</f>
        <v>5.2991452991452935E-2</v>
      </c>
      <c r="X184" s="336" t="s">
        <v>477</v>
      </c>
      <c r="Y184" s="352" t="s">
        <v>106</v>
      </c>
      <c r="Z184" s="105">
        <v>6772</v>
      </c>
      <c r="AA184" s="107">
        <v>583.14444444444393</v>
      </c>
      <c r="AB184" s="105" t="s">
        <v>472</v>
      </c>
    </row>
    <row r="185" spans="1:28">
      <c r="A185" s="105">
        <f t="shared" si="2"/>
        <v>184</v>
      </c>
      <c r="B185" s="107">
        <f>YEAR(Table6[[#This Row],[Date]])+IF(MONTH(Table6[[#This Row],[Date]])&gt;=4,1,0)</f>
        <v>2026</v>
      </c>
      <c r="C185" s="105">
        <f>YEAR(Table6[[#This Row],[Date]])</f>
        <v>2025</v>
      </c>
      <c r="D185" s="105" t="s">
        <v>465</v>
      </c>
      <c r="E185" s="119">
        <f>Table6[[#This Row],[Date]]-DAY(Table6[[#This Row],[Date]])+1</f>
        <v>45748</v>
      </c>
      <c r="F185" s="118">
        <v>45750</v>
      </c>
      <c r="G185" s="105" t="s">
        <v>106</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473</v>
      </c>
      <c r="N185" s="39" t="s">
        <v>474</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489</v>
      </c>
      <c r="V185" s="351" t="s">
        <v>476</v>
      </c>
      <c r="W185" s="338">
        <f>Table6[[#This Row],[Breakdown Time]]*(1/39)</f>
        <v>8.8888888888888906E-2</v>
      </c>
      <c r="X185" s="336" t="s">
        <v>477</v>
      </c>
      <c r="Y185" s="352" t="s">
        <v>105</v>
      </c>
      <c r="Z185" s="105">
        <v>5908</v>
      </c>
      <c r="AA185" s="107">
        <v>853.37777777777796</v>
      </c>
      <c r="AB185" s="105" t="s">
        <v>472</v>
      </c>
    </row>
    <row r="186" spans="1:28">
      <c r="A186" s="105">
        <f t="shared" si="2"/>
        <v>185</v>
      </c>
      <c r="B186" s="107">
        <f>YEAR(Table6[[#This Row],[Date]])+IF(MONTH(Table6[[#This Row],[Date]])&gt;=4,1,0)</f>
        <v>2026</v>
      </c>
      <c r="C186" s="105">
        <f>YEAR(Table6[[#This Row],[Date]])</f>
        <v>2025</v>
      </c>
      <c r="D186" s="105" t="s">
        <v>465</v>
      </c>
      <c r="E186" s="119">
        <f>Table6[[#This Row],[Date]]-DAY(Table6[[#This Row],[Date]])+1</f>
        <v>45748</v>
      </c>
      <c r="F186" s="118">
        <v>45750</v>
      </c>
      <c r="G186" s="105" t="s">
        <v>108</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466</v>
      </c>
      <c r="L186" s="39" t="str">
        <f>IFERROR(VLOOKUP(Table6[[#This Row],[Error Code]],'Basic Data'!$T:$U,2,0),"")</f>
        <v>Manual Stop - Safety Related</v>
      </c>
      <c r="M186" s="346" t="s">
        <v>473</v>
      </c>
      <c r="N186" s="39" t="s">
        <v>474</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511</v>
      </c>
      <c r="V186" s="351" t="s">
        <v>476</v>
      </c>
      <c r="W186" s="338">
        <f>Table6[[#This Row],[Breakdown Time]]*(1/39)</f>
        <v>3.7606837606837612E-2</v>
      </c>
      <c r="X186" s="336" t="s">
        <v>477</v>
      </c>
      <c r="Y186" s="352" t="s">
        <v>109</v>
      </c>
      <c r="Z186" s="105">
        <v>6498</v>
      </c>
      <c r="AA186" s="107">
        <v>397.1</v>
      </c>
      <c r="AB186" s="105" t="s">
        <v>472</v>
      </c>
    </row>
    <row r="187" spans="1:28">
      <c r="A187" s="105">
        <f t="shared" si="2"/>
        <v>186</v>
      </c>
      <c r="B187" s="107">
        <f>YEAR(Table6[[#This Row],[Date]])+IF(MONTH(Table6[[#This Row],[Date]])&gt;=4,1,0)</f>
        <v>2026</v>
      </c>
      <c r="C187" s="105">
        <f>YEAR(Table6[[#This Row],[Date]])</f>
        <v>2025</v>
      </c>
      <c r="D187" s="105" t="s">
        <v>465</v>
      </c>
      <c r="E187" s="119">
        <f>Table6[[#This Row],[Date]]-DAY(Table6[[#This Row],[Date]])+1</f>
        <v>45748</v>
      </c>
      <c r="F187" s="118">
        <v>45750</v>
      </c>
      <c r="G187" s="105" t="s">
        <v>110</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473</v>
      </c>
      <c r="N187" s="39" t="s">
        <v>474</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512</v>
      </c>
      <c r="V187" s="351" t="s">
        <v>476</v>
      </c>
      <c r="W187" s="338">
        <f>Table6[[#This Row],[Breakdown Time]]*(1/39)</f>
        <v>0.27649572649572651</v>
      </c>
      <c r="X187" s="336" t="s">
        <v>477</v>
      </c>
      <c r="Y187" s="352" t="s">
        <v>111</v>
      </c>
      <c r="Z187" s="105">
        <v>4518</v>
      </c>
      <c r="AA187" s="107">
        <v>2029.9625000000003</v>
      </c>
      <c r="AB187" s="105" t="s">
        <v>472</v>
      </c>
    </row>
    <row r="188" spans="1:28">
      <c r="A188" s="105">
        <f t="shared" si="2"/>
        <v>187</v>
      </c>
      <c r="B188" s="107">
        <f>YEAR(Table6[[#This Row],[Date]])+IF(MONTH(Table6[[#This Row],[Date]])&gt;=4,1,0)</f>
        <v>2026</v>
      </c>
      <c r="C188" s="105">
        <f>YEAR(Table6[[#This Row],[Date]])</f>
        <v>2025</v>
      </c>
      <c r="D188" s="105" t="s">
        <v>465</v>
      </c>
      <c r="E188" s="119">
        <f>Table6[[#This Row],[Date]]-DAY(Table6[[#This Row],[Date]])+1</f>
        <v>45748</v>
      </c>
      <c r="F188" s="118">
        <v>45750</v>
      </c>
      <c r="G188" s="105" t="s">
        <v>111</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473</v>
      </c>
      <c r="N188" s="39" t="s">
        <v>474</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478</v>
      </c>
      <c r="V188" s="351" t="s">
        <v>476</v>
      </c>
      <c r="W188" s="338">
        <f>Table6[[#This Row],[Breakdown Time]]*(1/39)</f>
        <v>7.2649572649573068E-3</v>
      </c>
      <c r="X188" s="336" t="s">
        <v>477</v>
      </c>
      <c r="Y188" s="352" t="s">
        <v>110</v>
      </c>
      <c r="Z188" s="105">
        <v>6232</v>
      </c>
      <c r="AA188" s="107">
        <v>73.572222222222663</v>
      </c>
      <c r="AB188" s="105" t="s">
        <v>472</v>
      </c>
    </row>
    <row r="189" spans="1:28">
      <c r="A189" s="105">
        <f t="shared" si="2"/>
        <v>188</v>
      </c>
      <c r="B189" s="107">
        <f>YEAR(Table6[[#This Row],[Date]])+IF(MONTH(Table6[[#This Row],[Date]])&gt;=4,1,0)</f>
        <v>2026</v>
      </c>
      <c r="C189" s="105">
        <f>YEAR(Table6[[#This Row],[Date]])</f>
        <v>2025</v>
      </c>
      <c r="D189" s="105" t="s">
        <v>465</v>
      </c>
      <c r="E189" s="119">
        <f>Table6[[#This Row],[Date]]-DAY(Table6[[#This Row],[Date]])+1</f>
        <v>45748</v>
      </c>
      <c r="F189" s="118">
        <v>45750</v>
      </c>
      <c r="G189" s="105" t="s">
        <v>112</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473</v>
      </c>
      <c r="N189" s="39" t="s">
        <v>474</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478</v>
      </c>
      <c r="V189" s="351" t="s">
        <v>476</v>
      </c>
      <c r="W189" s="338">
        <f>Table6[[#This Row],[Breakdown Time]]*(1/39)</f>
        <v>2.1367521367521292E-3</v>
      </c>
      <c r="X189" s="336" t="s">
        <v>477</v>
      </c>
      <c r="Y189" s="352" t="s">
        <v>112</v>
      </c>
      <c r="Z189" s="105">
        <v>6148</v>
      </c>
      <c r="AA189" s="107">
        <v>21.347222222222147</v>
      </c>
      <c r="AB189" s="105" t="s">
        <v>472</v>
      </c>
    </row>
    <row r="190" spans="1:28">
      <c r="A190" s="105">
        <f t="shared" si="2"/>
        <v>189</v>
      </c>
      <c r="B190" s="107">
        <f>YEAR(Table6[[#This Row],[Date]])+IF(MONTH(Table6[[#This Row],[Date]])&gt;=4,1,0)</f>
        <v>2026</v>
      </c>
      <c r="C190" s="105">
        <f>YEAR(Table6[[#This Row],[Date]])</f>
        <v>2025</v>
      </c>
      <c r="D190" s="105" t="s">
        <v>465</v>
      </c>
      <c r="E190" s="119">
        <f>Table6[[#This Row],[Date]]-DAY(Table6[[#This Row],[Date]])+1</f>
        <v>45748</v>
      </c>
      <c r="F190" s="118">
        <v>45750</v>
      </c>
      <c r="G190" s="105" t="s">
        <v>112</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473</v>
      </c>
      <c r="N190" s="39" t="s">
        <v>474</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478</v>
      </c>
      <c r="V190" s="351" t="s">
        <v>476</v>
      </c>
      <c r="W190" s="338">
        <f>Table6[[#This Row],[Breakdown Time]]*(1/39)</f>
        <v>1.4957264957264972E-2</v>
      </c>
      <c r="X190" s="336" t="s">
        <v>477</v>
      </c>
      <c r="Y190" s="352" t="s">
        <v>112</v>
      </c>
      <c r="Z190" s="105">
        <v>6148</v>
      </c>
      <c r="AA190" s="107">
        <v>149.43055555555571</v>
      </c>
      <c r="AB190" s="105" t="s">
        <v>472</v>
      </c>
    </row>
    <row r="191" spans="1:28">
      <c r="A191" s="105">
        <f t="shared" si="2"/>
        <v>190</v>
      </c>
      <c r="B191" s="107">
        <f>YEAR(Table6[[#This Row],[Date]])+IF(MONTH(Table6[[#This Row],[Date]])&gt;=4,1,0)</f>
        <v>2026</v>
      </c>
      <c r="C191" s="105">
        <f>YEAR(Table6[[#This Row],[Date]])</f>
        <v>2025</v>
      </c>
      <c r="D191" s="105" t="s">
        <v>465</v>
      </c>
      <c r="E191" s="119">
        <f>Table6[[#This Row],[Date]]-DAY(Table6[[#This Row],[Date]])+1</f>
        <v>45748</v>
      </c>
      <c r="F191" s="118">
        <v>45750</v>
      </c>
      <c r="G191" s="105" t="s">
        <v>112</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473</v>
      </c>
      <c r="N191" s="39" t="s">
        <v>474</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478</v>
      </c>
      <c r="V191" s="351" t="s">
        <v>476</v>
      </c>
      <c r="W191" s="338">
        <f>Table6[[#This Row],[Breakdown Time]]*(1/39)</f>
        <v>2.1367521367521292E-3</v>
      </c>
      <c r="X191" s="336" t="s">
        <v>477</v>
      </c>
      <c r="Y191" s="352" t="s">
        <v>112</v>
      </c>
      <c r="Z191" s="105">
        <v>6148</v>
      </c>
      <c r="AA191" s="107">
        <v>21.347222222222147</v>
      </c>
      <c r="AB191" s="105" t="s">
        <v>472</v>
      </c>
    </row>
    <row r="192" spans="1:28">
      <c r="A192" s="105">
        <f t="shared" si="2"/>
        <v>191</v>
      </c>
      <c r="B192" s="107">
        <f>YEAR(Table6[[#This Row],[Date]])+IF(MONTH(Table6[[#This Row],[Date]])&gt;=4,1,0)</f>
        <v>2026</v>
      </c>
      <c r="C192" s="105">
        <f>YEAR(Table6[[#This Row],[Date]])</f>
        <v>2025</v>
      </c>
      <c r="D192" s="105" t="s">
        <v>465</v>
      </c>
      <c r="E192" s="119">
        <f>Table6[[#This Row],[Date]]-DAY(Table6[[#This Row],[Date]])+1</f>
        <v>45748</v>
      </c>
      <c r="F192" s="118">
        <v>45751</v>
      </c>
      <c r="G192" s="105" t="s">
        <v>103</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466</v>
      </c>
      <c r="L192" s="39" t="str">
        <f>IFERROR(VLOOKUP(Table6[[#This Row],[Error Code]],'Basic Data'!$T:$U,2,0),"")</f>
        <v>Manual Stop - Safety Related</v>
      </c>
      <c r="M192" s="346" t="s">
        <v>467</v>
      </c>
      <c r="N192" s="39" t="s">
        <v>468</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469</v>
      </c>
      <c r="V192" s="351" t="s">
        <v>470</v>
      </c>
      <c r="W192" s="338">
        <f>Table6[[#This Row],[Breakdown Time]]*(1/39)</f>
        <v>0.61495726495726499</v>
      </c>
      <c r="X192" s="336" t="s">
        <v>486</v>
      </c>
      <c r="Y192" s="352" t="s">
        <v>100</v>
      </c>
      <c r="Z192" s="105">
        <v>4658</v>
      </c>
      <c r="AA192" s="107">
        <v>4654.7652777777785</v>
      </c>
      <c r="AB192" s="105" t="s">
        <v>472</v>
      </c>
    </row>
    <row r="193" spans="1:28">
      <c r="A193" s="105">
        <f t="shared" si="2"/>
        <v>192</v>
      </c>
      <c r="B193" s="107">
        <f>YEAR(Table6[[#This Row],[Date]])+IF(MONTH(Table6[[#This Row],[Date]])&gt;=4,1,0)</f>
        <v>2026</v>
      </c>
      <c r="C193" s="105">
        <f>YEAR(Table6[[#This Row],[Date]])</f>
        <v>2025</v>
      </c>
      <c r="D193" s="105" t="s">
        <v>465</v>
      </c>
      <c r="E193" s="119">
        <f>Table6[[#This Row],[Date]]-DAY(Table6[[#This Row],[Date]])+1</f>
        <v>45748</v>
      </c>
      <c r="F193" s="118">
        <v>45751</v>
      </c>
      <c r="G193" s="105" t="s">
        <v>101</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466</v>
      </c>
      <c r="L193" s="39" t="str">
        <f>IFERROR(VLOOKUP(Table6[[#This Row],[Error Code]],'Basic Data'!$T:$U,2,0),"")</f>
        <v>Manual Stop - Safety Related</v>
      </c>
      <c r="M193" s="346" t="s">
        <v>467</v>
      </c>
      <c r="N193" s="39" t="s">
        <v>468</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469</v>
      </c>
      <c r="V193" s="351" t="s">
        <v>470</v>
      </c>
      <c r="W193" s="338">
        <f>Table6[[#This Row],[Breakdown Time]]*(1/39)</f>
        <v>0.61495726495726499</v>
      </c>
      <c r="X193" s="336" t="s">
        <v>486</v>
      </c>
      <c r="Y193" s="352" t="s">
        <v>100</v>
      </c>
      <c r="Z193" s="105">
        <v>4658</v>
      </c>
      <c r="AA193" s="107">
        <v>4654.7652777777785</v>
      </c>
      <c r="AB193" s="105" t="s">
        <v>472</v>
      </c>
    </row>
    <row r="194" spans="1:28">
      <c r="A194" s="105">
        <f t="shared" si="2"/>
        <v>193</v>
      </c>
      <c r="B194" s="107">
        <f>YEAR(Table6[[#This Row],[Date]])+IF(MONTH(Table6[[#This Row],[Date]])&gt;=4,1,0)</f>
        <v>2026</v>
      </c>
      <c r="C194" s="105">
        <f>YEAR(Table6[[#This Row],[Date]])</f>
        <v>2025</v>
      </c>
      <c r="D194" s="105" t="s">
        <v>465</v>
      </c>
      <c r="E194" s="119">
        <f>Table6[[#This Row],[Date]]-DAY(Table6[[#This Row],[Date]])+1</f>
        <v>45748</v>
      </c>
      <c r="F194" s="118">
        <v>45751</v>
      </c>
      <c r="G194" s="105" t="s">
        <v>76</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473</v>
      </c>
      <c r="N194" s="39" t="s">
        <v>474</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476</v>
      </c>
      <c r="W194" s="338">
        <f>Table6[[#This Row],[Breakdown Time]]*(1/39)</f>
        <v>5.3846153846153856E-2</v>
      </c>
      <c r="X194" s="336" t="s">
        <v>477</v>
      </c>
      <c r="Y194" s="352" t="s">
        <v>77</v>
      </c>
      <c r="Z194" s="105">
        <v>884</v>
      </c>
      <c r="AA194" s="107">
        <v>77.350000000000023</v>
      </c>
      <c r="AB194" s="105" t="s">
        <v>472</v>
      </c>
    </row>
    <row r="195" spans="1:28">
      <c r="A195" s="105">
        <f t="shared" si="2"/>
        <v>194</v>
      </c>
      <c r="B195" s="107">
        <f>YEAR(Table6[[#This Row],[Date]])+IF(MONTH(Table6[[#This Row],[Date]])&gt;=4,1,0)</f>
        <v>2026</v>
      </c>
      <c r="C195" s="105">
        <f>YEAR(Table6[[#This Row],[Date]])</f>
        <v>2025</v>
      </c>
      <c r="D195" s="105" t="s">
        <v>465</v>
      </c>
      <c r="E195" s="119">
        <f>Table6[[#This Row],[Date]]-DAY(Table6[[#This Row],[Date]])+1</f>
        <v>45748</v>
      </c>
      <c r="F195" s="118">
        <v>45751</v>
      </c>
      <c r="G195" s="105" t="s">
        <v>77</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473</v>
      </c>
      <c r="N195" s="39" t="s">
        <v>474</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513</v>
      </c>
      <c r="V195" s="351" t="s">
        <v>476</v>
      </c>
      <c r="W195" s="338">
        <f>Table6[[#This Row],[Breakdown Time]]*(1/39)</f>
        <v>0.26623931623931624</v>
      </c>
      <c r="X195" s="336" t="s">
        <v>477</v>
      </c>
      <c r="Y195" s="352" t="s">
        <v>76</v>
      </c>
      <c r="Z195" s="105">
        <v>4436</v>
      </c>
      <c r="AA195" s="107">
        <v>1919.1861111111111</v>
      </c>
      <c r="AB195" s="105" t="s">
        <v>472</v>
      </c>
    </row>
    <row r="196" spans="1:28">
      <c r="A196" s="105">
        <f t="shared" ref="A196:A259" si="3">A195+1</f>
        <v>195</v>
      </c>
      <c r="B196" s="107">
        <f>YEAR(Table6[[#This Row],[Date]])+IF(MONTH(Table6[[#This Row],[Date]])&gt;=4,1,0)</f>
        <v>2026</v>
      </c>
      <c r="C196" s="105">
        <f>YEAR(Table6[[#This Row],[Date]])</f>
        <v>2025</v>
      </c>
      <c r="D196" s="105" t="s">
        <v>465</v>
      </c>
      <c r="E196" s="119">
        <f>Table6[[#This Row],[Date]]-DAY(Table6[[#This Row],[Date]])+1</f>
        <v>45748</v>
      </c>
      <c r="F196" s="118">
        <v>45751</v>
      </c>
      <c r="G196" s="105" t="s">
        <v>77</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473</v>
      </c>
      <c r="N196" s="39" t="s">
        <v>474</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475</v>
      </c>
      <c r="V196" s="351" t="s">
        <v>476</v>
      </c>
      <c r="W196" s="338">
        <f>Table6[[#This Row],[Breakdown Time]]*(1/39)</f>
        <v>7.1367521367521392E-2</v>
      </c>
      <c r="X196" s="336" t="s">
        <v>477</v>
      </c>
      <c r="Y196" s="352" t="s">
        <v>76</v>
      </c>
      <c r="Z196" s="105">
        <v>4436</v>
      </c>
      <c r="AA196" s="107">
        <v>514.4527777777779</v>
      </c>
      <c r="AB196" s="105" t="s">
        <v>472</v>
      </c>
    </row>
    <row r="197" spans="1:28">
      <c r="A197" s="105">
        <f t="shared" si="3"/>
        <v>196</v>
      </c>
      <c r="B197" s="107">
        <f>YEAR(Table6[[#This Row],[Date]])+IF(MONTH(Table6[[#This Row],[Date]])&gt;=4,1,0)</f>
        <v>2026</v>
      </c>
      <c r="C197" s="105">
        <f>YEAR(Table6[[#This Row],[Date]])</f>
        <v>2025</v>
      </c>
      <c r="D197" s="105" t="s">
        <v>465</v>
      </c>
      <c r="E197" s="119">
        <f>Table6[[#This Row],[Date]]-DAY(Table6[[#This Row],[Date]])+1</f>
        <v>45748</v>
      </c>
      <c r="F197" s="118">
        <v>45751</v>
      </c>
      <c r="G197" s="105" t="s">
        <v>79</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473</v>
      </c>
      <c r="N197" s="39" t="s">
        <v>474</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514</v>
      </c>
      <c r="V197" s="351" t="s">
        <v>476</v>
      </c>
      <c r="W197" s="338">
        <f>Table6[[#This Row],[Breakdown Time]]*(1/39)</f>
        <v>0.35341880341880338</v>
      </c>
      <c r="X197" s="336" t="s">
        <v>477</v>
      </c>
      <c r="Y197" s="352" t="s">
        <v>76</v>
      </c>
      <c r="Z197" s="105">
        <v>4436</v>
      </c>
      <c r="AA197" s="107">
        <v>2547.6194444444441</v>
      </c>
      <c r="AB197" s="105" t="s">
        <v>472</v>
      </c>
    </row>
    <row r="198" spans="1:28">
      <c r="A198" s="105">
        <f t="shared" si="3"/>
        <v>197</v>
      </c>
      <c r="B198" s="107">
        <f>YEAR(Table6[[#This Row],[Date]])+IF(MONTH(Table6[[#This Row],[Date]])&gt;=4,1,0)</f>
        <v>2026</v>
      </c>
      <c r="C198" s="105">
        <f>YEAR(Table6[[#This Row],[Date]])</f>
        <v>2025</v>
      </c>
      <c r="D198" s="105" t="s">
        <v>465</v>
      </c>
      <c r="E198" s="119">
        <f>Table6[[#This Row],[Date]]-DAY(Table6[[#This Row],[Date]])+1</f>
        <v>45748</v>
      </c>
      <c r="F198" s="118">
        <v>45751</v>
      </c>
      <c r="G198" s="105" t="s">
        <v>80</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473</v>
      </c>
      <c r="N198" s="39" t="s">
        <v>474</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484</v>
      </c>
      <c r="V198" s="351" t="s">
        <v>476</v>
      </c>
      <c r="W198" s="338">
        <f>Table6[[#This Row],[Breakdown Time]]*(1/39)</f>
        <v>0.11538461538461538</v>
      </c>
      <c r="X198" s="336" t="s">
        <v>477</v>
      </c>
      <c r="Y198" s="352" t="s">
        <v>74</v>
      </c>
      <c r="Z198" s="105">
        <v>5220</v>
      </c>
      <c r="AA198" s="107">
        <v>978.75</v>
      </c>
      <c r="AB198" s="105" t="s">
        <v>472</v>
      </c>
    </row>
    <row r="199" spans="1:28">
      <c r="A199" s="105">
        <f t="shared" si="3"/>
        <v>198</v>
      </c>
      <c r="B199" s="107">
        <f>YEAR(Table6[[#This Row],[Date]])+IF(MONTH(Table6[[#This Row],[Date]])&gt;=4,1,0)</f>
        <v>2026</v>
      </c>
      <c r="C199" s="105">
        <f>YEAR(Table6[[#This Row],[Date]])</f>
        <v>2025</v>
      </c>
      <c r="D199" s="105" t="s">
        <v>465</v>
      </c>
      <c r="E199" s="119">
        <f>Table6[[#This Row],[Date]]-DAY(Table6[[#This Row],[Date]])+1</f>
        <v>45748</v>
      </c>
      <c r="F199" s="118">
        <v>45751</v>
      </c>
      <c r="G199" s="105" t="s">
        <v>81</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473</v>
      </c>
      <c r="N199" s="39" t="s">
        <v>474</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488</v>
      </c>
      <c r="V199" s="351" t="s">
        <v>476</v>
      </c>
      <c r="W199" s="338">
        <f>Table6[[#This Row],[Breakdown Time]]*(1/39)</f>
        <v>0.23931623931623927</v>
      </c>
      <c r="X199" s="336" t="s">
        <v>477</v>
      </c>
      <c r="Y199" s="352" t="s">
        <v>76</v>
      </c>
      <c r="Z199" s="105">
        <v>4436</v>
      </c>
      <c r="AA199" s="107">
        <v>1725.1111111111111</v>
      </c>
      <c r="AB199" s="105" t="s">
        <v>472</v>
      </c>
    </row>
    <row r="200" spans="1:28">
      <c r="A200" s="105">
        <f t="shared" si="3"/>
        <v>199</v>
      </c>
      <c r="B200" s="107">
        <f>YEAR(Table6[[#This Row],[Date]])+IF(MONTH(Table6[[#This Row],[Date]])&gt;=4,1,0)</f>
        <v>2026</v>
      </c>
      <c r="C200" s="105">
        <f>YEAR(Table6[[#This Row],[Date]])</f>
        <v>2025</v>
      </c>
      <c r="D200" s="105" t="s">
        <v>465</v>
      </c>
      <c r="E200" s="119">
        <f>Table6[[#This Row],[Date]]-DAY(Table6[[#This Row],[Date]])+1</f>
        <v>45748</v>
      </c>
      <c r="F200" s="118">
        <v>45751</v>
      </c>
      <c r="G200" s="105" t="s">
        <v>84</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473</v>
      </c>
      <c r="N200" s="39" t="s">
        <v>474</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478</v>
      </c>
      <c r="V200" s="351" t="s">
        <v>476</v>
      </c>
      <c r="W200" s="338">
        <f>Table6[[#This Row],[Breakdown Time]]*(1/39)</f>
        <v>2.1367521367521292E-3</v>
      </c>
      <c r="X200" s="336" t="s">
        <v>477</v>
      </c>
      <c r="Y200" s="352" t="s">
        <v>83</v>
      </c>
      <c r="Z200" s="105">
        <v>5040</v>
      </c>
      <c r="AA200" s="107">
        <v>17.499999999999936</v>
      </c>
      <c r="AB200" s="105" t="s">
        <v>472</v>
      </c>
    </row>
    <row r="201" spans="1:28">
      <c r="A201" s="105">
        <f t="shared" si="3"/>
        <v>200</v>
      </c>
      <c r="B201" s="107">
        <f>YEAR(Table6[[#This Row],[Date]])+IF(MONTH(Table6[[#This Row],[Date]])&gt;=4,1,0)</f>
        <v>2026</v>
      </c>
      <c r="C201" s="105">
        <f>YEAR(Table6[[#This Row],[Date]])</f>
        <v>2025</v>
      </c>
      <c r="D201" s="105" t="s">
        <v>465</v>
      </c>
      <c r="E201" s="119">
        <f>Table6[[#This Row],[Date]]-DAY(Table6[[#This Row],[Date]])+1</f>
        <v>45748</v>
      </c>
      <c r="F201" s="118">
        <v>45751</v>
      </c>
      <c r="G201" s="105" t="s">
        <v>84</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473</v>
      </c>
      <c r="N201" s="39" t="s">
        <v>474</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478</v>
      </c>
      <c r="V201" s="351" t="s">
        <v>476</v>
      </c>
      <c r="W201" s="338">
        <f>Table6[[#This Row],[Breakdown Time]]*(1/39)</f>
        <v>2.1367521367521292E-3</v>
      </c>
      <c r="X201" s="336" t="s">
        <v>477</v>
      </c>
      <c r="Y201" s="352" t="s">
        <v>83</v>
      </c>
      <c r="Z201" s="105">
        <v>5040</v>
      </c>
      <c r="AA201" s="107">
        <v>17.499999999999936</v>
      </c>
      <c r="AB201" s="105" t="s">
        <v>472</v>
      </c>
    </row>
    <row r="202" spans="1:28">
      <c r="A202" s="105">
        <f t="shared" si="3"/>
        <v>201</v>
      </c>
      <c r="B202" s="107">
        <f>YEAR(Table6[[#This Row],[Date]])+IF(MONTH(Table6[[#This Row],[Date]])&gt;=4,1,0)</f>
        <v>2026</v>
      </c>
      <c r="C202" s="105">
        <f>YEAR(Table6[[#This Row],[Date]])</f>
        <v>2025</v>
      </c>
      <c r="D202" s="105" t="s">
        <v>465</v>
      </c>
      <c r="E202" s="119">
        <f>Table6[[#This Row],[Date]]-DAY(Table6[[#This Row],[Date]])+1</f>
        <v>45748</v>
      </c>
      <c r="F202" s="118">
        <v>45751</v>
      </c>
      <c r="G202" s="105" t="s">
        <v>85</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473</v>
      </c>
      <c r="N202" s="39" t="s">
        <v>474</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475</v>
      </c>
      <c r="V202" s="351" t="s">
        <v>476</v>
      </c>
      <c r="W202" s="338">
        <f>Table6[[#This Row],[Breakdown Time]]*(1/39)</f>
        <v>4.2735042735042583E-3</v>
      </c>
      <c r="X202" s="336" t="s">
        <v>477</v>
      </c>
      <c r="Y202" s="352" t="s">
        <v>82</v>
      </c>
      <c r="Z202" s="105">
        <v>4356</v>
      </c>
      <c r="AA202" s="107">
        <v>30.249999999999893</v>
      </c>
      <c r="AB202" s="105" t="s">
        <v>472</v>
      </c>
    </row>
    <row r="203" spans="1:28">
      <c r="A203" s="105">
        <f t="shared" si="3"/>
        <v>202</v>
      </c>
      <c r="B203" s="107">
        <f>YEAR(Table6[[#This Row],[Date]])+IF(MONTH(Table6[[#This Row],[Date]])&gt;=4,1,0)</f>
        <v>2026</v>
      </c>
      <c r="C203" s="105">
        <f>YEAR(Table6[[#This Row],[Date]])</f>
        <v>2025</v>
      </c>
      <c r="D203" s="105" t="s">
        <v>465</v>
      </c>
      <c r="E203" s="119">
        <f>Table6[[#This Row],[Date]]-DAY(Table6[[#This Row],[Date]])+1</f>
        <v>45748</v>
      </c>
      <c r="F203" s="118">
        <v>45751</v>
      </c>
      <c r="G203" s="105" t="s">
        <v>86</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473</v>
      </c>
      <c r="N203" s="39" t="s">
        <v>474</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478</v>
      </c>
      <c r="V203" s="351" t="s">
        <v>476</v>
      </c>
      <c r="W203" s="338">
        <f>Table6[[#This Row],[Breakdown Time]]*(1/39)</f>
        <v>2.1367521367521365E-3</v>
      </c>
      <c r="X203" s="336" t="s">
        <v>477</v>
      </c>
      <c r="Y203" s="352" t="s">
        <v>85</v>
      </c>
      <c r="Z203" s="105">
        <v>4980</v>
      </c>
      <c r="AA203" s="107">
        <v>17.291666666666664</v>
      </c>
      <c r="AB203" s="105" t="s">
        <v>472</v>
      </c>
    </row>
    <row r="204" spans="1:28">
      <c r="A204" s="105">
        <f t="shared" si="3"/>
        <v>203</v>
      </c>
      <c r="B204" s="107">
        <f>YEAR(Table6[[#This Row],[Date]])+IF(MONTH(Table6[[#This Row],[Date]])&gt;=4,1,0)</f>
        <v>2026</v>
      </c>
      <c r="C204" s="105">
        <f>YEAR(Table6[[#This Row],[Date]])</f>
        <v>2025</v>
      </c>
      <c r="D204" s="105" t="s">
        <v>465</v>
      </c>
      <c r="E204" s="119">
        <f>Table6[[#This Row],[Date]]-DAY(Table6[[#This Row],[Date]])+1</f>
        <v>45748</v>
      </c>
      <c r="F204" s="118">
        <v>45751</v>
      </c>
      <c r="G204" s="105" t="s">
        <v>87</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473</v>
      </c>
      <c r="N204" s="39" t="s">
        <v>474</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475</v>
      </c>
      <c r="V204" s="351" t="s">
        <v>476</v>
      </c>
      <c r="W204" s="338">
        <f>Table6[[#This Row],[Breakdown Time]]*(1/39)</f>
        <v>5.9829059829059617E-3</v>
      </c>
      <c r="X204" s="336" t="s">
        <v>477</v>
      </c>
      <c r="Y204" s="352" t="s">
        <v>86</v>
      </c>
      <c r="Z204" s="105">
        <v>4190</v>
      </c>
      <c r="AA204" s="107">
        <v>40.736111111110965</v>
      </c>
      <c r="AB204" s="105" t="s">
        <v>472</v>
      </c>
    </row>
    <row r="205" spans="1:28">
      <c r="A205" s="105">
        <f t="shared" si="3"/>
        <v>204</v>
      </c>
      <c r="B205" s="107">
        <f>YEAR(Table6[[#This Row],[Date]])+IF(MONTH(Table6[[#This Row],[Date]])&gt;=4,1,0)</f>
        <v>2026</v>
      </c>
      <c r="C205" s="105">
        <f>YEAR(Table6[[#This Row],[Date]])</f>
        <v>2025</v>
      </c>
      <c r="D205" s="105" t="s">
        <v>465</v>
      </c>
      <c r="E205" s="119">
        <f>Table6[[#This Row],[Date]]-DAY(Table6[[#This Row],[Date]])+1</f>
        <v>45748</v>
      </c>
      <c r="F205" s="118">
        <v>45751</v>
      </c>
      <c r="G205" s="105" t="s">
        <v>89</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473</v>
      </c>
      <c r="N205" s="39" t="s">
        <v>474</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489</v>
      </c>
      <c r="V205" s="351" t="s">
        <v>470</v>
      </c>
      <c r="W205" s="338">
        <f>Table6[[#This Row],[Breakdown Time]]*(1/39)</f>
        <v>0.25213675213675207</v>
      </c>
      <c r="X205" s="336" t="s">
        <v>477</v>
      </c>
      <c r="Y205" s="352" t="s">
        <v>90</v>
      </c>
      <c r="Z205" s="105">
        <v>5176</v>
      </c>
      <c r="AA205" s="107">
        <v>2120.7222222222217</v>
      </c>
      <c r="AB205" s="105" t="s">
        <v>472</v>
      </c>
    </row>
    <row r="206" spans="1:28">
      <c r="A206" s="105">
        <f t="shared" si="3"/>
        <v>205</v>
      </c>
      <c r="B206" s="107">
        <f>YEAR(Table6[[#This Row],[Date]])+IF(MONTH(Table6[[#This Row],[Date]])&gt;=4,1,0)</f>
        <v>2026</v>
      </c>
      <c r="C206" s="105">
        <f>YEAR(Table6[[#This Row],[Date]])</f>
        <v>2025</v>
      </c>
      <c r="D206" s="105" t="s">
        <v>465</v>
      </c>
      <c r="E206" s="119">
        <f>Table6[[#This Row],[Date]]-DAY(Table6[[#This Row],[Date]])+1</f>
        <v>45748</v>
      </c>
      <c r="F206" s="118">
        <v>45751</v>
      </c>
      <c r="G206" s="105" t="s">
        <v>89</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466</v>
      </c>
      <c r="L206" s="39" t="str">
        <f>IFERROR(VLOOKUP(Table6[[#This Row],[Error Code]],'Basic Data'!$T:$U,2,0),"")</f>
        <v>Manual Stop - Safety Related</v>
      </c>
      <c r="M206" s="346" t="s">
        <v>467</v>
      </c>
      <c r="N206" s="39" t="s">
        <v>189</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515</v>
      </c>
      <c r="V206" s="351" t="s">
        <v>476</v>
      </c>
      <c r="W206" s="338">
        <f>Table6[[#This Row],[Breakdown Time]]*(1/39)</f>
        <v>0.11111111111111112</v>
      </c>
      <c r="X206" s="336" t="s">
        <v>486</v>
      </c>
      <c r="Y206" s="352" t="s">
        <v>90</v>
      </c>
      <c r="Z206" s="105">
        <v>5176</v>
      </c>
      <c r="AA206" s="107">
        <v>934.55555555555566</v>
      </c>
      <c r="AB206" s="105" t="s">
        <v>472</v>
      </c>
    </row>
    <row r="207" spans="1:28">
      <c r="A207" s="105">
        <f t="shared" si="3"/>
        <v>206</v>
      </c>
      <c r="B207" s="107">
        <f>YEAR(Table6[[#This Row],[Date]])+IF(MONTH(Table6[[#This Row],[Date]])&gt;=4,1,0)</f>
        <v>2026</v>
      </c>
      <c r="C207" s="105">
        <f>YEAR(Table6[[#This Row],[Date]])</f>
        <v>2025</v>
      </c>
      <c r="D207" s="105" t="s">
        <v>465</v>
      </c>
      <c r="E207" s="119">
        <f>Table6[[#This Row],[Date]]-DAY(Table6[[#This Row],[Date]])+1</f>
        <v>45748</v>
      </c>
      <c r="F207" s="118">
        <v>45751</v>
      </c>
      <c r="G207" s="105" t="s">
        <v>89</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473</v>
      </c>
      <c r="N207" s="39" t="s">
        <v>474</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489</v>
      </c>
      <c r="V207" s="351" t="s">
        <v>470</v>
      </c>
      <c r="W207" s="338">
        <f>Table6[[#This Row],[Breakdown Time]]*(1/39)</f>
        <v>0.2517094017094017</v>
      </c>
      <c r="X207" s="336" t="s">
        <v>477</v>
      </c>
      <c r="Y207" s="352" t="s">
        <v>90</v>
      </c>
      <c r="Z207" s="105">
        <v>5176</v>
      </c>
      <c r="AA207" s="107">
        <v>2117.1277777777777</v>
      </c>
      <c r="AB207" s="105" t="s">
        <v>472</v>
      </c>
    </row>
    <row r="208" spans="1:28">
      <c r="A208" s="105">
        <f t="shared" si="3"/>
        <v>207</v>
      </c>
      <c r="B208" s="107">
        <f>YEAR(Table6[[#This Row],[Date]])+IF(MONTH(Table6[[#This Row],[Date]])&gt;=4,1,0)</f>
        <v>2026</v>
      </c>
      <c r="C208" s="105">
        <f>YEAR(Table6[[#This Row],[Date]])</f>
        <v>2025</v>
      </c>
      <c r="D208" s="105" t="s">
        <v>465</v>
      </c>
      <c r="E208" s="119">
        <f>Table6[[#This Row],[Date]]-DAY(Table6[[#This Row],[Date]])+1</f>
        <v>45748</v>
      </c>
      <c r="F208" s="118">
        <v>45751</v>
      </c>
      <c r="G208" s="105" t="s">
        <v>96</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473</v>
      </c>
      <c r="N208" s="39" t="s">
        <v>474</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475</v>
      </c>
      <c r="V208" s="351" t="s">
        <v>476</v>
      </c>
      <c r="W208" s="338">
        <f>Table6[[#This Row],[Breakdown Time]]*(1/39)</f>
        <v>9.4017094017093995E-3</v>
      </c>
      <c r="X208" s="336" t="s">
        <v>477</v>
      </c>
      <c r="Y208" s="352" t="s">
        <v>78</v>
      </c>
      <c r="Z208" s="105">
        <v>4908</v>
      </c>
      <c r="AA208" s="107">
        <v>74.98333333333332</v>
      </c>
      <c r="AB208" s="105" t="s">
        <v>472</v>
      </c>
    </row>
    <row r="209" spans="1:28">
      <c r="A209" s="105">
        <f t="shared" si="3"/>
        <v>208</v>
      </c>
      <c r="B209" s="107">
        <f>YEAR(Table6[[#This Row],[Date]])+IF(MONTH(Table6[[#This Row],[Date]])&gt;=4,1,0)</f>
        <v>2026</v>
      </c>
      <c r="C209" s="105">
        <f>YEAR(Table6[[#This Row],[Date]])</f>
        <v>2025</v>
      </c>
      <c r="D209" s="105" t="s">
        <v>465</v>
      </c>
      <c r="E209" s="119">
        <f>Table6[[#This Row],[Date]]-DAY(Table6[[#This Row],[Date]])+1</f>
        <v>45748</v>
      </c>
      <c r="F209" s="118">
        <v>45751</v>
      </c>
      <c r="G209" s="105" t="s">
        <v>97</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473</v>
      </c>
      <c r="N209" s="39" t="s">
        <v>474</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475</v>
      </c>
      <c r="V209" s="351" t="s">
        <v>476</v>
      </c>
      <c r="W209" s="338">
        <f>Table6[[#This Row],[Breakdown Time]]*(1/39)</f>
        <v>2.008547008547008E-2</v>
      </c>
      <c r="X209" s="336" t="s">
        <v>477</v>
      </c>
      <c r="Y209" s="352" t="s">
        <v>99</v>
      </c>
      <c r="Z209" s="105">
        <v>4378</v>
      </c>
      <c r="AA209" s="107">
        <v>142.89305555555552</v>
      </c>
      <c r="AB209" s="105" t="s">
        <v>472</v>
      </c>
    </row>
    <row r="210" spans="1:28">
      <c r="A210" s="105">
        <f t="shared" si="3"/>
        <v>209</v>
      </c>
      <c r="B210" s="107">
        <f>YEAR(Table6[[#This Row],[Date]])+IF(MONTH(Table6[[#This Row],[Date]])&gt;=4,1,0)</f>
        <v>2026</v>
      </c>
      <c r="C210" s="105">
        <f>YEAR(Table6[[#This Row],[Date]])</f>
        <v>2025</v>
      </c>
      <c r="D210" s="105" t="s">
        <v>465</v>
      </c>
      <c r="E210" s="119">
        <f>Table6[[#This Row],[Date]]-DAY(Table6[[#This Row],[Date]])+1</f>
        <v>45748</v>
      </c>
      <c r="F210" s="118">
        <v>45751</v>
      </c>
      <c r="G210" s="105" t="s">
        <v>106</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473</v>
      </c>
      <c r="N210" s="39" t="s">
        <v>474</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475</v>
      </c>
      <c r="V210" s="351" t="s">
        <v>476</v>
      </c>
      <c r="W210" s="338">
        <f>Table6[[#This Row],[Breakdown Time]]*(1/39)</f>
        <v>0.15555555555555553</v>
      </c>
      <c r="X210" s="336" t="s">
        <v>477</v>
      </c>
      <c r="Y210" s="352" t="s">
        <v>105</v>
      </c>
      <c r="Z210" s="105">
        <v>4113</v>
      </c>
      <c r="AA210" s="107">
        <v>1039.675</v>
      </c>
      <c r="AB210" s="105" t="s">
        <v>472</v>
      </c>
    </row>
    <row r="211" spans="1:28">
      <c r="A211" s="105">
        <f t="shared" si="3"/>
        <v>210</v>
      </c>
      <c r="B211" s="107">
        <f>YEAR(Table6[[#This Row],[Date]])+IF(MONTH(Table6[[#This Row],[Date]])&gt;=4,1,0)</f>
        <v>2026</v>
      </c>
      <c r="C211" s="105">
        <f>YEAR(Table6[[#This Row],[Date]])</f>
        <v>2025</v>
      </c>
      <c r="D211" s="105" t="s">
        <v>465</v>
      </c>
      <c r="E211" s="119">
        <f>Table6[[#This Row],[Date]]-DAY(Table6[[#This Row],[Date]])+1</f>
        <v>45748</v>
      </c>
      <c r="F211" s="118">
        <v>45752</v>
      </c>
      <c r="G211" s="105" t="s">
        <v>103</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466</v>
      </c>
      <c r="L211" s="39" t="str">
        <f>IFERROR(VLOOKUP(Table6[[#This Row],[Error Code]],'Basic Data'!$T:$U,2,0),"")</f>
        <v>Manual Stop - Safety Related</v>
      </c>
      <c r="M211" s="346" t="s">
        <v>467</v>
      </c>
      <c r="N211" s="39" t="s">
        <v>468</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469</v>
      </c>
      <c r="V211" s="351" t="s">
        <v>470</v>
      </c>
      <c r="W211" s="338">
        <f>Table6[[#This Row],[Breakdown Time]]*(1/39)</f>
        <v>0.61495726495726499</v>
      </c>
      <c r="X211" s="336" t="s">
        <v>486</v>
      </c>
      <c r="Y211" s="352" t="s">
        <v>100</v>
      </c>
      <c r="Z211" s="105">
        <v>2572</v>
      </c>
      <c r="AA211" s="107">
        <v>2570.213888888889</v>
      </c>
      <c r="AB211" s="105" t="s">
        <v>472</v>
      </c>
    </row>
    <row r="212" spans="1:28">
      <c r="A212" s="105">
        <f t="shared" si="3"/>
        <v>211</v>
      </c>
      <c r="B212" s="107">
        <f>YEAR(Table6[[#This Row],[Date]])+IF(MONTH(Table6[[#This Row],[Date]])&gt;=4,1,0)</f>
        <v>2026</v>
      </c>
      <c r="C212" s="105">
        <f>YEAR(Table6[[#This Row],[Date]])</f>
        <v>2025</v>
      </c>
      <c r="D212" s="105" t="s">
        <v>465</v>
      </c>
      <c r="E212" s="119">
        <f>Table6[[#This Row],[Date]]-DAY(Table6[[#This Row],[Date]])+1</f>
        <v>45748</v>
      </c>
      <c r="F212" s="118">
        <v>45752</v>
      </c>
      <c r="G212" s="105" t="s">
        <v>101</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466</v>
      </c>
      <c r="L212" s="39" t="str">
        <f>IFERROR(VLOOKUP(Table6[[#This Row],[Error Code]],'Basic Data'!$T:$U,2,0),"")</f>
        <v>Manual Stop - Safety Related</v>
      </c>
      <c r="M212" s="346" t="s">
        <v>467</v>
      </c>
      <c r="N212" s="39" t="s">
        <v>468</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469</v>
      </c>
      <c r="V212" s="351" t="s">
        <v>470</v>
      </c>
      <c r="W212" s="338">
        <f>Table6[[#This Row],[Breakdown Time]]*(1/39)</f>
        <v>0.61495726495726499</v>
      </c>
      <c r="X212" s="336" t="s">
        <v>486</v>
      </c>
      <c r="Y212" s="352" t="s">
        <v>100</v>
      </c>
      <c r="Z212" s="105">
        <v>2572</v>
      </c>
      <c r="AA212" s="107">
        <v>2570.213888888889</v>
      </c>
      <c r="AB212" s="105" t="s">
        <v>472</v>
      </c>
    </row>
    <row r="213" spans="1:28">
      <c r="A213" s="105">
        <f t="shared" si="3"/>
        <v>212</v>
      </c>
      <c r="B213" s="107">
        <f>YEAR(Table6[[#This Row],[Date]])+IF(MONTH(Table6[[#This Row],[Date]])&gt;=4,1,0)</f>
        <v>2026</v>
      </c>
      <c r="C213" s="105">
        <f>YEAR(Table6[[#This Row],[Date]])</f>
        <v>2025</v>
      </c>
      <c r="D213" s="105" t="s">
        <v>465</v>
      </c>
      <c r="E213" s="119">
        <f>Table6[[#This Row],[Date]]-DAY(Table6[[#This Row],[Date]])+1</f>
        <v>45748</v>
      </c>
      <c r="F213" s="118">
        <v>45752</v>
      </c>
      <c r="G213" s="105" t="s">
        <v>77</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473</v>
      </c>
      <c r="N213" s="39" t="s">
        <v>474</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475</v>
      </c>
      <c r="V213" s="351" t="s">
        <v>476</v>
      </c>
      <c r="W213" s="338">
        <f>Table6[[#This Row],[Breakdown Time]]*(1/39)</f>
        <v>6.8376068376068471E-3</v>
      </c>
      <c r="X213" s="336" t="s">
        <v>477</v>
      </c>
      <c r="Y213" s="352" t="s">
        <v>76</v>
      </c>
      <c r="Z213" s="105">
        <v>1912</v>
      </c>
      <c r="AA213" s="107">
        <v>21.244444444444476</v>
      </c>
      <c r="AB213" s="105" t="s">
        <v>472</v>
      </c>
    </row>
    <row r="214" spans="1:28">
      <c r="A214" s="105">
        <f t="shared" si="3"/>
        <v>213</v>
      </c>
      <c r="B214" s="107">
        <f>YEAR(Table6[[#This Row],[Date]])+IF(MONTH(Table6[[#This Row],[Date]])&gt;=4,1,0)</f>
        <v>2026</v>
      </c>
      <c r="C214" s="105">
        <f>YEAR(Table6[[#This Row],[Date]])</f>
        <v>2025</v>
      </c>
      <c r="D214" s="105" t="s">
        <v>465</v>
      </c>
      <c r="E214" s="119">
        <f>Table6[[#This Row],[Date]]-DAY(Table6[[#This Row],[Date]])+1</f>
        <v>45748</v>
      </c>
      <c r="F214" s="118">
        <v>45752</v>
      </c>
      <c r="G214" s="105" t="s">
        <v>77</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473</v>
      </c>
      <c r="N214" s="39" t="s">
        <v>474</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478</v>
      </c>
      <c r="V214" s="351" t="s">
        <v>476</v>
      </c>
      <c r="W214" s="338">
        <f>Table6[[#This Row],[Breakdown Time]]*(1/39)</f>
        <v>1.7094017094017033E-3</v>
      </c>
      <c r="X214" s="336" t="s">
        <v>477</v>
      </c>
      <c r="Y214" s="352" t="s">
        <v>76</v>
      </c>
      <c r="Z214" s="105">
        <v>1912</v>
      </c>
      <c r="AA214" s="107">
        <v>5.3111111111110922</v>
      </c>
      <c r="AB214" s="105" t="s">
        <v>472</v>
      </c>
    </row>
    <row r="215" spans="1:28">
      <c r="A215" s="105">
        <f t="shared" si="3"/>
        <v>214</v>
      </c>
      <c r="B215" s="107">
        <f>YEAR(Table6[[#This Row],[Date]])+IF(MONTH(Table6[[#This Row],[Date]])&gt;=4,1,0)</f>
        <v>2026</v>
      </c>
      <c r="C215" s="105">
        <f>YEAR(Table6[[#This Row],[Date]])</f>
        <v>2025</v>
      </c>
      <c r="D215" s="105" t="s">
        <v>465</v>
      </c>
      <c r="E215" s="119">
        <f>Table6[[#This Row],[Date]]-DAY(Table6[[#This Row],[Date]])+1</f>
        <v>45748</v>
      </c>
      <c r="F215" s="118">
        <v>45752</v>
      </c>
      <c r="G215" s="105" t="s">
        <v>84</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473</v>
      </c>
      <c r="N215" s="39" t="s">
        <v>474</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478</v>
      </c>
      <c r="V215" s="351" t="s">
        <v>476</v>
      </c>
      <c r="W215" s="338">
        <f>Table6[[#This Row],[Breakdown Time]]*(1/39)</f>
        <v>2.1367521367521461E-3</v>
      </c>
      <c r="X215" s="336" t="s">
        <v>477</v>
      </c>
      <c r="Y215" s="352" t="s">
        <v>83</v>
      </c>
      <c r="Z215" s="105">
        <v>1448</v>
      </c>
      <c r="AA215" s="107">
        <v>5.0277777777777999</v>
      </c>
      <c r="AB215" s="105" t="s">
        <v>472</v>
      </c>
    </row>
    <row r="216" spans="1:28">
      <c r="A216" s="105">
        <f t="shared" si="3"/>
        <v>215</v>
      </c>
      <c r="B216" s="107">
        <f>YEAR(Table6[[#This Row],[Date]])+IF(MONTH(Table6[[#This Row],[Date]])&gt;=4,1,0)</f>
        <v>2026</v>
      </c>
      <c r="C216" s="105">
        <f>YEAR(Table6[[#This Row],[Date]])</f>
        <v>2025</v>
      </c>
      <c r="D216" s="105" t="s">
        <v>465</v>
      </c>
      <c r="E216" s="119">
        <f>Table6[[#This Row],[Date]]-DAY(Table6[[#This Row],[Date]])+1</f>
        <v>45748</v>
      </c>
      <c r="F216" s="118">
        <v>45752</v>
      </c>
      <c r="G216" s="105" t="s">
        <v>84</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473</v>
      </c>
      <c r="N216" s="39" t="s">
        <v>474</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478</v>
      </c>
      <c r="V216" s="351" t="s">
        <v>476</v>
      </c>
      <c r="W216" s="338">
        <f>Table6[[#This Row],[Breakdown Time]]*(1/39)</f>
        <v>2.1367521367521292E-3</v>
      </c>
      <c r="X216" s="336" t="s">
        <v>477</v>
      </c>
      <c r="Y216" s="352" t="s">
        <v>83</v>
      </c>
      <c r="Z216" s="105">
        <v>1448</v>
      </c>
      <c r="AA216" s="107">
        <v>5.0277777777777599</v>
      </c>
      <c r="AB216" s="105" t="s">
        <v>472</v>
      </c>
    </row>
    <row r="217" spans="1:28">
      <c r="A217" s="105">
        <f t="shared" si="3"/>
        <v>216</v>
      </c>
      <c r="B217" s="107">
        <f>YEAR(Table6[[#This Row],[Date]])+IF(MONTH(Table6[[#This Row],[Date]])&gt;=4,1,0)</f>
        <v>2026</v>
      </c>
      <c r="C217" s="105">
        <f>YEAR(Table6[[#This Row],[Date]])</f>
        <v>2025</v>
      </c>
      <c r="D217" s="105" t="s">
        <v>465</v>
      </c>
      <c r="E217" s="119">
        <f>Table6[[#This Row],[Date]]-DAY(Table6[[#This Row],[Date]])+1</f>
        <v>45748</v>
      </c>
      <c r="F217" s="118">
        <v>45752</v>
      </c>
      <c r="G217" s="105" t="s">
        <v>86</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473</v>
      </c>
      <c r="N217" s="39" t="s">
        <v>474</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484</v>
      </c>
      <c r="V217" s="351" t="s">
        <v>476</v>
      </c>
      <c r="W217" s="338">
        <f>Table6[[#This Row],[Breakdown Time]]*(1/39)</f>
        <v>1.2393162393162349E-2</v>
      </c>
      <c r="X217" s="336" t="s">
        <v>477</v>
      </c>
      <c r="Y217" s="352" t="s">
        <v>87</v>
      </c>
      <c r="Z217" s="105">
        <v>1700</v>
      </c>
      <c r="AA217" s="107">
        <v>34.236111111110986</v>
      </c>
      <c r="AB217" s="105" t="s">
        <v>472</v>
      </c>
    </row>
    <row r="218" spans="1:28">
      <c r="A218" s="105">
        <f t="shared" si="3"/>
        <v>217</v>
      </c>
      <c r="B218" s="107">
        <f>YEAR(Table6[[#This Row],[Date]])+IF(MONTH(Table6[[#This Row],[Date]])&gt;=4,1,0)</f>
        <v>2026</v>
      </c>
      <c r="C218" s="105">
        <f>YEAR(Table6[[#This Row],[Date]])</f>
        <v>2025</v>
      </c>
      <c r="D218" s="105" t="s">
        <v>465</v>
      </c>
      <c r="E218" s="119">
        <f>Table6[[#This Row],[Date]]-DAY(Table6[[#This Row],[Date]])+1</f>
        <v>45748</v>
      </c>
      <c r="F218" s="118">
        <v>45752</v>
      </c>
      <c r="G218" s="105" t="s">
        <v>95</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473</v>
      </c>
      <c r="N218" s="39" t="s">
        <v>474</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478</v>
      </c>
      <c r="V218" s="351" t="s">
        <v>476</v>
      </c>
      <c r="W218" s="338">
        <f>Table6[[#This Row],[Breakdown Time]]*(1/39)</f>
        <v>2.1367521367521292E-3</v>
      </c>
      <c r="X218" s="336" t="s">
        <v>477</v>
      </c>
      <c r="Y218" s="352" t="s">
        <v>94</v>
      </c>
      <c r="Z218" s="105">
        <v>2750</v>
      </c>
      <c r="AA218" s="107">
        <v>9.548611111111077</v>
      </c>
      <c r="AB218" s="105" t="s">
        <v>472</v>
      </c>
    </row>
    <row r="219" spans="1:28">
      <c r="A219" s="105">
        <f t="shared" si="3"/>
        <v>218</v>
      </c>
      <c r="B219" s="107">
        <f>YEAR(Table6[[#This Row],[Date]])+IF(MONTH(Table6[[#This Row],[Date]])&gt;=4,1,0)</f>
        <v>2026</v>
      </c>
      <c r="C219" s="105">
        <f>YEAR(Table6[[#This Row],[Date]])</f>
        <v>2025</v>
      </c>
      <c r="D219" s="105" t="s">
        <v>465</v>
      </c>
      <c r="E219" s="119">
        <f>Table6[[#This Row],[Date]]-DAY(Table6[[#This Row],[Date]])+1</f>
        <v>45748</v>
      </c>
      <c r="F219" s="118">
        <v>45752</v>
      </c>
      <c r="G219" s="105" t="s">
        <v>105</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466</v>
      </c>
      <c r="L219" s="39" t="str">
        <f>IFERROR(VLOOKUP(Table6[[#This Row],[Error Code]],'Basic Data'!$T:$U,2,0),"")</f>
        <v>Manual Stop - Safety Related</v>
      </c>
      <c r="M219" s="346" t="s">
        <v>467</v>
      </c>
      <c r="N219" s="39" t="s">
        <v>189</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515</v>
      </c>
      <c r="V219" s="351" t="s">
        <v>476</v>
      </c>
      <c r="W219" s="338">
        <f>Table6[[#This Row],[Breakdown Time]]*(1/39)</f>
        <v>0.12735042735042734</v>
      </c>
      <c r="X219" s="336" t="s">
        <v>477</v>
      </c>
      <c r="Y219" s="352" t="s">
        <v>106</v>
      </c>
      <c r="Z219" s="105">
        <v>2528</v>
      </c>
      <c r="AA219" s="107">
        <v>523.15555555555557</v>
      </c>
      <c r="AB219" s="105" t="s">
        <v>472</v>
      </c>
    </row>
    <row r="220" spans="1:28">
      <c r="A220" s="105">
        <f t="shared" si="3"/>
        <v>219</v>
      </c>
      <c r="B220" s="107">
        <f>YEAR(Table6[[#This Row],[Date]])+IF(MONTH(Table6[[#This Row],[Date]])&gt;=4,1,0)</f>
        <v>2026</v>
      </c>
      <c r="C220" s="105">
        <f>YEAR(Table6[[#This Row],[Date]])</f>
        <v>2025</v>
      </c>
      <c r="D220" s="105" t="s">
        <v>465</v>
      </c>
      <c r="E220" s="119">
        <f>Table6[[#This Row],[Date]]-DAY(Table6[[#This Row],[Date]])+1</f>
        <v>45748</v>
      </c>
      <c r="F220" s="118">
        <v>45753</v>
      </c>
      <c r="G220" s="105" t="s">
        <v>103</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466</v>
      </c>
      <c r="L220" s="39" t="str">
        <f>IFERROR(VLOOKUP(Table6[[#This Row],[Error Code]],'Basic Data'!$T:$U,2,0),"")</f>
        <v>Manual Stop - Safety Related</v>
      </c>
      <c r="M220" s="346" t="s">
        <v>467</v>
      </c>
      <c r="N220" s="39" t="s">
        <v>468</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469</v>
      </c>
      <c r="V220" s="351" t="s">
        <v>470</v>
      </c>
      <c r="W220" s="338">
        <f>Table6[[#This Row],[Breakdown Time]]*(1/39)</f>
        <v>0.61495726495726499</v>
      </c>
      <c r="X220" s="336" t="s">
        <v>486</v>
      </c>
      <c r="Y220" s="352" t="s">
        <v>100</v>
      </c>
      <c r="Z220" s="105">
        <v>2824</v>
      </c>
      <c r="AA220" s="107">
        <v>2822.0388888888892</v>
      </c>
      <c r="AB220" s="105" t="s">
        <v>472</v>
      </c>
    </row>
    <row r="221" spans="1:28">
      <c r="A221" s="105">
        <f t="shared" si="3"/>
        <v>220</v>
      </c>
      <c r="B221" s="107">
        <f>YEAR(Table6[[#This Row],[Date]])+IF(MONTH(Table6[[#This Row],[Date]])&gt;=4,1,0)</f>
        <v>2026</v>
      </c>
      <c r="C221" s="105">
        <f>YEAR(Table6[[#This Row],[Date]])</f>
        <v>2025</v>
      </c>
      <c r="D221" s="105" t="s">
        <v>465</v>
      </c>
      <c r="E221" s="119">
        <f>Table6[[#This Row],[Date]]-DAY(Table6[[#This Row],[Date]])+1</f>
        <v>45748</v>
      </c>
      <c r="F221" s="118">
        <v>45753</v>
      </c>
      <c r="G221" s="105" t="s">
        <v>101</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466</v>
      </c>
      <c r="L221" s="39" t="str">
        <f>IFERROR(VLOOKUP(Table6[[#This Row],[Error Code]],'Basic Data'!$T:$U,2,0),"")</f>
        <v>Manual Stop - Safety Related</v>
      </c>
      <c r="M221" s="346" t="s">
        <v>467</v>
      </c>
      <c r="N221" s="39" t="s">
        <v>468</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469</v>
      </c>
      <c r="V221" s="351" t="s">
        <v>470</v>
      </c>
      <c r="W221" s="338">
        <f>Table6[[#This Row],[Breakdown Time]]*(1/39)</f>
        <v>0.61495726495726499</v>
      </c>
      <c r="X221" s="336" t="s">
        <v>486</v>
      </c>
      <c r="Y221" s="352" t="s">
        <v>100</v>
      </c>
      <c r="Z221" s="105">
        <v>2824</v>
      </c>
      <c r="AA221" s="107">
        <v>2822.0388888888892</v>
      </c>
      <c r="AB221" s="105" t="s">
        <v>472</v>
      </c>
    </row>
    <row r="222" spans="1:28">
      <c r="A222" s="105">
        <f t="shared" si="3"/>
        <v>221</v>
      </c>
      <c r="B222" s="107">
        <f>YEAR(Table6[[#This Row],[Date]])+IF(MONTH(Table6[[#This Row],[Date]])&gt;=4,1,0)</f>
        <v>2026</v>
      </c>
      <c r="C222" s="105">
        <f>YEAR(Table6[[#This Row],[Date]])</f>
        <v>2025</v>
      </c>
      <c r="D222" s="105" t="s">
        <v>465</v>
      </c>
      <c r="E222" s="119">
        <f>Table6[[#This Row],[Date]]-DAY(Table6[[#This Row],[Date]])+1</f>
        <v>45748</v>
      </c>
      <c r="F222" s="118">
        <v>45753</v>
      </c>
      <c r="G222" s="105" t="s">
        <v>74</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473</v>
      </c>
      <c r="N222" s="39" t="s">
        <v>474</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478</v>
      </c>
      <c r="V222" s="351" t="s">
        <v>476</v>
      </c>
      <c r="W222" s="338">
        <f>Table6[[#This Row],[Breakdown Time]]*(1/39)</f>
        <v>2.1367521367521972E-3</v>
      </c>
      <c r="X222" s="336" t="s">
        <v>477</v>
      </c>
      <c r="Y222" s="352" t="s">
        <v>80</v>
      </c>
      <c r="Z222" s="105">
        <v>3428</v>
      </c>
      <c r="AA222" s="107">
        <v>11.902777777778116</v>
      </c>
      <c r="AB222" s="105" t="s">
        <v>472</v>
      </c>
    </row>
    <row r="223" spans="1:28">
      <c r="A223" s="105">
        <f t="shared" si="3"/>
        <v>222</v>
      </c>
      <c r="B223" s="107">
        <f>YEAR(Table6[[#This Row],[Date]])+IF(MONTH(Table6[[#This Row],[Date]])&gt;=4,1,0)</f>
        <v>2026</v>
      </c>
      <c r="C223" s="105">
        <f>YEAR(Table6[[#This Row],[Date]])</f>
        <v>2025</v>
      </c>
      <c r="D223" s="105" t="s">
        <v>465</v>
      </c>
      <c r="E223" s="119">
        <f>Table6[[#This Row],[Date]]-DAY(Table6[[#This Row],[Date]])+1</f>
        <v>45748</v>
      </c>
      <c r="F223" s="118">
        <v>45753</v>
      </c>
      <c r="G223" s="105" t="s">
        <v>88</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466</v>
      </c>
      <c r="L223" s="39" t="str">
        <f>IFERROR(VLOOKUP(Table6[[#This Row],[Error Code]],'Basic Data'!$T:$U,2,0),"")</f>
        <v>Manual Stop - Safety Related</v>
      </c>
      <c r="M223" s="346" t="s">
        <v>467</v>
      </c>
      <c r="N223" s="39" t="s">
        <v>189</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485</v>
      </c>
      <c r="V223" s="351" t="s">
        <v>476</v>
      </c>
      <c r="W223" s="338">
        <f>Table6[[#This Row],[Breakdown Time]]*(1/39)</f>
        <v>7.649572649572646E-2</v>
      </c>
      <c r="X223" s="336" t="s">
        <v>486</v>
      </c>
      <c r="Y223" s="352" t="s">
        <v>87</v>
      </c>
      <c r="Z223" s="105">
        <v>3212</v>
      </c>
      <c r="AA223" s="107">
        <v>399.26944444444428</v>
      </c>
      <c r="AB223" s="105" t="s">
        <v>472</v>
      </c>
    </row>
    <row r="224" spans="1:28">
      <c r="A224" s="105">
        <f t="shared" si="3"/>
        <v>223</v>
      </c>
      <c r="B224" s="107">
        <f>YEAR(Table6[[#This Row],[Date]])+IF(MONTH(Table6[[#This Row],[Date]])&gt;=4,1,0)</f>
        <v>2026</v>
      </c>
      <c r="C224" s="105">
        <f>YEAR(Table6[[#This Row],[Date]])</f>
        <v>2025</v>
      </c>
      <c r="D224" s="105" t="s">
        <v>465</v>
      </c>
      <c r="E224" s="119">
        <f>Table6[[#This Row],[Date]]-DAY(Table6[[#This Row],[Date]])+1</f>
        <v>45748</v>
      </c>
      <c r="F224" s="118">
        <v>45753</v>
      </c>
      <c r="G224" s="105" t="s">
        <v>89</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473</v>
      </c>
      <c r="N224" s="39" t="s">
        <v>474</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489</v>
      </c>
      <c r="V224" s="351" t="s">
        <v>470</v>
      </c>
      <c r="W224" s="338">
        <f>Table6[[#This Row],[Breakdown Time]]*(1/39)</f>
        <v>0.61495726495726499</v>
      </c>
      <c r="X224" s="336" t="s">
        <v>477</v>
      </c>
      <c r="Y224" s="352" t="s">
        <v>90</v>
      </c>
      <c r="Z224" s="105">
        <v>3500</v>
      </c>
      <c r="AA224" s="107">
        <v>3497.5694444444448</v>
      </c>
      <c r="AB224" s="105" t="s">
        <v>472</v>
      </c>
    </row>
    <row r="225" spans="1:28">
      <c r="A225" s="105">
        <f t="shared" si="3"/>
        <v>224</v>
      </c>
      <c r="B225" s="107">
        <f>YEAR(Table6[[#This Row],[Date]])+IF(MONTH(Table6[[#This Row],[Date]])&gt;=4,1,0)</f>
        <v>2026</v>
      </c>
      <c r="C225" s="105">
        <f>YEAR(Table6[[#This Row],[Date]])</f>
        <v>2025</v>
      </c>
      <c r="D225" s="105" t="s">
        <v>465</v>
      </c>
      <c r="E225" s="119">
        <f>Table6[[#This Row],[Date]]-DAY(Table6[[#This Row],[Date]])+1</f>
        <v>45748</v>
      </c>
      <c r="F225" s="118">
        <v>45754</v>
      </c>
      <c r="G225" s="105" t="s">
        <v>103</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466</v>
      </c>
      <c r="L225" s="39" t="str">
        <f>IFERROR(VLOOKUP(Table6[[#This Row],[Error Code]],'Basic Data'!$T:$U,2,0),"")</f>
        <v>Manual Stop - Safety Related</v>
      </c>
      <c r="M225" s="346" t="s">
        <v>467</v>
      </c>
      <c r="N225" s="39" t="s">
        <v>468</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469</v>
      </c>
      <c r="V225" s="351" t="s">
        <v>470</v>
      </c>
      <c r="W225" s="338">
        <f>Table6[[#This Row],[Breakdown Time]]*(1/39)</f>
        <v>0.61495726495726499</v>
      </c>
      <c r="X225" s="336" t="s">
        <v>486</v>
      </c>
      <c r="Y225" s="352" t="s">
        <v>100</v>
      </c>
      <c r="Z225" s="105">
        <v>7807</v>
      </c>
      <c r="AA225" s="107">
        <v>7801.5784722222234</v>
      </c>
      <c r="AB225" s="105" t="s">
        <v>472</v>
      </c>
    </row>
    <row r="226" spans="1:28">
      <c r="A226" s="105">
        <f t="shared" si="3"/>
        <v>225</v>
      </c>
      <c r="B226" s="107">
        <f>YEAR(Table6[[#This Row],[Date]])+IF(MONTH(Table6[[#This Row],[Date]])&gt;=4,1,0)</f>
        <v>2026</v>
      </c>
      <c r="C226" s="105">
        <f>YEAR(Table6[[#This Row],[Date]])</f>
        <v>2025</v>
      </c>
      <c r="D226" s="105" t="s">
        <v>465</v>
      </c>
      <c r="E226" s="119">
        <f>Table6[[#This Row],[Date]]-DAY(Table6[[#This Row],[Date]])+1</f>
        <v>45748</v>
      </c>
      <c r="F226" s="118">
        <v>45754</v>
      </c>
      <c r="G226" s="105" t="s">
        <v>101</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466</v>
      </c>
      <c r="L226" s="39" t="str">
        <f>IFERROR(VLOOKUP(Table6[[#This Row],[Error Code]],'Basic Data'!$T:$U,2,0),"")</f>
        <v>Manual Stop - Safety Related</v>
      </c>
      <c r="M226" s="346" t="s">
        <v>467</v>
      </c>
      <c r="N226" s="39" t="s">
        <v>468</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469</v>
      </c>
      <c r="V226" s="351" t="s">
        <v>470</v>
      </c>
      <c r="W226" s="338">
        <f>Table6[[#This Row],[Breakdown Time]]*(1/39)</f>
        <v>0.61495726495726499</v>
      </c>
      <c r="X226" s="336" t="s">
        <v>486</v>
      </c>
      <c r="Y226" s="352" t="s">
        <v>100</v>
      </c>
      <c r="Z226" s="105">
        <v>7807</v>
      </c>
      <c r="AA226" s="107">
        <v>7801.5784722222234</v>
      </c>
      <c r="AB226" s="105" t="s">
        <v>472</v>
      </c>
    </row>
    <row r="227" spans="1:28">
      <c r="A227" s="105">
        <f t="shared" si="3"/>
        <v>226</v>
      </c>
      <c r="B227" s="107">
        <f>YEAR(Table6[[#This Row],[Date]])+IF(MONTH(Table6[[#This Row],[Date]])&gt;=4,1,0)</f>
        <v>2026</v>
      </c>
      <c r="C227" s="105">
        <f>YEAR(Table6[[#This Row],[Date]])</f>
        <v>2025</v>
      </c>
      <c r="D227" s="105" t="s">
        <v>465</v>
      </c>
      <c r="E227" s="119">
        <f>Table6[[#This Row],[Date]]-DAY(Table6[[#This Row],[Date]])+1</f>
        <v>45748</v>
      </c>
      <c r="F227" s="118">
        <v>45754</v>
      </c>
      <c r="G227" s="105" t="s">
        <v>74</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473</v>
      </c>
      <c r="N227" s="39" t="s">
        <v>474</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478</v>
      </c>
      <c r="V227" s="351" t="s">
        <v>476</v>
      </c>
      <c r="W227" s="338">
        <f>Table6[[#This Row],[Breakdown Time]]*(1/39)</f>
        <v>2.1367521367521378E-3</v>
      </c>
      <c r="X227" s="336" t="s">
        <v>477</v>
      </c>
      <c r="Y227" s="352" t="s">
        <v>80</v>
      </c>
      <c r="Z227" s="105">
        <v>4061</v>
      </c>
      <c r="AA227" s="107">
        <v>14.100694444444452</v>
      </c>
      <c r="AB227" s="105" t="s">
        <v>472</v>
      </c>
    </row>
    <row r="228" spans="1:28">
      <c r="A228" s="105">
        <f t="shared" si="3"/>
        <v>227</v>
      </c>
      <c r="B228" s="107">
        <f>YEAR(Table6[[#This Row],[Date]])+IF(MONTH(Table6[[#This Row],[Date]])&gt;=4,1,0)</f>
        <v>2026</v>
      </c>
      <c r="C228" s="105">
        <f>YEAR(Table6[[#This Row],[Date]])</f>
        <v>2025</v>
      </c>
      <c r="D228" s="105" t="s">
        <v>465</v>
      </c>
      <c r="E228" s="119">
        <f>Table6[[#This Row],[Date]]-DAY(Table6[[#This Row],[Date]])+1</f>
        <v>45748</v>
      </c>
      <c r="F228" s="118">
        <v>45754</v>
      </c>
      <c r="G228" s="105" t="s">
        <v>74</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473</v>
      </c>
      <c r="N228" s="39" t="s">
        <v>474</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478</v>
      </c>
      <c r="V228" s="351" t="s">
        <v>476</v>
      </c>
      <c r="W228" s="338">
        <f>Table6[[#This Row],[Breakdown Time]]*(1/39)</f>
        <v>2.1367521367521292E-3</v>
      </c>
      <c r="X228" s="336" t="s">
        <v>477</v>
      </c>
      <c r="Y228" s="352" t="s">
        <v>80</v>
      </c>
      <c r="Z228" s="105">
        <v>4061</v>
      </c>
      <c r="AA228" s="107">
        <v>14.100694444444395</v>
      </c>
      <c r="AB228" s="105" t="s">
        <v>472</v>
      </c>
    </row>
    <row r="229" spans="1:28">
      <c r="A229" s="105">
        <f t="shared" si="3"/>
        <v>228</v>
      </c>
      <c r="B229" s="107">
        <f>YEAR(Table6[[#This Row],[Date]])+IF(MONTH(Table6[[#This Row],[Date]])&gt;=4,1,0)</f>
        <v>2026</v>
      </c>
      <c r="C229" s="105">
        <f>YEAR(Table6[[#This Row],[Date]])</f>
        <v>2025</v>
      </c>
      <c r="D229" s="105" t="s">
        <v>465</v>
      </c>
      <c r="E229" s="119">
        <f>Table6[[#This Row],[Date]]-DAY(Table6[[#This Row],[Date]])+1</f>
        <v>45748</v>
      </c>
      <c r="F229" s="118">
        <v>45754</v>
      </c>
      <c r="G229" s="105" t="s">
        <v>77</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473</v>
      </c>
      <c r="N229" s="39" t="s">
        <v>474</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478</v>
      </c>
      <c r="V229" s="351" t="s">
        <v>476</v>
      </c>
      <c r="W229" s="338">
        <f>Table6[[#This Row],[Breakdown Time]]*(1/39)</f>
        <v>8.5470085470085166E-4</v>
      </c>
      <c r="X229" s="336" t="s">
        <v>477</v>
      </c>
      <c r="Y229" s="352" t="s">
        <v>76</v>
      </c>
      <c r="Z229" s="105">
        <v>5516</v>
      </c>
      <c r="AA229" s="107">
        <v>7.6611111111110839</v>
      </c>
      <c r="AB229" s="105" t="s">
        <v>472</v>
      </c>
    </row>
    <row r="230" spans="1:28">
      <c r="A230" s="105">
        <f t="shared" si="3"/>
        <v>229</v>
      </c>
      <c r="B230" s="107">
        <f>YEAR(Table6[[#This Row],[Date]])+IF(MONTH(Table6[[#This Row],[Date]])&gt;=4,1,0)</f>
        <v>2026</v>
      </c>
      <c r="C230" s="105">
        <f>YEAR(Table6[[#This Row],[Date]])</f>
        <v>2025</v>
      </c>
      <c r="D230" s="105" t="s">
        <v>465</v>
      </c>
      <c r="E230" s="119">
        <f>Table6[[#This Row],[Date]]-DAY(Table6[[#This Row],[Date]])+1</f>
        <v>45748</v>
      </c>
      <c r="F230" s="118">
        <v>45754</v>
      </c>
      <c r="G230" s="105" t="s">
        <v>79</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473</v>
      </c>
      <c r="N230" s="39" t="s">
        <v>474</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516</v>
      </c>
      <c r="V230" s="351" t="s">
        <v>476</v>
      </c>
      <c r="W230" s="338">
        <f>Table6[[#This Row],[Breakdown Time]]*(1/39)</f>
        <v>3.0341880341880349E-2</v>
      </c>
      <c r="X230" s="336" t="s">
        <v>477</v>
      </c>
      <c r="Y230" s="352" t="s">
        <v>76</v>
      </c>
      <c r="Z230" s="105">
        <v>5516</v>
      </c>
      <c r="AA230" s="107">
        <v>271.96944444444449</v>
      </c>
      <c r="AB230" s="105" t="s">
        <v>472</v>
      </c>
    </row>
    <row r="231" spans="1:28">
      <c r="A231" s="105">
        <f t="shared" si="3"/>
        <v>230</v>
      </c>
      <c r="B231" s="107">
        <f>YEAR(Table6[[#This Row],[Date]])+IF(MONTH(Table6[[#This Row],[Date]])&gt;=4,1,0)</f>
        <v>2026</v>
      </c>
      <c r="C231" s="105">
        <f>YEAR(Table6[[#This Row],[Date]])</f>
        <v>2025</v>
      </c>
      <c r="D231" s="105" t="s">
        <v>465</v>
      </c>
      <c r="E231" s="119">
        <f>Table6[[#This Row],[Date]]-DAY(Table6[[#This Row],[Date]])+1</f>
        <v>45748</v>
      </c>
      <c r="F231" s="118">
        <v>45754</v>
      </c>
      <c r="G231" s="105" t="s">
        <v>80</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473</v>
      </c>
      <c r="N231" s="39" t="s">
        <v>474</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475</v>
      </c>
      <c r="V231" s="351" t="s">
        <v>476</v>
      </c>
      <c r="W231" s="338">
        <f>Table6[[#This Row],[Breakdown Time]]*(1/39)</f>
        <v>7.2649572649572641E-2</v>
      </c>
      <c r="X231" s="336" t="s">
        <v>477</v>
      </c>
      <c r="Y231" s="352" t="s">
        <v>74</v>
      </c>
      <c r="Z231" s="105">
        <v>5128</v>
      </c>
      <c r="AA231" s="107">
        <v>605.3888888888888</v>
      </c>
      <c r="AB231" s="105" t="s">
        <v>472</v>
      </c>
    </row>
    <row r="232" spans="1:28">
      <c r="A232" s="105">
        <f t="shared" si="3"/>
        <v>231</v>
      </c>
      <c r="B232" s="107">
        <f>YEAR(Table6[[#This Row],[Date]])+IF(MONTH(Table6[[#This Row],[Date]])&gt;=4,1,0)</f>
        <v>2026</v>
      </c>
      <c r="C232" s="105">
        <f>YEAR(Table6[[#This Row],[Date]])</f>
        <v>2025</v>
      </c>
      <c r="D232" s="105" t="s">
        <v>465</v>
      </c>
      <c r="E232" s="119">
        <f>Table6[[#This Row],[Date]]-DAY(Table6[[#This Row],[Date]])+1</f>
        <v>45748</v>
      </c>
      <c r="F232" s="118">
        <v>45754</v>
      </c>
      <c r="G232" s="105" t="s">
        <v>89</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473</v>
      </c>
      <c r="N232" s="39" t="s">
        <v>474</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489</v>
      </c>
      <c r="V232" s="351" t="s">
        <v>476</v>
      </c>
      <c r="W232" s="338">
        <f>Table6[[#This Row],[Breakdown Time]]*(1/39)</f>
        <v>0.61495726495726499</v>
      </c>
      <c r="X232" s="336" t="s">
        <v>477</v>
      </c>
      <c r="Y232" s="352" t="s">
        <v>90</v>
      </c>
      <c r="Z232" s="105">
        <v>5120</v>
      </c>
      <c r="AA232" s="107">
        <v>5116.4444444444453</v>
      </c>
      <c r="AB232" s="105" t="s">
        <v>472</v>
      </c>
    </row>
    <row r="233" spans="1:28">
      <c r="A233" s="105">
        <f t="shared" si="3"/>
        <v>232</v>
      </c>
      <c r="B233" s="107">
        <f>YEAR(Table6[[#This Row],[Date]])+IF(MONTH(Table6[[#This Row],[Date]])&gt;=4,1,0)</f>
        <v>2026</v>
      </c>
      <c r="C233" s="105">
        <f>YEAR(Table6[[#This Row],[Date]])</f>
        <v>2025</v>
      </c>
      <c r="D233" s="105" t="s">
        <v>465</v>
      </c>
      <c r="E233" s="119">
        <f>Table6[[#This Row],[Date]]-DAY(Table6[[#This Row],[Date]])+1</f>
        <v>45748</v>
      </c>
      <c r="F233" s="118">
        <v>45754</v>
      </c>
      <c r="G233" s="105" t="s">
        <v>100</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473</v>
      </c>
      <c r="N233" s="39" t="s">
        <v>474</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478</v>
      </c>
      <c r="V233" s="351" t="s">
        <v>476</v>
      </c>
      <c r="W233" s="338">
        <f>Table6[[#This Row],[Breakdown Time]]*(1/39)</f>
        <v>2.1367521367521292E-3</v>
      </c>
      <c r="X233" s="336" t="s">
        <v>477</v>
      </c>
      <c r="Y233" s="352" t="s">
        <v>102</v>
      </c>
      <c r="Z233" s="105">
        <v>7195</v>
      </c>
      <c r="AA233" s="107">
        <v>24.9826388888888</v>
      </c>
      <c r="AB233" s="105" t="s">
        <v>472</v>
      </c>
    </row>
    <row r="234" spans="1:28">
      <c r="A234" s="105">
        <f t="shared" si="3"/>
        <v>233</v>
      </c>
      <c r="B234" s="107">
        <f>YEAR(Table6[[#This Row],[Date]])+IF(MONTH(Table6[[#This Row],[Date]])&gt;=4,1,0)</f>
        <v>2026</v>
      </c>
      <c r="C234" s="105">
        <f>YEAR(Table6[[#This Row],[Date]])</f>
        <v>2025</v>
      </c>
      <c r="D234" s="105" t="s">
        <v>465</v>
      </c>
      <c r="E234" s="119">
        <f>Table6[[#This Row],[Date]]-DAY(Table6[[#This Row],[Date]])+1</f>
        <v>45748</v>
      </c>
      <c r="F234" s="118">
        <v>45754</v>
      </c>
      <c r="G234" s="105" t="s">
        <v>100</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473</v>
      </c>
      <c r="N234" s="39" t="s">
        <v>474</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478</v>
      </c>
      <c r="V234" s="351" t="s">
        <v>476</v>
      </c>
      <c r="W234" s="338">
        <f>Table6[[#This Row],[Breakdown Time]]*(1/39)</f>
        <v>4.7008547008547527E-3</v>
      </c>
      <c r="X234" s="336" t="s">
        <v>477</v>
      </c>
      <c r="Y234" s="352" t="s">
        <v>102</v>
      </c>
      <c r="Z234" s="105">
        <v>7195</v>
      </c>
      <c r="AA234" s="107">
        <v>54.961805555556161</v>
      </c>
      <c r="AB234" s="105" t="s">
        <v>472</v>
      </c>
    </row>
    <row r="235" spans="1:28">
      <c r="A235" s="105">
        <f t="shared" si="3"/>
        <v>234</v>
      </c>
      <c r="B235" s="107">
        <f>YEAR(Table6[[#This Row],[Date]])+IF(MONTH(Table6[[#This Row],[Date]])&gt;=4,1,0)</f>
        <v>2026</v>
      </c>
      <c r="C235" s="105">
        <f>YEAR(Table6[[#This Row],[Date]])</f>
        <v>2025</v>
      </c>
      <c r="D235" s="105" t="s">
        <v>465</v>
      </c>
      <c r="E235" s="119">
        <f>Table6[[#This Row],[Date]]-DAY(Table6[[#This Row],[Date]])+1</f>
        <v>45748</v>
      </c>
      <c r="F235" s="118">
        <v>45754</v>
      </c>
      <c r="G235" s="105" t="s">
        <v>100</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473</v>
      </c>
      <c r="N235" s="39" t="s">
        <v>474</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478</v>
      </c>
      <c r="V235" s="351" t="s">
        <v>476</v>
      </c>
      <c r="W235" s="338">
        <f>Table6[[#This Row],[Breakdown Time]]*(1/39)</f>
        <v>4.2735042735042583E-3</v>
      </c>
      <c r="X235" s="336" t="s">
        <v>477</v>
      </c>
      <c r="Y235" s="352" t="s">
        <v>102</v>
      </c>
      <c r="Z235" s="105">
        <v>7195</v>
      </c>
      <c r="AA235" s="107">
        <v>49.965277777777601</v>
      </c>
      <c r="AB235" s="105" t="s">
        <v>472</v>
      </c>
    </row>
    <row r="236" spans="1:28">
      <c r="A236" s="105">
        <f t="shared" si="3"/>
        <v>235</v>
      </c>
      <c r="B236" s="107">
        <f>YEAR(Table6[[#This Row],[Date]])+IF(MONTH(Table6[[#This Row],[Date]])&gt;=4,1,0)</f>
        <v>2026</v>
      </c>
      <c r="C236" s="105">
        <f>YEAR(Table6[[#This Row],[Date]])</f>
        <v>2025</v>
      </c>
      <c r="D236" s="105" t="s">
        <v>465</v>
      </c>
      <c r="E236" s="119">
        <f>Table6[[#This Row],[Date]]-DAY(Table6[[#This Row],[Date]])+1</f>
        <v>45748</v>
      </c>
      <c r="F236" s="118">
        <v>45754</v>
      </c>
      <c r="G236" s="105" t="s">
        <v>100</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473</v>
      </c>
      <c r="N236" s="39" t="s">
        <v>474</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478</v>
      </c>
      <c r="V236" s="351" t="s">
        <v>476</v>
      </c>
      <c r="W236" s="338">
        <f>Table6[[#This Row],[Breakdown Time]]*(1/39)</f>
        <v>2.1367521367521292E-3</v>
      </c>
      <c r="X236" s="336" t="s">
        <v>477</v>
      </c>
      <c r="Y236" s="352" t="s">
        <v>102</v>
      </c>
      <c r="Z236" s="105">
        <v>7195</v>
      </c>
      <c r="AA236" s="107">
        <v>24.9826388888888</v>
      </c>
      <c r="AB236" s="105" t="s">
        <v>472</v>
      </c>
    </row>
    <row r="237" spans="1:28">
      <c r="A237" s="105">
        <f t="shared" si="3"/>
        <v>236</v>
      </c>
      <c r="B237" s="107">
        <f>YEAR(Table6[[#This Row],[Date]])+IF(MONTH(Table6[[#This Row],[Date]])&gt;=4,1,0)</f>
        <v>2026</v>
      </c>
      <c r="C237" s="105">
        <f>YEAR(Table6[[#This Row],[Date]])</f>
        <v>2025</v>
      </c>
      <c r="D237" s="105" t="s">
        <v>465</v>
      </c>
      <c r="E237" s="119">
        <f>Table6[[#This Row],[Date]]-DAY(Table6[[#This Row],[Date]])+1</f>
        <v>45748</v>
      </c>
      <c r="F237" s="118">
        <v>45754</v>
      </c>
      <c r="G237" s="105" t="s">
        <v>100</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473</v>
      </c>
      <c r="N237" s="39" t="s">
        <v>474</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478</v>
      </c>
      <c r="V237" s="351" t="s">
        <v>476</v>
      </c>
      <c r="W237" s="338">
        <f>Table6[[#This Row],[Breakdown Time]]*(1/39)</f>
        <v>2.1367521367521292E-3</v>
      </c>
      <c r="X237" s="336" t="s">
        <v>477</v>
      </c>
      <c r="Y237" s="352" t="s">
        <v>102</v>
      </c>
      <c r="Z237" s="105">
        <v>7195</v>
      </c>
      <c r="AA237" s="107">
        <v>24.9826388888888</v>
      </c>
      <c r="AB237" s="105" t="s">
        <v>472</v>
      </c>
    </row>
    <row r="238" spans="1:28">
      <c r="A238" s="105">
        <f t="shared" si="3"/>
        <v>237</v>
      </c>
      <c r="B238" s="107">
        <f>YEAR(Table6[[#This Row],[Date]])+IF(MONTH(Table6[[#This Row],[Date]])&gt;=4,1,0)</f>
        <v>2026</v>
      </c>
      <c r="C238" s="105">
        <f>YEAR(Table6[[#This Row],[Date]])</f>
        <v>2025</v>
      </c>
      <c r="D238" s="105" t="s">
        <v>465</v>
      </c>
      <c r="E238" s="119">
        <f>Table6[[#This Row],[Date]]-DAY(Table6[[#This Row],[Date]])+1</f>
        <v>45748</v>
      </c>
      <c r="F238" s="118">
        <v>45754</v>
      </c>
      <c r="G238" s="105" t="s">
        <v>105</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517</v>
      </c>
      <c r="L238" s="39" t="str">
        <f>IFERROR(VLOOKUP(Table6[[#This Row],[Error Code]],'Basic Data'!$T:$U,2,0),"")</f>
        <v>General Work Stoppage</v>
      </c>
      <c r="M238" s="346" t="s">
        <v>473</v>
      </c>
      <c r="N238" s="39" t="s">
        <v>474</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518</v>
      </c>
      <c r="V238" s="351" t="s">
        <v>476</v>
      </c>
      <c r="W238" s="338">
        <f>Table6[[#This Row],[Breakdown Time]]*(1/39)</f>
        <v>0.13076923076923078</v>
      </c>
      <c r="X238" s="336" t="s">
        <v>501</v>
      </c>
      <c r="Y238" s="352" t="s">
        <v>106</v>
      </c>
      <c r="Z238" s="105">
        <v>6153</v>
      </c>
      <c r="AA238" s="107">
        <v>1307.5125</v>
      </c>
      <c r="AB238" s="105" t="s">
        <v>472</v>
      </c>
    </row>
    <row r="239" spans="1:28">
      <c r="A239" s="105">
        <f t="shared" si="3"/>
        <v>238</v>
      </c>
      <c r="B239" s="107">
        <f>YEAR(Table6[[#This Row],[Date]])+IF(MONTH(Table6[[#This Row],[Date]])&gt;=4,1,0)</f>
        <v>2026</v>
      </c>
      <c r="C239" s="105">
        <f>YEAR(Table6[[#This Row],[Date]])</f>
        <v>2025</v>
      </c>
      <c r="D239" s="105" t="s">
        <v>465</v>
      </c>
      <c r="E239" s="119">
        <f>Table6[[#This Row],[Date]]-DAY(Table6[[#This Row],[Date]])+1</f>
        <v>45748</v>
      </c>
      <c r="F239" s="118">
        <v>45754</v>
      </c>
      <c r="G239" s="105" t="s">
        <v>110</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473</v>
      </c>
      <c r="N239" s="39" t="s">
        <v>474</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478</v>
      </c>
      <c r="V239" s="351" t="s">
        <v>476</v>
      </c>
      <c r="W239" s="338">
        <f>Table6[[#This Row],[Breakdown Time]]*(1/39)</f>
        <v>2.1367521367521292E-3</v>
      </c>
      <c r="X239" s="336" t="s">
        <v>477</v>
      </c>
      <c r="Y239" s="352" t="s">
        <v>112</v>
      </c>
      <c r="Z239" s="105">
        <v>6822</v>
      </c>
      <c r="AA239" s="107">
        <v>23.687499999999915</v>
      </c>
      <c r="AB239" s="105" t="s">
        <v>472</v>
      </c>
    </row>
    <row r="240" spans="1:28">
      <c r="A240" s="105">
        <f t="shared" si="3"/>
        <v>239</v>
      </c>
      <c r="B240" s="107">
        <f>YEAR(Table6[[#This Row],[Date]])+IF(MONTH(Table6[[#This Row],[Date]])&gt;=4,1,0)</f>
        <v>2026</v>
      </c>
      <c r="C240" s="105">
        <f>YEAR(Table6[[#This Row],[Date]])</f>
        <v>2025</v>
      </c>
      <c r="D240" s="105" t="s">
        <v>465</v>
      </c>
      <c r="E240" s="119">
        <f>Table6[[#This Row],[Date]]-DAY(Table6[[#This Row],[Date]])+1</f>
        <v>45748</v>
      </c>
      <c r="F240" s="118">
        <v>45755</v>
      </c>
      <c r="G240" s="105" t="s">
        <v>103</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466</v>
      </c>
      <c r="L240" s="39" t="str">
        <f>IFERROR(VLOOKUP(Table6[[#This Row],[Error Code]],'Basic Data'!$T:$U,2,0),"")</f>
        <v>Manual Stop - Safety Related</v>
      </c>
      <c r="M240" s="346" t="s">
        <v>467</v>
      </c>
      <c r="N240" s="39" t="s">
        <v>468</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469</v>
      </c>
      <c r="V240" s="351" t="s">
        <v>470</v>
      </c>
      <c r="W240" s="338">
        <f>Table6[[#This Row],[Breakdown Time]]*(1/39)</f>
        <v>0.61495726495726499</v>
      </c>
      <c r="X240" s="336" t="s">
        <v>486</v>
      </c>
      <c r="Y240" s="352" t="s">
        <v>100</v>
      </c>
      <c r="Z240" s="105">
        <v>3910</v>
      </c>
      <c r="AA240" s="107">
        <v>3907.2847222222222</v>
      </c>
      <c r="AB240" s="105" t="s">
        <v>472</v>
      </c>
    </row>
    <row r="241" spans="1:28">
      <c r="A241" s="105">
        <f t="shared" si="3"/>
        <v>240</v>
      </c>
      <c r="B241" s="107">
        <f>YEAR(Table6[[#This Row],[Date]])+IF(MONTH(Table6[[#This Row],[Date]])&gt;=4,1,0)</f>
        <v>2026</v>
      </c>
      <c r="C241" s="105">
        <f>YEAR(Table6[[#This Row],[Date]])</f>
        <v>2025</v>
      </c>
      <c r="D241" s="105" t="s">
        <v>465</v>
      </c>
      <c r="E241" s="119">
        <f>Table6[[#This Row],[Date]]-DAY(Table6[[#This Row],[Date]])+1</f>
        <v>45748</v>
      </c>
      <c r="F241" s="118">
        <v>45755</v>
      </c>
      <c r="G241" s="105" t="s">
        <v>101</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466</v>
      </c>
      <c r="L241" s="39" t="str">
        <f>IFERROR(VLOOKUP(Table6[[#This Row],[Error Code]],'Basic Data'!$T:$U,2,0),"")</f>
        <v>Manual Stop - Safety Related</v>
      </c>
      <c r="M241" s="346" t="s">
        <v>467</v>
      </c>
      <c r="N241" s="39" t="s">
        <v>468</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469</v>
      </c>
      <c r="V241" s="351" t="s">
        <v>470</v>
      </c>
      <c r="W241" s="338">
        <f>Table6[[#This Row],[Breakdown Time]]*(1/39)</f>
        <v>0.61495726495726499</v>
      </c>
      <c r="X241" s="336" t="s">
        <v>486</v>
      </c>
      <c r="Y241" s="352" t="s">
        <v>100</v>
      </c>
      <c r="Z241" s="105">
        <v>3910</v>
      </c>
      <c r="AA241" s="107">
        <v>3907.2847222222222</v>
      </c>
      <c r="AB241" s="105" t="s">
        <v>472</v>
      </c>
    </row>
    <row r="242" spans="1:28">
      <c r="A242" s="105">
        <f t="shared" si="3"/>
        <v>241</v>
      </c>
      <c r="B242" s="107">
        <f>YEAR(Table6[[#This Row],[Date]])+IF(MONTH(Table6[[#This Row],[Date]])&gt;=4,1,0)</f>
        <v>2026</v>
      </c>
      <c r="C242" s="105">
        <f>YEAR(Table6[[#This Row],[Date]])</f>
        <v>2025</v>
      </c>
      <c r="D242" s="105" t="s">
        <v>465</v>
      </c>
      <c r="E242" s="119">
        <f>Table6[[#This Row],[Date]]-DAY(Table6[[#This Row],[Date]])+1</f>
        <v>45748</v>
      </c>
      <c r="F242" s="118">
        <v>45755</v>
      </c>
      <c r="G242" s="105" t="s">
        <v>74</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473</v>
      </c>
      <c r="N242" s="39" t="s">
        <v>474</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478</v>
      </c>
      <c r="V242" s="351" t="s">
        <v>476</v>
      </c>
      <c r="W242" s="338">
        <f>Table6[[#This Row],[Breakdown Time]]*(1/39)</f>
        <v>2.1367521367521292E-3</v>
      </c>
      <c r="X242" s="336" t="s">
        <v>477</v>
      </c>
      <c r="Y242" s="352" t="s">
        <v>80</v>
      </c>
      <c r="Z242" s="105">
        <v>4140</v>
      </c>
      <c r="AA242" s="107">
        <v>14.374999999999948</v>
      </c>
      <c r="AB242" s="105" t="s">
        <v>472</v>
      </c>
    </row>
    <row r="243" spans="1:28">
      <c r="A243" s="105">
        <f t="shared" si="3"/>
        <v>242</v>
      </c>
      <c r="B243" s="107">
        <f>YEAR(Table6[[#This Row],[Date]])+IF(MONTH(Table6[[#This Row],[Date]])&gt;=4,1,0)</f>
        <v>2026</v>
      </c>
      <c r="C243" s="105">
        <f>YEAR(Table6[[#This Row],[Date]])</f>
        <v>2025</v>
      </c>
      <c r="D243" s="105" t="s">
        <v>465</v>
      </c>
      <c r="E243" s="119">
        <f>Table6[[#This Row],[Date]]-DAY(Table6[[#This Row],[Date]])+1</f>
        <v>45748</v>
      </c>
      <c r="F243" s="118">
        <v>45755</v>
      </c>
      <c r="G243" s="105" t="s">
        <v>76</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473</v>
      </c>
      <c r="N243" s="39" t="s">
        <v>474</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478</v>
      </c>
      <c r="V243" s="351" t="s">
        <v>476</v>
      </c>
      <c r="W243" s="338">
        <f>Table6[[#This Row],[Breakdown Time]]*(1/39)</f>
        <v>2.1367521367521461E-3</v>
      </c>
      <c r="X243" s="336" t="s">
        <v>477</v>
      </c>
      <c r="Y243" s="352" t="s">
        <v>77</v>
      </c>
      <c r="Z243" s="105">
        <v>2420</v>
      </c>
      <c r="AA243" s="107">
        <v>8.4027777777778141</v>
      </c>
      <c r="AB243" s="105" t="s">
        <v>472</v>
      </c>
    </row>
    <row r="244" spans="1:28">
      <c r="A244" s="105">
        <f t="shared" si="3"/>
        <v>243</v>
      </c>
      <c r="B244" s="107">
        <f>YEAR(Table6[[#This Row],[Date]])+IF(MONTH(Table6[[#This Row],[Date]])&gt;=4,1,0)</f>
        <v>2026</v>
      </c>
      <c r="C244" s="105">
        <f>YEAR(Table6[[#This Row],[Date]])</f>
        <v>2025</v>
      </c>
      <c r="D244" s="105" t="s">
        <v>465</v>
      </c>
      <c r="E244" s="119">
        <f>Table6[[#This Row],[Date]]-DAY(Table6[[#This Row],[Date]])+1</f>
        <v>45748</v>
      </c>
      <c r="F244" s="118">
        <v>45755</v>
      </c>
      <c r="G244" s="105" t="s">
        <v>77</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473</v>
      </c>
      <c r="N244" s="39" t="s">
        <v>474</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478</v>
      </c>
      <c r="V244" s="351" t="s">
        <v>476</v>
      </c>
      <c r="W244" s="338">
        <f>Table6[[#This Row],[Breakdown Time]]*(1/39)</f>
        <v>2.1367521367521292E-3</v>
      </c>
      <c r="X244" s="336" t="s">
        <v>477</v>
      </c>
      <c r="Y244" s="352" t="s">
        <v>76</v>
      </c>
      <c r="Z244" s="105">
        <v>3986</v>
      </c>
      <c r="AA244" s="107">
        <v>13.840277777777729</v>
      </c>
      <c r="AB244" s="105" t="s">
        <v>472</v>
      </c>
    </row>
    <row r="245" spans="1:28">
      <c r="A245" s="105">
        <f t="shared" si="3"/>
        <v>244</v>
      </c>
      <c r="B245" s="107">
        <f>YEAR(Table6[[#This Row],[Date]])+IF(MONTH(Table6[[#This Row],[Date]])&gt;=4,1,0)</f>
        <v>2026</v>
      </c>
      <c r="C245" s="105">
        <f>YEAR(Table6[[#This Row],[Date]])</f>
        <v>2025</v>
      </c>
      <c r="D245" s="105" t="s">
        <v>465</v>
      </c>
      <c r="E245" s="119">
        <f>Table6[[#This Row],[Date]]-DAY(Table6[[#This Row],[Date]])+1</f>
        <v>45748</v>
      </c>
      <c r="F245" s="118">
        <v>45755</v>
      </c>
      <c r="G245" s="105" t="s">
        <v>77</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473</v>
      </c>
      <c r="N245" s="39" t="s">
        <v>474</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478</v>
      </c>
      <c r="V245" s="351" t="s">
        <v>476</v>
      </c>
      <c r="W245" s="338">
        <f>Table6[[#This Row],[Breakdown Time]]*(1/39)</f>
        <v>2.1367521367521292E-3</v>
      </c>
      <c r="X245" s="336" t="s">
        <v>477</v>
      </c>
      <c r="Y245" s="352" t="s">
        <v>76</v>
      </c>
      <c r="Z245" s="105">
        <v>3986</v>
      </c>
      <c r="AA245" s="107">
        <v>13.840277777777729</v>
      </c>
      <c r="AB245" s="105" t="s">
        <v>472</v>
      </c>
    </row>
    <row r="246" spans="1:28">
      <c r="A246" s="105">
        <f t="shared" si="3"/>
        <v>245</v>
      </c>
      <c r="B246" s="107">
        <f>YEAR(Table6[[#This Row],[Date]])+IF(MONTH(Table6[[#This Row],[Date]])&gt;=4,1,0)</f>
        <v>2026</v>
      </c>
      <c r="C246" s="105">
        <f>YEAR(Table6[[#This Row],[Date]])</f>
        <v>2025</v>
      </c>
      <c r="D246" s="105" t="s">
        <v>465</v>
      </c>
      <c r="E246" s="119">
        <f>Table6[[#This Row],[Date]]-DAY(Table6[[#This Row],[Date]])+1</f>
        <v>45748</v>
      </c>
      <c r="F246" s="118">
        <v>45755</v>
      </c>
      <c r="G246" s="105" t="s">
        <v>77</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473</v>
      </c>
      <c r="N246" s="39" t="s">
        <v>474</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489</v>
      </c>
      <c r="V246" s="351" t="s">
        <v>470</v>
      </c>
      <c r="W246" s="338">
        <f>Table6[[#This Row],[Breakdown Time]]*(1/39)</f>
        <v>2.9914529914529944E-2</v>
      </c>
      <c r="X246" s="336" t="s">
        <v>477</v>
      </c>
      <c r="Y246" s="352" t="s">
        <v>76</v>
      </c>
      <c r="Z246" s="105">
        <v>3986</v>
      </c>
      <c r="AA246" s="107">
        <v>193.76388888888908</v>
      </c>
      <c r="AB246" s="105" t="s">
        <v>472</v>
      </c>
    </row>
    <row r="247" spans="1:28">
      <c r="A247" s="105">
        <f t="shared" si="3"/>
        <v>246</v>
      </c>
      <c r="B247" s="107">
        <f>YEAR(Table6[[#This Row],[Date]])+IF(MONTH(Table6[[#This Row],[Date]])&gt;=4,1,0)</f>
        <v>2026</v>
      </c>
      <c r="C247" s="105">
        <f>YEAR(Table6[[#This Row],[Date]])</f>
        <v>2025</v>
      </c>
      <c r="D247" s="105" t="s">
        <v>465</v>
      </c>
      <c r="E247" s="119">
        <f>Table6[[#This Row],[Date]]-DAY(Table6[[#This Row],[Date]])+1</f>
        <v>45748</v>
      </c>
      <c r="F247" s="118">
        <v>45755</v>
      </c>
      <c r="G247" s="105" t="s">
        <v>82</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473</v>
      </c>
      <c r="N247" s="39" t="s">
        <v>474</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489</v>
      </c>
      <c r="V247" s="351" t="s">
        <v>470</v>
      </c>
      <c r="W247" s="338">
        <f>Table6[[#This Row],[Breakdown Time]]*(1/39)</f>
        <v>0.11965811965811964</v>
      </c>
      <c r="X247" s="336" t="s">
        <v>477</v>
      </c>
      <c r="Y247" s="352" t="s">
        <v>85</v>
      </c>
      <c r="Z247" s="105">
        <v>4310</v>
      </c>
      <c r="AA247" s="107">
        <v>838.05555555555554</v>
      </c>
      <c r="AB247" s="105" t="s">
        <v>472</v>
      </c>
    </row>
    <row r="248" spans="1:28">
      <c r="A248" s="105">
        <f t="shared" si="3"/>
        <v>247</v>
      </c>
      <c r="B248" s="107">
        <f>YEAR(Table6[[#This Row],[Date]])+IF(MONTH(Table6[[#This Row],[Date]])&gt;=4,1,0)</f>
        <v>2026</v>
      </c>
      <c r="C248" s="105">
        <f>YEAR(Table6[[#This Row],[Date]])</f>
        <v>2025</v>
      </c>
      <c r="D248" s="105" t="s">
        <v>465</v>
      </c>
      <c r="E248" s="119">
        <f>Table6[[#This Row],[Date]]-DAY(Table6[[#This Row],[Date]])+1</f>
        <v>45748</v>
      </c>
      <c r="F248" s="118">
        <v>45755</v>
      </c>
      <c r="G248" s="105" t="s">
        <v>83</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473</v>
      </c>
      <c r="N248" s="39" t="s">
        <v>474</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478</v>
      </c>
      <c r="V248" s="351" t="s">
        <v>476</v>
      </c>
      <c r="W248" s="338">
        <f>Table6[[#This Row],[Breakdown Time]]*(1/39)</f>
        <v>2.1367521367521292E-3</v>
      </c>
      <c r="X248" s="336" t="s">
        <v>477</v>
      </c>
      <c r="Y248" s="352" t="s">
        <v>84</v>
      </c>
      <c r="Z248" s="105">
        <v>4460</v>
      </c>
      <c r="AA248" s="107">
        <v>15.486111111111057</v>
      </c>
      <c r="AB248" s="105" t="s">
        <v>472</v>
      </c>
    </row>
    <row r="249" spans="1:28">
      <c r="A249" s="105">
        <f t="shared" si="3"/>
        <v>248</v>
      </c>
      <c r="B249" s="107">
        <f>YEAR(Table6[[#This Row],[Date]])+IF(MONTH(Table6[[#This Row],[Date]])&gt;=4,1,0)</f>
        <v>2026</v>
      </c>
      <c r="C249" s="105">
        <f>YEAR(Table6[[#This Row],[Date]])</f>
        <v>2025</v>
      </c>
      <c r="D249" s="105" t="s">
        <v>465</v>
      </c>
      <c r="E249" s="119">
        <f>Table6[[#This Row],[Date]]-DAY(Table6[[#This Row],[Date]])+1</f>
        <v>45748</v>
      </c>
      <c r="F249" s="118">
        <v>45755</v>
      </c>
      <c r="G249" s="105" t="s">
        <v>84</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473</v>
      </c>
      <c r="N249" s="39" t="s">
        <v>474</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519</v>
      </c>
      <c r="V249" s="351" t="s">
        <v>476</v>
      </c>
      <c r="W249" s="338">
        <f>Table6[[#This Row],[Breakdown Time]]*(1/39)</f>
        <v>0.10769230769230767</v>
      </c>
      <c r="X249" s="336" t="s">
        <v>477</v>
      </c>
      <c r="Y249" s="352" t="s">
        <v>83</v>
      </c>
      <c r="Z249" s="105">
        <v>4112</v>
      </c>
      <c r="AA249" s="107">
        <v>719.59999999999991</v>
      </c>
      <c r="AB249" s="105" t="s">
        <v>472</v>
      </c>
    </row>
    <row r="250" spans="1:28">
      <c r="A250" s="105">
        <f t="shared" si="3"/>
        <v>249</v>
      </c>
      <c r="B250" s="107">
        <f>YEAR(Table6[[#This Row],[Date]])+IF(MONTH(Table6[[#This Row],[Date]])&gt;=4,1,0)</f>
        <v>2026</v>
      </c>
      <c r="C250" s="105">
        <f>YEAR(Table6[[#This Row],[Date]])</f>
        <v>2025</v>
      </c>
      <c r="D250" s="105" t="s">
        <v>465</v>
      </c>
      <c r="E250" s="119">
        <f>Table6[[#This Row],[Date]]-DAY(Table6[[#This Row],[Date]])+1</f>
        <v>45748</v>
      </c>
      <c r="F250" s="118">
        <v>45755</v>
      </c>
      <c r="G250" s="105" t="s">
        <v>86</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473</v>
      </c>
      <c r="N250" s="39" t="s">
        <v>474</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478</v>
      </c>
      <c r="V250" s="351" t="s">
        <v>476</v>
      </c>
      <c r="W250" s="338">
        <f>Table6[[#This Row],[Breakdown Time]]*(1/39)</f>
        <v>2.1367521367521292E-3</v>
      </c>
      <c r="X250" s="336" t="s">
        <v>477</v>
      </c>
      <c r="Y250" s="352" t="s">
        <v>85</v>
      </c>
      <c r="Z250" s="105">
        <v>4310</v>
      </c>
      <c r="AA250" s="107">
        <v>14.965277777777725</v>
      </c>
      <c r="AB250" s="105" t="s">
        <v>472</v>
      </c>
    </row>
    <row r="251" spans="1:28">
      <c r="A251" s="105">
        <f t="shared" si="3"/>
        <v>250</v>
      </c>
      <c r="B251" s="107">
        <f>YEAR(Table6[[#This Row],[Date]])+IF(MONTH(Table6[[#This Row],[Date]])&gt;=4,1,0)</f>
        <v>2026</v>
      </c>
      <c r="C251" s="105">
        <f>YEAR(Table6[[#This Row],[Date]])</f>
        <v>2025</v>
      </c>
      <c r="D251" s="105" t="s">
        <v>465</v>
      </c>
      <c r="E251" s="119">
        <f>Table6[[#This Row],[Date]]-DAY(Table6[[#This Row],[Date]])+1</f>
        <v>45748</v>
      </c>
      <c r="F251" s="118">
        <v>45755</v>
      </c>
      <c r="G251" s="105" t="s">
        <v>87</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473</v>
      </c>
      <c r="N251" s="39" t="s">
        <v>474</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478</v>
      </c>
      <c r="V251" s="351" t="s">
        <v>476</v>
      </c>
      <c r="W251" s="338">
        <f>Table6[[#This Row],[Breakdown Time]]*(1/39)</f>
        <v>4.7008547008546842E-3</v>
      </c>
      <c r="X251" s="336" t="s">
        <v>477</v>
      </c>
      <c r="Y251" s="352" t="s">
        <v>88</v>
      </c>
      <c r="Z251" s="105">
        <v>1155</v>
      </c>
      <c r="AA251" s="107">
        <v>8.8229166666666359</v>
      </c>
      <c r="AB251" s="105" t="s">
        <v>472</v>
      </c>
    </row>
    <row r="252" spans="1:28">
      <c r="A252" s="105">
        <f t="shared" si="3"/>
        <v>251</v>
      </c>
      <c r="B252" s="107">
        <f>YEAR(Table6[[#This Row],[Date]])+IF(MONTH(Table6[[#This Row],[Date]])&gt;=4,1,0)</f>
        <v>2026</v>
      </c>
      <c r="C252" s="105">
        <f>YEAR(Table6[[#This Row],[Date]])</f>
        <v>2025</v>
      </c>
      <c r="D252" s="105" t="s">
        <v>465</v>
      </c>
      <c r="E252" s="119">
        <f>Table6[[#This Row],[Date]]-DAY(Table6[[#This Row],[Date]])+1</f>
        <v>45748</v>
      </c>
      <c r="F252" s="118">
        <v>45755</v>
      </c>
      <c r="G252" s="105" t="s">
        <v>89</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473</v>
      </c>
      <c r="N252" s="39" t="s">
        <v>474</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489</v>
      </c>
      <c r="V252" s="351" t="s">
        <v>470</v>
      </c>
      <c r="W252" s="338">
        <f>Table6[[#This Row],[Breakdown Time]]*(1/39)</f>
        <v>0.61495726495726499</v>
      </c>
      <c r="X252" s="336" t="s">
        <v>477</v>
      </c>
      <c r="Y252" s="352" t="s">
        <v>88</v>
      </c>
      <c r="Z252" s="105">
        <v>1155</v>
      </c>
      <c r="AA252" s="107">
        <v>1154.1979166666667</v>
      </c>
      <c r="AB252" s="105" t="s">
        <v>472</v>
      </c>
    </row>
    <row r="253" spans="1:28">
      <c r="A253" s="105">
        <f t="shared" si="3"/>
        <v>252</v>
      </c>
      <c r="B253" s="107">
        <f>YEAR(Table6[[#This Row],[Date]])+IF(MONTH(Table6[[#This Row],[Date]])&gt;=4,1,0)</f>
        <v>2026</v>
      </c>
      <c r="C253" s="105">
        <f>YEAR(Table6[[#This Row],[Date]])</f>
        <v>2025</v>
      </c>
      <c r="D253" s="105" t="s">
        <v>465</v>
      </c>
      <c r="E253" s="119">
        <f>Table6[[#This Row],[Date]]-DAY(Table6[[#This Row],[Date]])+1</f>
        <v>45748</v>
      </c>
      <c r="F253" s="118">
        <v>45755</v>
      </c>
      <c r="G253" s="105" t="s">
        <v>96</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473</v>
      </c>
      <c r="N253" s="39" t="s">
        <v>474</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478</v>
      </c>
      <c r="V253" s="351" t="s">
        <v>476</v>
      </c>
      <c r="W253" s="338">
        <f>Table6[[#This Row],[Breakdown Time]]*(1/39)</f>
        <v>2.1367521367521292E-3</v>
      </c>
      <c r="X253" s="336" t="s">
        <v>477</v>
      </c>
      <c r="Y253" s="352" t="s">
        <v>78</v>
      </c>
      <c r="Z253" s="105">
        <v>4046</v>
      </c>
      <c r="AA253" s="107">
        <v>14.048611111111063</v>
      </c>
      <c r="AB253" s="105" t="s">
        <v>472</v>
      </c>
    </row>
    <row r="254" spans="1:28">
      <c r="A254" s="105">
        <f t="shared" si="3"/>
        <v>253</v>
      </c>
      <c r="B254" s="107">
        <f>YEAR(Table6[[#This Row],[Date]])+IF(MONTH(Table6[[#This Row],[Date]])&gt;=4,1,0)</f>
        <v>2026</v>
      </c>
      <c r="C254" s="105">
        <f>YEAR(Table6[[#This Row],[Date]])</f>
        <v>2025</v>
      </c>
      <c r="D254" s="105" t="s">
        <v>465</v>
      </c>
      <c r="E254" s="119">
        <f>Table6[[#This Row],[Date]]-DAY(Table6[[#This Row],[Date]])+1</f>
        <v>45748</v>
      </c>
      <c r="F254" s="118">
        <v>45755</v>
      </c>
      <c r="G254" s="105" t="s">
        <v>96</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473</v>
      </c>
      <c r="N254" s="39" t="s">
        <v>474</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478</v>
      </c>
      <c r="V254" s="351" t="s">
        <v>476</v>
      </c>
      <c r="W254" s="338">
        <f>Table6[[#This Row],[Breakdown Time]]*(1/39)</f>
        <v>2.1367521367521292E-3</v>
      </c>
      <c r="X254" s="336" t="s">
        <v>477</v>
      </c>
      <c r="Y254" s="352" t="s">
        <v>78</v>
      </c>
      <c r="Z254" s="105">
        <v>4046</v>
      </c>
      <c r="AA254" s="107">
        <v>14.048611111111063</v>
      </c>
      <c r="AB254" s="105" t="s">
        <v>472</v>
      </c>
    </row>
    <row r="255" spans="1:28">
      <c r="A255" s="105">
        <f t="shared" si="3"/>
        <v>254</v>
      </c>
      <c r="B255" s="107">
        <f>YEAR(Table6[[#This Row],[Date]])+IF(MONTH(Table6[[#This Row],[Date]])&gt;=4,1,0)</f>
        <v>2026</v>
      </c>
      <c r="C255" s="105">
        <f>YEAR(Table6[[#This Row],[Date]])</f>
        <v>2025</v>
      </c>
      <c r="D255" s="105" t="s">
        <v>465</v>
      </c>
      <c r="E255" s="119">
        <f>Table6[[#This Row],[Date]]-DAY(Table6[[#This Row],[Date]])+1</f>
        <v>45748</v>
      </c>
      <c r="F255" s="118">
        <v>45755</v>
      </c>
      <c r="G255" s="105" t="s">
        <v>96</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473</v>
      </c>
      <c r="N255" s="39" t="s">
        <v>474</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478</v>
      </c>
      <c r="V255" s="351" t="s">
        <v>476</v>
      </c>
      <c r="W255" s="338">
        <f>Table6[[#This Row],[Breakdown Time]]*(1/39)</f>
        <v>8.5470085470085513E-3</v>
      </c>
      <c r="X255" s="336" t="s">
        <v>477</v>
      </c>
      <c r="Y255" s="352" t="s">
        <v>78</v>
      </c>
      <c r="Z255" s="105">
        <v>4046</v>
      </c>
      <c r="AA255" s="107">
        <v>56.194444444444471</v>
      </c>
      <c r="AB255" s="105" t="s">
        <v>472</v>
      </c>
    </row>
    <row r="256" spans="1:28">
      <c r="A256" s="105">
        <f t="shared" si="3"/>
        <v>255</v>
      </c>
      <c r="B256" s="107">
        <f>YEAR(Table6[[#This Row],[Date]])+IF(MONTH(Table6[[#This Row],[Date]])&gt;=4,1,0)</f>
        <v>2026</v>
      </c>
      <c r="C256" s="105">
        <f>YEAR(Table6[[#This Row],[Date]])</f>
        <v>2025</v>
      </c>
      <c r="D256" s="105" t="s">
        <v>465</v>
      </c>
      <c r="E256" s="119">
        <f>Table6[[#This Row],[Date]]-DAY(Table6[[#This Row],[Date]])+1</f>
        <v>45748</v>
      </c>
      <c r="F256" s="118">
        <v>45755</v>
      </c>
      <c r="G256" s="105" t="s">
        <v>96</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473</v>
      </c>
      <c r="N256" s="39" t="s">
        <v>474</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478</v>
      </c>
      <c r="V256" s="351" t="s">
        <v>476</v>
      </c>
      <c r="W256" s="338">
        <f>Table6[[#This Row],[Breakdown Time]]*(1/39)</f>
        <v>3.4188034188034405E-3</v>
      </c>
      <c r="X256" s="336" t="s">
        <v>477</v>
      </c>
      <c r="Y256" s="352" t="s">
        <v>78</v>
      </c>
      <c r="Z256" s="105">
        <v>4046</v>
      </c>
      <c r="AA256" s="107">
        <v>22.477777777777924</v>
      </c>
      <c r="AB256" s="105" t="s">
        <v>472</v>
      </c>
    </row>
    <row r="257" spans="1:28">
      <c r="A257" s="105">
        <f t="shared" si="3"/>
        <v>256</v>
      </c>
      <c r="B257" s="107">
        <f>YEAR(Table6[[#This Row],[Date]])+IF(MONTH(Table6[[#This Row],[Date]])&gt;=4,1,0)</f>
        <v>2026</v>
      </c>
      <c r="C257" s="105">
        <f>YEAR(Table6[[#This Row],[Date]])</f>
        <v>2025</v>
      </c>
      <c r="D257" s="105" t="s">
        <v>465</v>
      </c>
      <c r="E257" s="119">
        <f>Table6[[#This Row],[Date]]-DAY(Table6[[#This Row],[Date]])+1</f>
        <v>45748</v>
      </c>
      <c r="F257" s="118">
        <v>45755</v>
      </c>
      <c r="G257" s="105" t="s">
        <v>98</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473</v>
      </c>
      <c r="N257" s="39" t="s">
        <v>474</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478</v>
      </c>
      <c r="V257" s="351" t="s">
        <v>476</v>
      </c>
      <c r="W257" s="338">
        <f>Table6[[#This Row],[Breakdown Time]]*(1/39)</f>
        <v>8.5470085470085166E-4</v>
      </c>
      <c r="X257" s="336" t="s">
        <v>477</v>
      </c>
      <c r="Y257" s="352" t="s">
        <v>104</v>
      </c>
      <c r="Z257" s="105">
        <v>3788</v>
      </c>
      <c r="AA257" s="107">
        <v>5.2611111111110924</v>
      </c>
      <c r="AB257" s="105" t="s">
        <v>472</v>
      </c>
    </row>
    <row r="258" spans="1:28">
      <c r="A258" s="105">
        <f t="shared" si="3"/>
        <v>257</v>
      </c>
      <c r="B258" s="107">
        <f>YEAR(Table6[[#This Row],[Date]])+IF(MONTH(Table6[[#This Row],[Date]])&gt;=4,1,0)</f>
        <v>2026</v>
      </c>
      <c r="C258" s="105">
        <f>YEAR(Table6[[#This Row],[Date]])</f>
        <v>2025</v>
      </c>
      <c r="D258" s="105" t="s">
        <v>465</v>
      </c>
      <c r="E258" s="119">
        <f>Table6[[#This Row],[Date]]-DAY(Table6[[#This Row],[Date]])+1</f>
        <v>45748</v>
      </c>
      <c r="F258" s="118">
        <v>45755</v>
      </c>
      <c r="G258" s="105" t="s">
        <v>100</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499</v>
      </c>
      <c r="N258" s="39" t="s">
        <v>189</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520</v>
      </c>
      <c r="V258" s="351" t="s">
        <v>476</v>
      </c>
      <c r="W258" s="338">
        <f>Table6[[#This Row],[Breakdown Time]]*(1/39)</f>
        <v>2.9059829059829092E-2</v>
      </c>
      <c r="X258" s="336" t="s">
        <v>501</v>
      </c>
      <c r="Y258" s="352" t="s">
        <v>102</v>
      </c>
      <c r="Z258" s="105">
        <v>5106</v>
      </c>
      <c r="AA258" s="107">
        <v>241.11666666666693</v>
      </c>
      <c r="AB258" s="105" t="s">
        <v>472</v>
      </c>
    </row>
    <row r="259" spans="1:28">
      <c r="A259" s="105">
        <f t="shared" si="3"/>
        <v>258</v>
      </c>
      <c r="B259" s="107">
        <f>YEAR(Table6[[#This Row],[Date]])+IF(MONTH(Table6[[#This Row],[Date]])&gt;=4,1,0)</f>
        <v>2026</v>
      </c>
      <c r="C259" s="105">
        <f>YEAR(Table6[[#This Row],[Date]])</f>
        <v>2025</v>
      </c>
      <c r="D259" s="105" t="s">
        <v>465</v>
      </c>
      <c r="E259" s="119">
        <f>Table6[[#This Row],[Date]]-DAY(Table6[[#This Row],[Date]])+1</f>
        <v>45748</v>
      </c>
      <c r="F259" s="118">
        <v>45755</v>
      </c>
      <c r="G259" s="105" t="s">
        <v>102</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473</v>
      </c>
      <c r="N259" s="39" t="s">
        <v>474</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478</v>
      </c>
      <c r="V259" s="351" t="s">
        <v>476</v>
      </c>
      <c r="W259" s="338">
        <f>Table6[[#This Row],[Breakdown Time]]*(1/39)</f>
        <v>2.1367521367521292E-3</v>
      </c>
      <c r="X259" s="336" t="s">
        <v>477</v>
      </c>
      <c r="Y259" s="352" t="s">
        <v>100</v>
      </c>
      <c r="Z259" s="105">
        <v>3910</v>
      </c>
      <c r="AA259" s="107">
        <v>13.57638888888884</v>
      </c>
      <c r="AB259" s="105" t="s">
        <v>472</v>
      </c>
    </row>
    <row r="260" spans="1:28">
      <c r="A260" s="105">
        <f t="shared" ref="A260:A323" si="4">A259+1</f>
        <v>259</v>
      </c>
      <c r="B260" s="107">
        <f>YEAR(Table6[[#This Row],[Date]])+IF(MONTH(Table6[[#This Row],[Date]])&gt;=4,1,0)</f>
        <v>2026</v>
      </c>
      <c r="C260" s="105">
        <f>YEAR(Table6[[#This Row],[Date]])</f>
        <v>2025</v>
      </c>
      <c r="D260" s="105" t="s">
        <v>465</v>
      </c>
      <c r="E260" s="119">
        <f>Table6[[#This Row],[Date]]-DAY(Table6[[#This Row],[Date]])+1</f>
        <v>45748</v>
      </c>
      <c r="F260" s="118">
        <v>45755</v>
      </c>
      <c r="G260" s="105" t="s">
        <v>102</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473</v>
      </c>
      <c r="N260" s="39" t="s">
        <v>474</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478</v>
      </c>
      <c r="V260" s="351" t="s">
        <v>476</v>
      </c>
      <c r="W260" s="338">
        <f>Table6[[#This Row],[Breakdown Time]]*(1/39)</f>
        <v>2.1367521367521292E-3</v>
      </c>
      <c r="X260" s="336" t="s">
        <v>477</v>
      </c>
      <c r="Y260" s="352" t="s">
        <v>100</v>
      </c>
      <c r="Z260" s="105">
        <v>3910</v>
      </c>
      <c r="AA260" s="107">
        <v>13.57638888888884</v>
      </c>
      <c r="AB260" s="105" t="s">
        <v>472</v>
      </c>
    </row>
    <row r="261" spans="1:28">
      <c r="A261" s="105">
        <f t="shared" si="4"/>
        <v>260</v>
      </c>
      <c r="B261" s="107">
        <f>YEAR(Table6[[#This Row],[Date]])+IF(MONTH(Table6[[#This Row],[Date]])&gt;=4,1,0)</f>
        <v>2026</v>
      </c>
      <c r="C261" s="105">
        <f>YEAR(Table6[[#This Row],[Date]])</f>
        <v>2025</v>
      </c>
      <c r="D261" s="105" t="s">
        <v>465</v>
      </c>
      <c r="E261" s="119">
        <f>Table6[[#This Row],[Date]]-DAY(Table6[[#This Row],[Date]])+1</f>
        <v>45748</v>
      </c>
      <c r="F261" s="118">
        <v>45755</v>
      </c>
      <c r="G261" s="105" t="s">
        <v>102</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473</v>
      </c>
      <c r="N261" s="39" t="s">
        <v>474</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478</v>
      </c>
      <c r="V261" s="351" t="s">
        <v>476</v>
      </c>
      <c r="W261" s="338">
        <f>Table6[[#This Row],[Breakdown Time]]*(1/39)</f>
        <v>2.1367521367521292E-3</v>
      </c>
      <c r="X261" s="336" t="s">
        <v>477</v>
      </c>
      <c r="Y261" s="352" t="s">
        <v>100</v>
      </c>
      <c r="Z261" s="105">
        <v>3910</v>
      </c>
      <c r="AA261" s="107">
        <v>13.57638888888884</v>
      </c>
      <c r="AB261" s="105" t="s">
        <v>472</v>
      </c>
    </row>
    <row r="262" spans="1:28">
      <c r="A262" s="105">
        <f t="shared" si="4"/>
        <v>261</v>
      </c>
      <c r="B262" s="107">
        <f>YEAR(Table6[[#This Row],[Date]])+IF(MONTH(Table6[[#This Row],[Date]])&gt;=4,1,0)</f>
        <v>2026</v>
      </c>
      <c r="C262" s="105">
        <f>YEAR(Table6[[#This Row],[Date]])</f>
        <v>2025</v>
      </c>
      <c r="D262" s="105" t="s">
        <v>465</v>
      </c>
      <c r="E262" s="119">
        <f>Table6[[#This Row],[Date]]-DAY(Table6[[#This Row],[Date]])+1</f>
        <v>45748</v>
      </c>
      <c r="F262" s="118">
        <v>45755</v>
      </c>
      <c r="G262" s="105" t="s">
        <v>105</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517</v>
      </c>
      <c r="L262" s="39" t="str">
        <f>IFERROR(VLOOKUP(Table6[[#This Row],[Error Code]],'Basic Data'!$T:$U,2,0),"")</f>
        <v>General Work Stoppage</v>
      </c>
      <c r="M262" s="346" t="s">
        <v>499</v>
      </c>
      <c r="N262" s="39" t="s">
        <v>189</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521</v>
      </c>
      <c r="V262" s="351" t="s">
        <v>476</v>
      </c>
      <c r="W262" s="338">
        <f>Table6[[#This Row],[Breakdown Time]]*(1/39)</f>
        <v>3.2051282051282007E-2</v>
      </c>
      <c r="X262" s="336" t="s">
        <v>501</v>
      </c>
      <c r="Y262" s="352" t="s">
        <v>106</v>
      </c>
      <c r="Z262" s="105">
        <v>3696</v>
      </c>
      <c r="AA262" s="107">
        <v>192.49999999999972</v>
      </c>
      <c r="AB262" s="105" t="s">
        <v>472</v>
      </c>
    </row>
    <row r="263" spans="1:28">
      <c r="A263" s="105">
        <f t="shared" si="4"/>
        <v>262</v>
      </c>
      <c r="B263" s="107">
        <f>YEAR(Table6[[#This Row],[Date]])+IF(MONTH(Table6[[#This Row],[Date]])&gt;=4,1,0)</f>
        <v>2026</v>
      </c>
      <c r="C263" s="105">
        <f>YEAR(Table6[[#This Row],[Date]])</f>
        <v>2025</v>
      </c>
      <c r="D263" s="105" t="s">
        <v>465</v>
      </c>
      <c r="E263" s="119">
        <f>Table6[[#This Row],[Date]]-DAY(Table6[[#This Row],[Date]])+1</f>
        <v>45748</v>
      </c>
      <c r="F263" s="118">
        <v>45755</v>
      </c>
      <c r="G263" s="105" t="s">
        <v>109</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473</v>
      </c>
      <c r="N263" s="39" t="s">
        <v>474</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475</v>
      </c>
      <c r="V263" s="351" t="s">
        <v>476</v>
      </c>
      <c r="W263" s="338">
        <f>Table6[[#This Row],[Breakdown Time]]*(1/39)</f>
        <v>9.4017094017094016E-2</v>
      </c>
      <c r="X263" s="336" t="s">
        <v>477</v>
      </c>
      <c r="Y263" s="352" t="s">
        <v>108</v>
      </c>
      <c r="Z263" s="105">
        <v>5094</v>
      </c>
      <c r="AA263" s="107">
        <v>778.25000000000011</v>
      </c>
      <c r="AB263" s="105" t="s">
        <v>472</v>
      </c>
    </row>
    <row r="264" spans="1:28">
      <c r="A264" s="105">
        <f t="shared" si="4"/>
        <v>263</v>
      </c>
      <c r="B264" s="107">
        <f>YEAR(Table6[[#This Row],[Date]])+IF(MONTH(Table6[[#This Row],[Date]])&gt;=4,1,0)</f>
        <v>2026</v>
      </c>
      <c r="C264" s="105">
        <f>YEAR(Table6[[#This Row],[Date]])</f>
        <v>2025</v>
      </c>
      <c r="D264" s="105" t="s">
        <v>465</v>
      </c>
      <c r="E264" s="119">
        <f>Table6[[#This Row],[Date]]-DAY(Table6[[#This Row],[Date]])+1</f>
        <v>45748</v>
      </c>
      <c r="F264" s="118">
        <v>45756</v>
      </c>
      <c r="G264" s="105" t="s">
        <v>103</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466</v>
      </c>
      <c r="L264" s="39" t="str">
        <f>IFERROR(VLOOKUP(Table6[[#This Row],[Error Code]],'Basic Data'!$T:$U,2,0),"")</f>
        <v>Manual Stop - Safety Related</v>
      </c>
      <c r="M264" s="346" t="s">
        <v>467</v>
      </c>
      <c r="N264" s="39" t="s">
        <v>468</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469</v>
      </c>
      <c r="V264" s="351" t="s">
        <v>470</v>
      </c>
      <c r="W264" s="338">
        <f>Table6[[#This Row],[Breakdown Time]]*(1/39)</f>
        <v>0.61495726495726499</v>
      </c>
      <c r="X264" s="336" t="s">
        <v>486</v>
      </c>
      <c r="Y264" s="352" t="s">
        <v>100</v>
      </c>
      <c r="Z264" s="105">
        <v>8908</v>
      </c>
      <c r="AA264" s="107">
        <v>8901.8138888888898</v>
      </c>
      <c r="AB264" s="105" t="s">
        <v>472</v>
      </c>
    </row>
    <row r="265" spans="1:28">
      <c r="A265" s="105">
        <f t="shared" si="4"/>
        <v>264</v>
      </c>
      <c r="B265" s="107">
        <f>YEAR(Table6[[#This Row],[Date]])+IF(MONTH(Table6[[#This Row],[Date]])&gt;=4,1,0)</f>
        <v>2026</v>
      </c>
      <c r="C265" s="105">
        <f>YEAR(Table6[[#This Row],[Date]])</f>
        <v>2025</v>
      </c>
      <c r="D265" s="105" t="s">
        <v>465</v>
      </c>
      <c r="E265" s="119">
        <f>Table6[[#This Row],[Date]]-DAY(Table6[[#This Row],[Date]])+1</f>
        <v>45748</v>
      </c>
      <c r="F265" s="118">
        <v>45756</v>
      </c>
      <c r="G265" s="105" t="s">
        <v>101</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466</v>
      </c>
      <c r="L265" s="39" t="str">
        <f>IFERROR(VLOOKUP(Table6[[#This Row],[Error Code]],'Basic Data'!$T:$U,2,0),"")</f>
        <v>Manual Stop - Safety Related</v>
      </c>
      <c r="M265" s="346" t="s">
        <v>467</v>
      </c>
      <c r="N265" s="39" t="s">
        <v>468</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469</v>
      </c>
      <c r="V265" s="351" t="s">
        <v>470</v>
      </c>
      <c r="W265" s="338">
        <f>Table6[[#This Row],[Breakdown Time]]*(1/39)</f>
        <v>0.61495726495726499</v>
      </c>
      <c r="X265" s="336" t="s">
        <v>486</v>
      </c>
      <c r="Y265" s="352" t="s">
        <v>100</v>
      </c>
      <c r="Z265" s="105">
        <v>8908</v>
      </c>
      <c r="AA265" s="107">
        <v>8901.8138888888898</v>
      </c>
      <c r="AB265" s="105" t="s">
        <v>472</v>
      </c>
    </row>
    <row r="266" spans="1:28">
      <c r="A266" s="105">
        <f t="shared" si="4"/>
        <v>265</v>
      </c>
      <c r="B266" s="107">
        <f>YEAR(Table6[[#This Row],[Date]])+IF(MONTH(Table6[[#This Row],[Date]])&gt;=4,1,0)</f>
        <v>2026</v>
      </c>
      <c r="C266" s="105">
        <f>YEAR(Table6[[#This Row],[Date]])</f>
        <v>2025</v>
      </c>
      <c r="D266" s="105" t="s">
        <v>465</v>
      </c>
      <c r="E266" s="119">
        <f>Table6[[#This Row],[Date]]-DAY(Table6[[#This Row],[Date]])+1</f>
        <v>45748</v>
      </c>
      <c r="F266" s="118">
        <v>45756</v>
      </c>
      <c r="G266" s="105" t="s">
        <v>74</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473</v>
      </c>
      <c r="N266" s="39" t="s">
        <v>474</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478</v>
      </c>
      <c r="V266" s="351" t="s">
        <v>476</v>
      </c>
      <c r="W266" s="338">
        <f>Table6[[#This Row],[Breakdown Time]]*(1/39)</f>
        <v>2.1367521367521292E-3</v>
      </c>
      <c r="X266" s="336" t="s">
        <v>477</v>
      </c>
      <c r="Y266" s="352" t="s">
        <v>80</v>
      </c>
      <c r="Z266" s="105">
        <v>9460</v>
      </c>
      <c r="AA266" s="107">
        <v>32.847222222222108</v>
      </c>
      <c r="AB266" s="105" t="s">
        <v>472</v>
      </c>
    </row>
    <row r="267" spans="1:28">
      <c r="A267" s="105">
        <f t="shared" si="4"/>
        <v>266</v>
      </c>
      <c r="B267" s="107">
        <f>YEAR(Table6[[#This Row],[Date]])+IF(MONTH(Table6[[#This Row],[Date]])&gt;=4,1,0)</f>
        <v>2026</v>
      </c>
      <c r="C267" s="105">
        <f>YEAR(Table6[[#This Row],[Date]])</f>
        <v>2025</v>
      </c>
      <c r="D267" s="105" t="s">
        <v>465</v>
      </c>
      <c r="E267" s="119">
        <f>Table6[[#This Row],[Date]]-DAY(Table6[[#This Row],[Date]])+1</f>
        <v>45748</v>
      </c>
      <c r="F267" s="118">
        <v>45756</v>
      </c>
      <c r="G267" s="105" t="s">
        <v>77</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473</v>
      </c>
      <c r="N267" s="39" t="s">
        <v>474</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475</v>
      </c>
      <c r="V267" s="351" t="s">
        <v>476</v>
      </c>
      <c r="W267" s="338">
        <f>Table6[[#This Row],[Breakdown Time]]*(1/39)</f>
        <v>1.7948717948717947E-2</v>
      </c>
      <c r="X267" s="336" t="s">
        <v>477</v>
      </c>
      <c r="Y267" s="352" t="s">
        <v>76</v>
      </c>
      <c r="Z267" s="105">
        <v>9628</v>
      </c>
      <c r="AA267" s="107">
        <v>280.81666666666666</v>
      </c>
      <c r="AB267" s="105" t="s">
        <v>472</v>
      </c>
    </row>
    <row r="268" spans="1:28">
      <c r="A268" s="105">
        <f t="shared" si="4"/>
        <v>267</v>
      </c>
      <c r="B268" s="107">
        <f>YEAR(Table6[[#This Row],[Date]])+IF(MONTH(Table6[[#This Row],[Date]])&gt;=4,1,0)</f>
        <v>2026</v>
      </c>
      <c r="C268" s="105">
        <f>YEAR(Table6[[#This Row],[Date]])</f>
        <v>2025</v>
      </c>
      <c r="D268" s="105" t="s">
        <v>465</v>
      </c>
      <c r="E268" s="119">
        <f>Table6[[#This Row],[Date]]-DAY(Table6[[#This Row],[Date]])+1</f>
        <v>45748</v>
      </c>
      <c r="F268" s="118">
        <v>45756</v>
      </c>
      <c r="G268" s="105" t="s">
        <v>77</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473</v>
      </c>
      <c r="N268" s="39" t="s">
        <v>474</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522</v>
      </c>
      <c r="V268" s="351" t="s">
        <v>476</v>
      </c>
      <c r="W268" s="338">
        <f>Table6[[#This Row],[Breakdown Time]]*(1/39)</f>
        <v>0.10042735042735045</v>
      </c>
      <c r="X268" s="336" t="s">
        <v>477</v>
      </c>
      <c r="Y268" s="352" t="s">
        <v>76</v>
      </c>
      <c r="Z268" s="105">
        <v>9628</v>
      </c>
      <c r="AA268" s="107">
        <v>1571.2361111111115</v>
      </c>
      <c r="AB268" s="105" t="s">
        <v>472</v>
      </c>
    </row>
    <row r="269" spans="1:28">
      <c r="A269" s="105">
        <f t="shared" si="4"/>
        <v>268</v>
      </c>
      <c r="B269" s="107">
        <f>YEAR(Table6[[#This Row],[Date]])+IF(MONTH(Table6[[#This Row],[Date]])&gt;=4,1,0)</f>
        <v>2026</v>
      </c>
      <c r="C269" s="105">
        <f>YEAR(Table6[[#This Row],[Date]])</f>
        <v>2025</v>
      </c>
      <c r="D269" s="105" t="s">
        <v>465</v>
      </c>
      <c r="E269" s="119">
        <f>Table6[[#This Row],[Date]]-DAY(Table6[[#This Row],[Date]])+1</f>
        <v>45748</v>
      </c>
      <c r="F269" s="118">
        <v>45756</v>
      </c>
      <c r="G269" s="105" t="s">
        <v>82</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473</v>
      </c>
      <c r="N269" s="39" t="s">
        <v>474</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523</v>
      </c>
      <c r="V269" s="351" t="s">
        <v>476</v>
      </c>
      <c r="W269" s="338">
        <f>Table6[[#This Row],[Breakdown Time]]*(1/39)</f>
        <v>5.7264957264957263E-2</v>
      </c>
      <c r="X269" s="336" t="s">
        <v>477</v>
      </c>
      <c r="Y269" s="352" t="s">
        <v>85</v>
      </c>
      <c r="Z269" s="105">
        <v>9350</v>
      </c>
      <c r="AA269" s="107">
        <v>870.06944444444446</v>
      </c>
      <c r="AB269" s="105" t="s">
        <v>472</v>
      </c>
    </row>
    <row r="270" spans="1:28">
      <c r="A270" s="105">
        <f t="shared" si="4"/>
        <v>269</v>
      </c>
      <c r="B270" s="107">
        <f>YEAR(Table6[[#This Row],[Date]])+IF(MONTH(Table6[[#This Row],[Date]])&gt;=4,1,0)</f>
        <v>2026</v>
      </c>
      <c r="C270" s="105">
        <f>YEAR(Table6[[#This Row],[Date]])</f>
        <v>2025</v>
      </c>
      <c r="D270" s="105" t="s">
        <v>465</v>
      </c>
      <c r="E270" s="119">
        <f>Table6[[#This Row],[Date]]-DAY(Table6[[#This Row],[Date]])+1</f>
        <v>45748</v>
      </c>
      <c r="F270" s="118">
        <v>45756</v>
      </c>
      <c r="G270" s="105" t="s">
        <v>83</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473</v>
      </c>
      <c r="N270" s="39" t="s">
        <v>474</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478</v>
      </c>
      <c r="V270" s="351" t="s">
        <v>476</v>
      </c>
      <c r="W270" s="338">
        <f>Table6[[#This Row],[Breakdown Time]]*(1/39)</f>
        <v>2.1367521367521378E-3</v>
      </c>
      <c r="X270" s="336" t="s">
        <v>477</v>
      </c>
      <c r="Y270" s="352" t="s">
        <v>84</v>
      </c>
      <c r="Z270" s="105">
        <v>12444</v>
      </c>
      <c r="AA270" s="107">
        <v>43.20833333333335</v>
      </c>
      <c r="AB270" s="105" t="s">
        <v>472</v>
      </c>
    </row>
    <row r="271" spans="1:28">
      <c r="A271" s="105">
        <f t="shared" si="4"/>
        <v>270</v>
      </c>
      <c r="B271" s="107">
        <f>YEAR(Table6[[#This Row],[Date]])+IF(MONTH(Table6[[#This Row],[Date]])&gt;=4,1,0)</f>
        <v>2026</v>
      </c>
      <c r="C271" s="105">
        <f>YEAR(Table6[[#This Row],[Date]])</f>
        <v>2025</v>
      </c>
      <c r="D271" s="105" t="s">
        <v>465</v>
      </c>
      <c r="E271" s="119">
        <f>Table6[[#This Row],[Date]]-DAY(Table6[[#This Row],[Date]])+1</f>
        <v>45748</v>
      </c>
      <c r="F271" s="118">
        <v>45756</v>
      </c>
      <c r="G271" s="105" t="s">
        <v>83</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473</v>
      </c>
      <c r="N271" s="39" t="s">
        <v>474</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475</v>
      </c>
      <c r="V271" s="351" t="s">
        <v>476</v>
      </c>
      <c r="W271" s="338">
        <f>Table6[[#This Row],[Breakdown Time]]*(1/39)</f>
        <v>9.4871794871794868E-2</v>
      </c>
      <c r="X271" s="336" t="s">
        <v>477</v>
      </c>
      <c r="Y271" s="352" t="s">
        <v>84</v>
      </c>
      <c r="Z271" s="105">
        <v>12444</v>
      </c>
      <c r="AA271" s="107">
        <v>1918.45</v>
      </c>
      <c r="AB271" s="105" t="s">
        <v>472</v>
      </c>
    </row>
    <row r="272" spans="1:28">
      <c r="A272" s="105">
        <f t="shared" si="4"/>
        <v>271</v>
      </c>
      <c r="B272" s="107">
        <f>YEAR(Table6[[#This Row],[Date]])+IF(MONTH(Table6[[#This Row],[Date]])&gt;=4,1,0)</f>
        <v>2026</v>
      </c>
      <c r="C272" s="105">
        <f>YEAR(Table6[[#This Row],[Date]])</f>
        <v>2025</v>
      </c>
      <c r="D272" s="105" t="s">
        <v>465</v>
      </c>
      <c r="E272" s="119">
        <f>Table6[[#This Row],[Date]]-DAY(Table6[[#This Row],[Date]])+1</f>
        <v>45748</v>
      </c>
      <c r="F272" s="118">
        <v>45756</v>
      </c>
      <c r="G272" s="105" t="s">
        <v>85</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473</v>
      </c>
      <c r="N272" s="39" t="s">
        <v>474</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478</v>
      </c>
      <c r="V272" s="351" t="s">
        <v>476</v>
      </c>
      <c r="W272" s="338">
        <f>Table6[[#This Row],[Breakdown Time]]*(1/39)</f>
        <v>4.2735042735042583E-3</v>
      </c>
      <c r="X272" s="336" t="s">
        <v>477</v>
      </c>
      <c r="Y272" s="352" t="s">
        <v>86</v>
      </c>
      <c r="Z272" s="105">
        <v>8102</v>
      </c>
      <c r="AA272" s="107">
        <v>56.263888888888687</v>
      </c>
      <c r="AB272" s="105" t="s">
        <v>472</v>
      </c>
    </row>
    <row r="273" spans="1:28">
      <c r="A273" s="105">
        <f t="shared" si="4"/>
        <v>272</v>
      </c>
      <c r="B273" s="107">
        <f>YEAR(Table6[[#This Row],[Date]])+IF(MONTH(Table6[[#This Row],[Date]])&gt;=4,1,0)</f>
        <v>2026</v>
      </c>
      <c r="C273" s="105">
        <f>YEAR(Table6[[#This Row],[Date]])</f>
        <v>2025</v>
      </c>
      <c r="D273" s="105" t="s">
        <v>465</v>
      </c>
      <c r="E273" s="119">
        <f>Table6[[#This Row],[Date]]-DAY(Table6[[#This Row],[Date]])+1</f>
        <v>45748</v>
      </c>
      <c r="F273" s="118">
        <v>45756</v>
      </c>
      <c r="G273" s="105" t="s">
        <v>88</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473</v>
      </c>
      <c r="N273" s="39" t="s">
        <v>474</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478</v>
      </c>
      <c r="V273" s="351" t="s">
        <v>476</v>
      </c>
      <c r="W273" s="338">
        <f>Table6[[#This Row],[Breakdown Time]]*(1/39)</f>
        <v>2.1367521367521292E-3</v>
      </c>
      <c r="X273" s="336" t="s">
        <v>477</v>
      </c>
      <c r="Y273" s="352" t="s">
        <v>87</v>
      </c>
      <c r="Z273" s="105">
        <v>10392</v>
      </c>
      <c r="AA273" s="107">
        <v>36.083333333333208</v>
      </c>
      <c r="AB273" s="105" t="s">
        <v>472</v>
      </c>
    </row>
    <row r="274" spans="1:28">
      <c r="A274" s="105">
        <f t="shared" si="4"/>
        <v>273</v>
      </c>
      <c r="B274" s="107">
        <f>YEAR(Table6[[#This Row],[Date]])+IF(MONTH(Table6[[#This Row],[Date]])&gt;=4,1,0)</f>
        <v>2026</v>
      </c>
      <c r="C274" s="105">
        <f>YEAR(Table6[[#This Row],[Date]])</f>
        <v>2025</v>
      </c>
      <c r="D274" s="105" t="s">
        <v>465</v>
      </c>
      <c r="E274" s="119">
        <f>Table6[[#This Row],[Date]]-DAY(Table6[[#This Row],[Date]])+1</f>
        <v>45748</v>
      </c>
      <c r="F274" s="118">
        <v>45756</v>
      </c>
      <c r="G274" s="105" t="s">
        <v>89</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473</v>
      </c>
      <c r="N274" s="39" t="s">
        <v>474</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524</v>
      </c>
      <c r="V274" s="351" t="s">
        <v>476</v>
      </c>
      <c r="W274" s="338">
        <f>Table6[[#This Row],[Breakdown Time]]*(1/39)</f>
        <v>0.48461538461538456</v>
      </c>
      <c r="X274" s="336" t="s">
        <v>477</v>
      </c>
      <c r="Y274" s="352" t="s">
        <v>90</v>
      </c>
      <c r="Z274" s="105">
        <v>12986</v>
      </c>
      <c r="AA274" s="107">
        <v>10226.475</v>
      </c>
      <c r="AB274" s="105" t="s">
        <v>525</v>
      </c>
    </row>
    <row r="275" spans="1:28">
      <c r="A275" s="105">
        <f t="shared" si="4"/>
        <v>274</v>
      </c>
      <c r="B275" s="107">
        <f>YEAR(Table6[[#This Row],[Date]])+IF(MONTH(Table6[[#This Row],[Date]])&gt;=4,1,0)</f>
        <v>2026</v>
      </c>
      <c r="C275" s="105">
        <f>YEAR(Table6[[#This Row],[Date]])</f>
        <v>2025</v>
      </c>
      <c r="D275" s="105" t="s">
        <v>465</v>
      </c>
      <c r="E275" s="119">
        <f>Table6[[#This Row],[Date]]-DAY(Table6[[#This Row],[Date]])+1</f>
        <v>45748</v>
      </c>
      <c r="F275" s="118">
        <v>45756</v>
      </c>
      <c r="G275" s="105" t="s">
        <v>91</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473</v>
      </c>
      <c r="N275" s="39" t="s">
        <v>474</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478</v>
      </c>
      <c r="V275" s="351" t="s">
        <v>476</v>
      </c>
      <c r="W275" s="338">
        <f>Table6[[#This Row],[Breakdown Time]]*(1/39)</f>
        <v>2.1367521367521378E-3</v>
      </c>
      <c r="X275" s="336" t="s">
        <v>477</v>
      </c>
      <c r="Y275" s="352" t="s">
        <v>92</v>
      </c>
      <c r="Z275" s="105">
        <v>11728</v>
      </c>
      <c r="AA275" s="107">
        <v>40.722222222222243</v>
      </c>
      <c r="AB275" s="105" t="s">
        <v>472</v>
      </c>
    </row>
    <row r="276" spans="1:28">
      <c r="A276" s="105">
        <f t="shared" si="4"/>
        <v>275</v>
      </c>
      <c r="B276" s="107">
        <f>YEAR(Table6[[#This Row],[Date]])+IF(MONTH(Table6[[#This Row],[Date]])&gt;=4,1,0)</f>
        <v>2026</v>
      </c>
      <c r="C276" s="105">
        <f>YEAR(Table6[[#This Row],[Date]])</f>
        <v>2025</v>
      </c>
      <c r="D276" s="105" t="s">
        <v>465</v>
      </c>
      <c r="E276" s="119">
        <f>Table6[[#This Row],[Date]]-DAY(Table6[[#This Row],[Date]])+1</f>
        <v>45748</v>
      </c>
      <c r="F276" s="118">
        <v>45756</v>
      </c>
      <c r="G276" s="105" t="s">
        <v>91</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473</v>
      </c>
      <c r="N276" s="39" t="s">
        <v>474</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478</v>
      </c>
      <c r="V276" s="351" t="s">
        <v>476</v>
      </c>
      <c r="W276" s="338">
        <f>Table6[[#This Row],[Breakdown Time]]*(1/39)</f>
        <v>2.1367521367521461E-3</v>
      </c>
      <c r="X276" s="336" t="s">
        <v>477</v>
      </c>
      <c r="Y276" s="352" t="s">
        <v>92</v>
      </c>
      <c r="Z276" s="105">
        <v>11728</v>
      </c>
      <c r="AA276" s="107">
        <v>40.722222222222406</v>
      </c>
      <c r="AB276" s="105" t="s">
        <v>472</v>
      </c>
    </row>
    <row r="277" spans="1:28">
      <c r="A277" s="105">
        <f t="shared" si="4"/>
        <v>276</v>
      </c>
      <c r="B277" s="107">
        <f>YEAR(Table6[[#This Row],[Date]])+IF(MONTH(Table6[[#This Row],[Date]])&gt;=4,1,0)</f>
        <v>2026</v>
      </c>
      <c r="C277" s="105">
        <f>YEAR(Table6[[#This Row],[Date]])</f>
        <v>2025</v>
      </c>
      <c r="D277" s="105" t="s">
        <v>465</v>
      </c>
      <c r="E277" s="119">
        <f>Table6[[#This Row],[Date]]-DAY(Table6[[#This Row],[Date]])+1</f>
        <v>45748</v>
      </c>
      <c r="F277" s="118">
        <v>45756</v>
      </c>
      <c r="G277" s="105" t="s">
        <v>92</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473</v>
      </c>
      <c r="N277" s="39" t="s">
        <v>474</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475</v>
      </c>
      <c r="V277" s="351" t="s">
        <v>476</v>
      </c>
      <c r="W277" s="338">
        <f>Table6[[#This Row],[Breakdown Time]]*(1/39)</f>
        <v>0.11153846153846153</v>
      </c>
      <c r="X277" s="336" t="s">
        <v>477</v>
      </c>
      <c r="Y277" s="352" t="s">
        <v>93</v>
      </c>
      <c r="Z277" s="105">
        <v>12297</v>
      </c>
      <c r="AA277" s="107">
        <v>2228.8312499999997</v>
      </c>
      <c r="AB277" s="105" t="s">
        <v>472</v>
      </c>
    </row>
    <row r="278" spans="1:28">
      <c r="A278" s="105">
        <f t="shared" si="4"/>
        <v>277</v>
      </c>
      <c r="B278" s="107">
        <f>YEAR(Table6[[#This Row],[Date]])+IF(MONTH(Table6[[#This Row],[Date]])&gt;=4,1,0)</f>
        <v>2026</v>
      </c>
      <c r="C278" s="105">
        <f>YEAR(Table6[[#This Row],[Date]])</f>
        <v>2025</v>
      </c>
      <c r="D278" s="105" t="s">
        <v>465</v>
      </c>
      <c r="E278" s="119">
        <f>Table6[[#This Row],[Date]]-DAY(Table6[[#This Row],[Date]])+1</f>
        <v>45748</v>
      </c>
      <c r="F278" s="118">
        <v>45756</v>
      </c>
      <c r="G278" s="105" t="s">
        <v>95</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473</v>
      </c>
      <c r="N278" s="39" t="s">
        <v>474</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475</v>
      </c>
      <c r="V278" s="351" t="s">
        <v>476</v>
      </c>
      <c r="W278" s="338">
        <f>Table6[[#This Row],[Breakdown Time]]*(1/39)</f>
        <v>7.2649572649572669E-2</v>
      </c>
      <c r="X278" s="336" t="s">
        <v>477</v>
      </c>
      <c r="Y278" s="352" t="s">
        <v>94</v>
      </c>
      <c r="Z278" s="105">
        <v>8994</v>
      </c>
      <c r="AA278" s="107">
        <v>1061.791666666667</v>
      </c>
      <c r="AB278" s="105" t="s">
        <v>472</v>
      </c>
    </row>
    <row r="279" spans="1:28">
      <c r="A279" s="105">
        <f t="shared" si="4"/>
        <v>278</v>
      </c>
      <c r="B279" s="107">
        <f>YEAR(Table6[[#This Row],[Date]])+IF(MONTH(Table6[[#This Row],[Date]])&gt;=4,1,0)</f>
        <v>2026</v>
      </c>
      <c r="C279" s="105">
        <f>YEAR(Table6[[#This Row],[Date]])</f>
        <v>2025</v>
      </c>
      <c r="D279" s="105" t="s">
        <v>465</v>
      </c>
      <c r="E279" s="119">
        <f>Table6[[#This Row],[Date]]-DAY(Table6[[#This Row],[Date]])+1</f>
        <v>45748</v>
      </c>
      <c r="F279" s="118">
        <v>45756</v>
      </c>
      <c r="G279" s="105" t="s">
        <v>98</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473</v>
      </c>
      <c r="N279" s="39" t="s">
        <v>474</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478</v>
      </c>
      <c r="V279" s="351" t="s">
        <v>476</v>
      </c>
      <c r="W279" s="338">
        <f>Table6[[#This Row],[Breakdown Time]]*(1/39)</f>
        <v>2.1367521367521461E-3</v>
      </c>
      <c r="X279" s="336" t="s">
        <v>477</v>
      </c>
      <c r="Y279" s="352" t="s">
        <v>104</v>
      </c>
      <c r="Z279" s="105">
        <v>7086</v>
      </c>
      <c r="AA279" s="107">
        <v>24.604166666666774</v>
      </c>
      <c r="AB279" s="105" t="s">
        <v>472</v>
      </c>
    </row>
    <row r="280" spans="1:28">
      <c r="A280" s="105">
        <f t="shared" si="4"/>
        <v>279</v>
      </c>
      <c r="B280" s="107">
        <f>YEAR(Table6[[#This Row],[Date]])+IF(MONTH(Table6[[#This Row],[Date]])&gt;=4,1,0)</f>
        <v>2026</v>
      </c>
      <c r="C280" s="105">
        <f>YEAR(Table6[[#This Row],[Date]])</f>
        <v>2025</v>
      </c>
      <c r="D280" s="105" t="s">
        <v>465</v>
      </c>
      <c r="E280" s="119">
        <f>Table6[[#This Row],[Date]]-DAY(Table6[[#This Row],[Date]])+1</f>
        <v>45748</v>
      </c>
      <c r="F280" s="118">
        <v>45756</v>
      </c>
      <c r="G280" s="105" t="s">
        <v>98</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473</v>
      </c>
      <c r="N280" s="39" t="s">
        <v>474</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478</v>
      </c>
      <c r="V280" s="351" t="s">
        <v>476</v>
      </c>
      <c r="W280" s="338">
        <f>Table6[[#This Row],[Breakdown Time]]*(1/39)</f>
        <v>2.1367521367521292E-3</v>
      </c>
      <c r="X280" s="336" t="s">
        <v>477</v>
      </c>
      <c r="Y280" s="352" t="s">
        <v>104</v>
      </c>
      <c r="Z280" s="105">
        <v>7086</v>
      </c>
      <c r="AA280" s="107">
        <v>24.604166666666579</v>
      </c>
      <c r="AB280" s="105" t="s">
        <v>472</v>
      </c>
    </row>
    <row r="281" spans="1:28">
      <c r="A281" s="105">
        <f t="shared" si="4"/>
        <v>280</v>
      </c>
      <c r="B281" s="107">
        <f>YEAR(Table6[[#This Row],[Date]])+IF(MONTH(Table6[[#This Row],[Date]])&gt;=4,1,0)</f>
        <v>2026</v>
      </c>
      <c r="C281" s="105">
        <f>YEAR(Table6[[#This Row],[Date]])</f>
        <v>2025</v>
      </c>
      <c r="D281" s="105" t="s">
        <v>465</v>
      </c>
      <c r="E281" s="119">
        <f>Table6[[#This Row],[Date]]-DAY(Table6[[#This Row],[Date]])+1</f>
        <v>45748</v>
      </c>
      <c r="F281" s="118">
        <v>45756</v>
      </c>
      <c r="G281" s="105" t="s">
        <v>109</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473</v>
      </c>
      <c r="N281" s="39" t="s">
        <v>474</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475</v>
      </c>
      <c r="V281" s="351" t="s">
        <v>476</v>
      </c>
      <c r="W281" s="338">
        <f>Table6[[#This Row],[Breakdown Time]]*(1/39)</f>
        <v>1.2820512820512843E-2</v>
      </c>
      <c r="X281" s="336" t="s">
        <v>477</v>
      </c>
      <c r="Y281" s="352" t="s">
        <v>108</v>
      </c>
      <c r="Z281" s="105">
        <v>9864</v>
      </c>
      <c r="AA281" s="107">
        <v>205.50000000000037</v>
      </c>
      <c r="AB281" s="105" t="s">
        <v>472</v>
      </c>
    </row>
    <row r="282" spans="1:28">
      <c r="A282" s="105">
        <f t="shared" si="4"/>
        <v>281</v>
      </c>
      <c r="B282" s="107">
        <f>YEAR(Table6[[#This Row],[Date]])+IF(MONTH(Table6[[#This Row],[Date]])&gt;=4,1,0)</f>
        <v>2026</v>
      </c>
      <c r="C282" s="105">
        <f>YEAR(Table6[[#This Row],[Date]])</f>
        <v>2025</v>
      </c>
      <c r="D282" s="105" t="s">
        <v>465</v>
      </c>
      <c r="E282" s="119">
        <f>Table6[[#This Row],[Date]]-DAY(Table6[[#This Row],[Date]])+1</f>
        <v>45748</v>
      </c>
      <c r="F282" s="118">
        <v>45757</v>
      </c>
      <c r="G282" s="105" t="s">
        <v>103</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466</v>
      </c>
      <c r="L282" s="39" t="str">
        <f>IFERROR(VLOOKUP(Table6[[#This Row],[Error Code]],'Basic Data'!$T:$U,2,0),"")</f>
        <v>Manual Stop - Safety Related</v>
      </c>
      <c r="M282" s="346" t="s">
        <v>467</v>
      </c>
      <c r="N282" s="39" t="s">
        <v>468</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469</v>
      </c>
      <c r="V282" s="351" t="s">
        <v>470</v>
      </c>
      <c r="W282" s="338">
        <f>Table6[[#This Row],[Breakdown Time]]*(1/39)</f>
        <v>0.61495726495726499</v>
      </c>
      <c r="X282" s="336" t="s">
        <v>486</v>
      </c>
      <c r="Y282" s="352" t="s">
        <v>100</v>
      </c>
      <c r="Z282" s="105">
        <v>12542</v>
      </c>
      <c r="AA282" s="107">
        <v>12533.29027777778</v>
      </c>
      <c r="AB282" s="105" t="s">
        <v>472</v>
      </c>
    </row>
    <row r="283" spans="1:28">
      <c r="A283" s="105">
        <f t="shared" si="4"/>
        <v>282</v>
      </c>
      <c r="B283" s="107">
        <f>YEAR(Table6[[#This Row],[Date]])+IF(MONTH(Table6[[#This Row],[Date]])&gt;=4,1,0)</f>
        <v>2026</v>
      </c>
      <c r="C283" s="105">
        <f>YEAR(Table6[[#This Row],[Date]])</f>
        <v>2025</v>
      </c>
      <c r="D283" s="105" t="s">
        <v>465</v>
      </c>
      <c r="E283" s="119">
        <f>Table6[[#This Row],[Date]]-DAY(Table6[[#This Row],[Date]])+1</f>
        <v>45748</v>
      </c>
      <c r="F283" s="118">
        <v>45757</v>
      </c>
      <c r="G283" s="105" t="s">
        <v>101</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466</v>
      </c>
      <c r="L283" s="39" t="str">
        <f>IFERROR(VLOOKUP(Table6[[#This Row],[Error Code]],'Basic Data'!$T:$U,2,0),"")</f>
        <v>Manual Stop - Safety Related</v>
      </c>
      <c r="M283" s="346" t="s">
        <v>467</v>
      </c>
      <c r="N283" s="39" t="s">
        <v>468</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469</v>
      </c>
      <c r="V283" s="351" t="s">
        <v>470</v>
      </c>
      <c r="W283" s="338">
        <f>Table6[[#This Row],[Breakdown Time]]*(1/39)</f>
        <v>0.61495726495726499</v>
      </c>
      <c r="X283" s="336" t="s">
        <v>486</v>
      </c>
      <c r="Y283" s="352" t="s">
        <v>100</v>
      </c>
      <c r="Z283" s="105">
        <v>12542</v>
      </c>
      <c r="AA283" s="107">
        <v>12533.29027777778</v>
      </c>
      <c r="AB283" s="105" t="s">
        <v>472</v>
      </c>
    </row>
    <row r="284" spans="1:28">
      <c r="A284" s="105">
        <f t="shared" si="4"/>
        <v>283</v>
      </c>
      <c r="B284" s="107">
        <f>YEAR(Table6[[#This Row],[Date]])+IF(MONTH(Table6[[#This Row],[Date]])&gt;=4,1,0)</f>
        <v>2026</v>
      </c>
      <c r="C284" s="105">
        <f>YEAR(Table6[[#This Row],[Date]])</f>
        <v>2025</v>
      </c>
      <c r="D284" s="105" t="s">
        <v>465</v>
      </c>
      <c r="E284" s="119">
        <f>Table6[[#This Row],[Date]]-DAY(Table6[[#This Row],[Date]])+1</f>
        <v>45748</v>
      </c>
      <c r="F284" s="118">
        <v>45757</v>
      </c>
      <c r="G284" s="105" t="s">
        <v>77</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473</v>
      </c>
      <c r="N284" s="39" t="s">
        <v>474</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484</v>
      </c>
      <c r="V284" s="351" t="s">
        <v>476</v>
      </c>
      <c r="W284" s="338">
        <f>Table6[[#This Row],[Breakdown Time]]*(1/39)</f>
        <v>2.6068376068376111E-2</v>
      </c>
      <c r="X284" s="336" t="s">
        <v>477</v>
      </c>
      <c r="Y284" s="352" t="s">
        <v>76</v>
      </c>
      <c r="Z284" s="105">
        <v>13120</v>
      </c>
      <c r="AA284" s="107">
        <v>555.77777777777862</v>
      </c>
      <c r="AB284" s="105" t="s">
        <v>472</v>
      </c>
    </row>
    <row r="285" spans="1:28">
      <c r="A285" s="105">
        <f t="shared" si="4"/>
        <v>284</v>
      </c>
      <c r="B285" s="107">
        <f>YEAR(Table6[[#This Row],[Date]])+IF(MONTH(Table6[[#This Row],[Date]])&gt;=4,1,0)</f>
        <v>2026</v>
      </c>
      <c r="C285" s="105">
        <f>YEAR(Table6[[#This Row],[Date]])</f>
        <v>2025</v>
      </c>
      <c r="D285" s="105" t="s">
        <v>465</v>
      </c>
      <c r="E285" s="119">
        <f>Table6[[#This Row],[Date]]-DAY(Table6[[#This Row],[Date]])+1</f>
        <v>45748</v>
      </c>
      <c r="F285" s="118">
        <v>45757</v>
      </c>
      <c r="G285" s="105" t="s">
        <v>80</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473</v>
      </c>
      <c r="N285" s="39" t="s">
        <v>474</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475</v>
      </c>
      <c r="V285" s="351" t="s">
        <v>476</v>
      </c>
      <c r="W285" s="338">
        <f>Table6[[#This Row],[Breakdown Time]]*(1/39)</f>
        <v>3.4188034188034136E-2</v>
      </c>
      <c r="X285" s="336" t="s">
        <v>477</v>
      </c>
      <c r="Y285" s="352" t="s">
        <v>74</v>
      </c>
      <c r="Z285" s="105">
        <v>14750</v>
      </c>
      <c r="AA285" s="107">
        <v>819.44444444444321</v>
      </c>
      <c r="AB285" s="105" t="s">
        <v>472</v>
      </c>
    </row>
    <row r="286" spans="1:28">
      <c r="A286" s="105">
        <f t="shared" si="4"/>
        <v>285</v>
      </c>
      <c r="B286" s="107">
        <f>YEAR(Table6[[#This Row],[Date]])+IF(MONTH(Table6[[#This Row],[Date]])&gt;=4,1,0)</f>
        <v>2026</v>
      </c>
      <c r="C286" s="105">
        <f>YEAR(Table6[[#This Row],[Date]])</f>
        <v>2025</v>
      </c>
      <c r="D286" s="105" t="s">
        <v>465</v>
      </c>
      <c r="E286" s="119">
        <f>Table6[[#This Row],[Date]]-DAY(Table6[[#This Row],[Date]])+1</f>
        <v>45748</v>
      </c>
      <c r="F286" s="118">
        <v>45757</v>
      </c>
      <c r="G286" s="105" t="s">
        <v>85</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473</v>
      </c>
      <c r="N286" s="39" t="s">
        <v>474</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484</v>
      </c>
      <c r="V286" s="351" t="s">
        <v>476</v>
      </c>
      <c r="W286" s="338">
        <f>Table6[[#This Row],[Breakdown Time]]*(1/39)</f>
        <v>1.837606837606838E-2</v>
      </c>
      <c r="X286" s="336" t="s">
        <v>477</v>
      </c>
      <c r="Y286" s="352" t="s">
        <v>86</v>
      </c>
      <c r="Z286" s="105">
        <v>11088</v>
      </c>
      <c r="AA286" s="107">
        <v>331.10000000000008</v>
      </c>
      <c r="AB286" s="105" t="s">
        <v>472</v>
      </c>
    </row>
    <row r="287" spans="1:28">
      <c r="A287" s="105">
        <f t="shared" si="4"/>
        <v>286</v>
      </c>
      <c r="B287" s="107">
        <f>YEAR(Table6[[#This Row],[Date]])+IF(MONTH(Table6[[#This Row],[Date]])&gt;=4,1,0)</f>
        <v>2026</v>
      </c>
      <c r="C287" s="105">
        <f>YEAR(Table6[[#This Row],[Date]])</f>
        <v>2025</v>
      </c>
      <c r="D287" s="105" t="s">
        <v>465</v>
      </c>
      <c r="E287" s="119">
        <f>Table6[[#This Row],[Date]]-DAY(Table6[[#This Row],[Date]])+1</f>
        <v>45748</v>
      </c>
      <c r="F287" s="118">
        <v>45757</v>
      </c>
      <c r="G287" s="105" t="s">
        <v>87</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526</v>
      </c>
      <c r="L287" s="39" t="str">
        <f>IFERROR(VLOOKUP(Table6[[#This Row],[Error Code]],'Basic Data'!$T:$U,2,0),"")</f>
        <v>Manual Stop</v>
      </c>
      <c r="M287" s="346" t="s">
        <v>499</v>
      </c>
      <c r="N287" s="39" t="s">
        <v>189</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518</v>
      </c>
      <c r="V287" s="351" t="s">
        <v>476</v>
      </c>
      <c r="W287" s="338">
        <f>Table6[[#This Row],[Breakdown Time]]*(1/39)</f>
        <v>0.12094017094017098</v>
      </c>
      <c r="X287" s="336" t="s">
        <v>501</v>
      </c>
      <c r="Y287" s="352" t="s">
        <v>88</v>
      </c>
      <c r="Z287" s="105">
        <v>14296</v>
      </c>
      <c r="AA287" s="107">
        <v>2809.561111111112</v>
      </c>
      <c r="AB287" s="105" t="s">
        <v>472</v>
      </c>
    </row>
    <row r="288" spans="1:28">
      <c r="A288" s="105">
        <f t="shared" si="4"/>
        <v>287</v>
      </c>
      <c r="B288" s="107">
        <f>YEAR(Table6[[#This Row],[Date]])+IF(MONTH(Table6[[#This Row],[Date]])&gt;=4,1,0)</f>
        <v>2026</v>
      </c>
      <c r="C288" s="105">
        <f>YEAR(Table6[[#This Row],[Date]])</f>
        <v>2025</v>
      </c>
      <c r="D288" s="105" t="s">
        <v>465</v>
      </c>
      <c r="E288" s="119">
        <f>Table6[[#This Row],[Date]]-DAY(Table6[[#This Row],[Date]])+1</f>
        <v>45748</v>
      </c>
      <c r="F288" s="118">
        <v>45758</v>
      </c>
      <c r="G288" s="105" t="s">
        <v>103</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466</v>
      </c>
      <c r="L288" s="39" t="str">
        <f>IFERROR(VLOOKUP(Table6[[#This Row],[Error Code]],'Basic Data'!$T:$U,2,0),"")</f>
        <v>Manual Stop - Safety Related</v>
      </c>
      <c r="M288" s="346" t="s">
        <v>467</v>
      </c>
      <c r="N288" s="39" t="s">
        <v>468</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469</v>
      </c>
      <c r="V288" s="351" t="s">
        <v>470</v>
      </c>
      <c r="W288" s="338">
        <f>Table6[[#This Row],[Breakdown Time]]*(1/39)</f>
        <v>0.61495726495726499</v>
      </c>
      <c r="X288" s="336" t="s">
        <v>486</v>
      </c>
      <c r="Y288" s="352" t="s">
        <v>100</v>
      </c>
      <c r="Z288" s="105">
        <v>14802</v>
      </c>
      <c r="AA288" s="107">
        <v>14791.720833333335</v>
      </c>
      <c r="AB288" s="105" t="s">
        <v>472</v>
      </c>
    </row>
    <row r="289" spans="1:28">
      <c r="A289" s="105">
        <f t="shared" si="4"/>
        <v>288</v>
      </c>
      <c r="B289" s="107">
        <f>YEAR(Table6[[#This Row],[Date]])+IF(MONTH(Table6[[#This Row],[Date]])&gt;=4,1,0)</f>
        <v>2026</v>
      </c>
      <c r="C289" s="105">
        <f>YEAR(Table6[[#This Row],[Date]])</f>
        <v>2025</v>
      </c>
      <c r="D289" s="105" t="s">
        <v>465</v>
      </c>
      <c r="E289" s="119">
        <f>Table6[[#This Row],[Date]]-DAY(Table6[[#This Row],[Date]])+1</f>
        <v>45748</v>
      </c>
      <c r="F289" s="118">
        <v>45758</v>
      </c>
      <c r="G289" s="105" t="s">
        <v>101</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466</v>
      </c>
      <c r="L289" s="39" t="str">
        <f>IFERROR(VLOOKUP(Table6[[#This Row],[Error Code]],'Basic Data'!$T:$U,2,0),"")</f>
        <v>Manual Stop - Safety Related</v>
      </c>
      <c r="M289" s="346" t="s">
        <v>467</v>
      </c>
      <c r="N289" s="39" t="s">
        <v>468</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469</v>
      </c>
      <c r="V289" s="351" t="s">
        <v>470</v>
      </c>
      <c r="W289" s="338">
        <f>Table6[[#This Row],[Breakdown Time]]*(1/39)</f>
        <v>0.61495726495726499</v>
      </c>
      <c r="X289" s="336" t="s">
        <v>486</v>
      </c>
      <c r="Y289" s="352" t="s">
        <v>100</v>
      </c>
      <c r="Z289" s="105">
        <v>14802</v>
      </c>
      <c r="AA289" s="107">
        <v>14791.720833333335</v>
      </c>
      <c r="AB289" s="105" t="s">
        <v>472</v>
      </c>
    </row>
    <row r="290" spans="1:28">
      <c r="A290" s="105">
        <f t="shared" si="4"/>
        <v>289</v>
      </c>
      <c r="B290" s="107">
        <f>YEAR(Table6[[#This Row],[Date]])+IF(MONTH(Table6[[#This Row],[Date]])&gt;=4,1,0)</f>
        <v>2026</v>
      </c>
      <c r="C290" s="105">
        <f>YEAR(Table6[[#This Row],[Date]])</f>
        <v>2025</v>
      </c>
      <c r="D290" s="105" t="s">
        <v>465</v>
      </c>
      <c r="E290" s="119">
        <f>Table6[[#This Row],[Date]]-DAY(Table6[[#This Row],[Date]])+1</f>
        <v>45748</v>
      </c>
      <c r="F290" s="118">
        <v>45758</v>
      </c>
      <c r="G290" s="105" t="s">
        <v>76</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517</v>
      </c>
      <c r="L290" s="39" t="str">
        <f>IFERROR(VLOOKUP(Table6[[#This Row],[Error Code]],'Basic Data'!$T:$U,2,0),"")</f>
        <v>General Work Stoppage</v>
      </c>
      <c r="M290" s="346" t="s">
        <v>499</v>
      </c>
      <c r="N290" s="39" t="s">
        <v>189</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527</v>
      </c>
      <c r="V290" s="351" t="s">
        <v>476</v>
      </c>
      <c r="W290" s="338">
        <f>Table6[[#This Row],[Breakdown Time]]*(1/39)</f>
        <v>3.6324786324786335E-2</v>
      </c>
      <c r="X290" s="336" t="s">
        <v>501</v>
      </c>
      <c r="Y290" s="352" t="s">
        <v>77</v>
      </c>
      <c r="Z290" s="105">
        <v>14379</v>
      </c>
      <c r="AA290" s="107">
        <v>848.76041666666686</v>
      </c>
      <c r="AB290" s="105" t="s">
        <v>472</v>
      </c>
    </row>
    <row r="291" spans="1:28">
      <c r="A291" s="105">
        <f t="shared" si="4"/>
        <v>290</v>
      </c>
      <c r="B291" s="107">
        <f>YEAR(Table6[[#This Row],[Date]])+IF(MONTH(Table6[[#This Row],[Date]])&gt;=4,1,0)</f>
        <v>2026</v>
      </c>
      <c r="C291" s="105">
        <f>YEAR(Table6[[#This Row],[Date]])</f>
        <v>2025</v>
      </c>
      <c r="D291" s="105" t="s">
        <v>465</v>
      </c>
      <c r="E291" s="119">
        <f>Table6[[#This Row],[Date]]-DAY(Table6[[#This Row],[Date]])+1</f>
        <v>45748</v>
      </c>
      <c r="F291" s="118">
        <v>45758</v>
      </c>
      <c r="G291" s="105" t="s">
        <v>77</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517</v>
      </c>
      <c r="L291" s="39" t="str">
        <f>IFERROR(VLOOKUP(Table6[[#This Row],[Error Code]],'Basic Data'!$T:$U,2,0),"")</f>
        <v>General Work Stoppage</v>
      </c>
      <c r="M291" s="346" t="s">
        <v>499</v>
      </c>
      <c r="N291" s="39" t="s">
        <v>189</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528</v>
      </c>
      <c r="V291" s="351" t="s">
        <v>476</v>
      </c>
      <c r="W291" s="338">
        <f>Table6[[#This Row],[Breakdown Time]]*(1/39)</f>
        <v>1.9230769230769232E-2</v>
      </c>
      <c r="X291" s="336" t="s">
        <v>501</v>
      </c>
      <c r="Y291" s="352" t="s">
        <v>76</v>
      </c>
      <c r="Z291" s="105">
        <v>14285</v>
      </c>
      <c r="AA291" s="107">
        <v>446.40625</v>
      </c>
      <c r="AB291" s="105" t="s">
        <v>472</v>
      </c>
    </row>
    <row r="292" spans="1:28">
      <c r="A292" s="105">
        <f t="shared" si="4"/>
        <v>291</v>
      </c>
      <c r="B292" s="107">
        <f>YEAR(Table6[[#This Row],[Date]])+IF(MONTH(Table6[[#This Row],[Date]])&gt;=4,1,0)</f>
        <v>2026</v>
      </c>
      <c r="C292" s="105">
        <f>YEAR(Table6[[#This Row],[Date]])</f>
        <v>2025</v>
      </c>
      <c r="D292" s="105" t="s">
        <v>465</v>
      </c>
      <c r="E292" s="119">
        <f>Table6[[#This Row],[Date]]-DAY(Table6[[#This Row],[Date]])+1</f>
        <v>45748</v>
      </c>
      <c r="F292" s="118">
        <v>45758</v>
      </c>
      <c r="G292" s="105" t="s">
        <v>80</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517</v>
      </c>
      <c r="L292" s="39" t="str">
        <f>IFERROR(VLOOKUP(Table6[[#This Row],[Error Code]],'Basic Data'!$T:$U,2,0),"")</f>
        <v>General Work Stoppage</v>
      </c>
      <c r="M292" s="346" t="s">
        <v>499</v>
      </c>
      <c r="N292" s="39" t="s">
        <v>189</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528</v>
      </c>
      <c r="V292" s="351" t="s">
        <v>476</v>
      </c>
      <c r="W292" s="338">
        <f>Table6[[#This Row],[Breakdown Time]]*(1/39)</f>
        <v>1.8803418803418806E-2</v>
      </c>
      <c r="X292" s="336" t="s">
        <v>501</v>
      </c>
      <c r="Y292" s="352" t="s">
        <v>74</v>
      </c>
      <c r="Z292" s="105">
        <v>14293</v>
      </c>
      <c r="AA292" s="107">
        <v>436.73055555555555</v>
      </c>
      <c r="AB292" s="105" t="s">
        <v>472</v>
      </c>
    </row>
    <row r="293" spans="1:28">
      <c r="A293" s="105">
        <f t="shared" si="4"/>
        <v>292</v>
      </c>
      <c r="B293" s="107">
        <f>YEAR(Table6[[#This Row],[Date]])+IF(MONTH(Table6[[#This Row],[Date]])&gt;=4,1,0)</f>
        <v>2026</v>
      </c>
      <c r="C293" s="105">
        <f>YEAR(Table6[[#This Row],[Date]])</f>
        <v>2025</v>
      </c>
      <c r="D293" s="105" t="s">
        <v>465</v>
      </c>
      <c r="E293" s="119">
        <f>Table6[[#This Row],[Date]]-DAY(Table6[[#This Row],[Date]])+1</f>
        <v>45748</v>
      </c>
      <c r="F293" s="118">
        <v>45759</v>
      </c>
      <c r="G293" s="105" t="s">
        <v>103</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466</v>
      </c>
      <c r="L293" s="39" t="str">
        <f>IFERROR(VLOOKUP(Table6[[#This Row],[Error Code]],'Basic Data'!$T:$U,2,0),"")</f>
        <v>Manual Stop - Safety Related</v>
      </c>
      <c r="M293" s="346" t="s">
        <v>467</v>
      </c>
      <c r="N293" s="39" t="s">
        <v>468</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469</v>
      </c>
      <c r="V293" s="351" t="s">
        <v>470</v>
      </c>
      <c r="W293" s="338">
        <f>Table6[[#This Row],[Breakdown Time]]*(1/39)</f>
        <v>0.61495726495726499</v>
      </c>
      <c r="X293" s="336" t="s">
        <v>486</v>
      </c>
      <c r="Y293" s="352" t="s">
        <v>100</v>
      </c>
      <c r="Z293" s="105">
        <v>12852</v>
      </c>
      <c r="AA293" s="107">
        <v>12843.075000000001</v>
      </c>
      <c r="AB293" s="105" t="s">
        <v>472</v>
      </c>
    </row>
    <row r="294" spans="1:28">
      <c r="A294" s="105">
        <f t="shared" si="4"/>
        <v>293</v>
      </c>
      <c r="B294" s="107">
        <f>YEAR(Table6[[#This Row],[Date]])+IF(MONTH(Table6[[#This Row],[Date]])&gt;=4,1,0)</f>
        <v>2026</v>
      </c>
      <c r="C294" s="105">
        <f>YEAR(Table6[[#This Row],[Date]])</f>
        <v>2025</v>
      </c>
      <c r="D294" s="105" t="s">
        <v>465</v>
      </c>
      <c r="E294" s="119">
        <f>Table6[[#This Row],[Date]]-DAY(Table6[[#This Row],[Date]])+1</f>
        <v>45748</v>
      </c>
      <c r="F294" s="118">
        <v>45759</v>
      </c>
      <c r="G294" s="105" t="s">
        <v>101</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466</v>
      </c>
      <c r="L294" s="39" t="str">
        <f>IFERROR(VLOOKUP(Table6[[#This Row],[Error Code]],'Basic Data'!$T:$U,2,0),"")</f>
        <v>Manual Stop - Safety Related</v>
      </c>
      <c r="M294" s="346" t="s">
        <v>467</v>
      </c>
      <c r="N294" s="39" t="s">
        <v>468</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469</v>
      </c>
      <c r="V294" s="351" t="s">
        <v>470</v>
      </c>
      <c r="W294" s="338">
        <f>Table6[[#This Row],[Breakdown Time]]*(1/39)</f>
        <v>0.61495726495726499</v>
      </c>
      <c r="X294" s="336" t="s">
        <v>486</v>
      </c>
      <c r="Y294" s="352" t="s">
        <v>100</v>
      </c>
      <c r="Z294" s="105">
        <v>12852</v>
      </c>
      <c r="AA294" s="107">
        <v>12843.075000000001</v>
      </c>
      <c r="AB294" s="105" t="s">
        <v>472</v>
      </c>
    </row>
    <row r="295" spans="1:28">
      <c r="A295" s="105">
        <f t="shared" si="4"/>
        <v>294</v>
      </c>
      <c r="B295" s="107">
        <f>YEAR(Table6[[#This Row],[Date]])+IF(MONTH(Table6[[#This Row],[Date]])&gt;=4,1,0)</f>
        <v>2026</v>
      </c>
      <c r="C295" s="105">
        <f>YEAR(Table6[[#This Row],[Date]])</f>
        <v>2025</v>
      </c>
      <c r="D295" s="105" t="s">
        <v>465</v>
      </c>
      <c r="E295" s="119">
        <f>Table6[[#This Row],[Date]]-DAY(Table6[[#This Row],[Date]])+1</f>
        <v>45748</v>
      </c>
      <c r="F295" s="118">
        <v>45759</v>
      </c>
      <c r="G295" s="105" t="s">
        <v>74</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473</v>
      </c>
      <c r="N295" s="39" t="s">
        <v>474</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475</v>
      </c>
      <c r="V295" s="351" t="s">
        <v>476</v>
      </c>
      <c r="W295" s="338">
        <f>Table6[[#This Row],[Breakdown Time]]*(1/39)</f>
        <v>2.9487179487179448E-2</v>
      </c>
      <c r="X295" s="336" t="s">
        <v>477</v>
      </c>
      <c r="Y295" s="352" t="s">
        <v>80</v>
      </c>
      <c r="Z295" s="105">
        <v>15693</v>
      </c>
      <c r="AA295" s="107">
        <v>751.95624999999905</v>
      </c>
      <c r="AB295" s="105" t="s">
        <v>472</v>
      </c>
    </row>
    <row r="296" spans="1:28">
      <c r="A296" s="105">
        <f t="shared" si="4"/>
        <v>295</v>
      </c>
      <c r="B296" s="107">
        <f>YEAR(Table6[[#This Row],[Date]])+IF(MONTH(Table6[[#This Row],[Date]])&gt;=4,1,0)</f>
        <v>2026</v>
      </c>
      <c r="C296" s="105">
        <f>YEAR(Table6[[#This Row],[Date]])</f>
        <v>2025</v>
      </c>
      <c r="D296" s="105" t="s">
        <v>465</v>
      </c>
      <c r="E296" s="119">
        <f>Table6[[#This Row],[Date]]-DAY(Table6[[#This Row],[Date]])+1</f>
        <v>45748</v>
      </c>
      <c r="F296" s="118">
        <v>45759</v>
      </c>
      <c r="G296" s="105" t="s">
        <v>91</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473</v>
      </c>
      <c r="N296" s="39" t="s">
        <v>474</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529</v>
      </c>
      <c r="V296" s="351" t="s">
        <v>476</v>
      </c>
      <c r="W296" s="338">
        <f>Table6[[#This Row],[Breakdown Time]]*(1/39)</f>
        <v>5.8119658119658149E-2</v>
      </c>
      <c r="X296" s="336" t="s">
        <v>477</v>
      </c>
      <c r="Y296" s="352" t="s">
        <v>92</v>
      </c>
      <c r="Z296" s="105">
        <v>12949</v>
      </c>
      <c r="AA296" s="107">
        <v>1222.9611111111117</v>
      </c>
      <c r="AB296" s="105" t="s">
        <v>472</v>
      </c>
    </row>
    <row r="297" spans="1:28">
      <c r="A297" s="105">
        <f t="shared" si="4"/>
        <v>296</v>
      </c>
      <c r="B297" s="107">
        <f>YEAR(Table6[[#This Row],[Date]])+IF(MONTH(Table6[[#This Row],[Date]])&gt;=4,1,0)</f>
        <v>2026</v>
      </c>
      <c r="C297" s="105">
        <f>YEAR(Table6[[#This Row],[Date]])</f>
        <v>2025</v>
      </c>
      <c r="D297" s="105" t="s">
        <v>465</v>
      </c>
      <c r="E297" s="119">
        <f>Table6[[#This Row],[Date]]-DAY(Table6[[#This Row],[Date]])+1</f>
        <v>45748</v>
      </c>
      <c r="F297" s="118">
        <v>45759</v>
      </c>
      <c r="G297" s="105" t="s">
        <v>96</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473</v>
      </c>
      <c r="N297" s="39" t="s">
        <v>474</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530</v>
      </c>
      <c r="V297" s="351" t="s">
        <v>476</v>
      </c>
      <c r="W297" s="338">
        <f>Table6[[#This Row],[Breakdown Time]]*(1/39)</f>
        <v>4.9145299145299137E-2</v>
      </c>
      <c r="X297" s="336" t="s">
        <v>477</v>
      </c>
      <c r="Y297" s="352" t="s">
        <v>95</v>
      </c>
      <c r="Z297" s="105">
        <v>12639</v>
      </c>
      <c r="AA297" s="107">
        <v>1009.3645833333333</v>
      </c>
      <c r="AB297" s="105" t="s">
        <v>472</v>
      </c>
    </row>
    <row r="298" spans="1:28">
      <c r="A298" s="105">
        <f t="shared" si="4"/>
        <v>297</v>
      </c>
      <c r="B298" s="107">
        <f>YEAR(Table6[[#This Row],[Date]])+IF(MONTH(Table6[[#This Row],[Date]])&gt;=4,1,0)</f>
        <v>2026</v>
      </c>
      <c r="C298" s="105">
        <f>YEAR(Table6[[#This Row],[Date]])</f>
        <v>2025</v>
      </c>
      <c r="D298" s="105" t="s">
        <v>465</v>
      </c>
      <c r="E298" s="119">
        <f>Table6[[#This Row],[Date]]-DAY(Table6[[#This Row],[Date]])+1</f>
        <v>45748</v>
      </c>
      <c r="F298" s="118">
        <v>45759</v>
      </c>
      <c r="G298" s="105" t="s">
        <v>105</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473</v>
      </c>
      <c r="N298" s="39" t="s">
        <v>474</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475</v>
      </c>
      <c r="V298" s="351" t="s">
        <v>476</v>
      </c>
      <c r="W298" s="338">
        <f>Table6[[#This Row],[Breakdown Time]]*(1/39)</f>
        <v>2.3504273504273487E-2</v>
      </c>
      <c r="X298" s="336" t="s">
        <v>477</v>
      </c>
      <c r="Y298" s="352" t="s">
        <v>106</v>
      </c>
      <c r="Z298" s="105">
        <v>10962</v>
      </c>
      <c r="AA298" s="107">
        <v>418.68749999999972</v>
      </c>
      <c r="AB298" s="105" t="s">
        <v>472</v>
      </c>
    </row>
    <row r="299" spans="1:28">
      <c r="A299" s="105">
        <f t="shared" si="4"/>
        <v>298</v>
      </c>
      <c r="B299" s="107">
        <f>YEAR(Table6[[#This Row],[Date]])+IF(MONTH(Table6[[#This Row],[Date]])&gt;=4,1,0)</f>
        <v>2026</v>
      </c>
      <c r="C299" s="105">
        <f>YEAR(Table6[[#This Row],[Date]])</f>
        <v>2025</v>
      </c>
      <c r="D299" s="105" t="s">
        <v>465</v>
      </c>
      <c r="E299" s="119">
        <f>Table6[[#This Row],[Date]]-DAY(Table6[[#This Row],[Date]])+1</f>
        <v>45748</v>
      </c>
      <c r="F299" s="118">
        <v>45759</v>
      </c>
      <c r="G299" s="105" t="s">
        <v>111</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473</v>
      </c>
      <c r="N299" s="39" t="s">
        <v>474</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484</v>
      </c>
      <c r="V299" s="351" t="s">
        <v>476</v>
      </c>
      <c r="W299" s="338">
        <f>Table6[[#This Row],[Breakdown Time]]*(1/39)</f>
        <v>2.3504273504273487E-2</v>
      </c>
      <c r="X299" s="336" t="s">
        <v>477</v>
      </c>
      <c r="Y299" s="352" t="s">
        <v>112</v>
      </c>
      <c r="Z299" s="105">
        <v>10928</v>
      </c>
      <c r="AA299" s="107">
        <v>417.38888888888863</v>
      </c>
      <c r="AB299" s="105" t="s">
        <v>472</v>
      </c>
    </row>
    <row r="300" spans="1:28">
      <c r="A300" s="105">
        <f t="shared" si="4"/>
        <v>299</v>
      </c>
      <c r="B300" s="107">
        <f>YEAR(Table6[[#This Row],[Date]])+IF(MONTH(Table6[[#This Row],[Date]])&gt;=4,1,0)</f>
        <v>2026</v>
      </c>
      <c r="C300" s="105">
        <f>YEAR(Table6[[#This Row],[Date]])</f>
        <v>2025</v>
      </c>
      <c r="D300" s="105" t="s">
        <v>465</v>
      </c>
      <c r="E300" s="119">
        <f>Table6[[#This Row],[Date]]-DAY(Table6[[#This Row],[Date]])+1</f>
        <v>45748</v>
      </c>
      <c r="F300" s="118">
        <v>45760</v>
      </c>
      <c r="G300" s="105" t="s">
        <v>103</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466</v>
      </c>
      <c r="L300" s="39" t="str">
        <f>IFERROR(VLOOKUP(Table6[[#This Row],[Error Code]],'Basic Data'!$T:$U,2,0),"")</f>
        <v>Manual Stop - Safety Related</v>
      </c>
      <c r="M300" s="346" t="s">
        <v>467</v>
      </c>
      <c r="N300" s="39" t="s">
        <v>468</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469</v>
      </c>
      <c r="V300" s="351" t="s">
        <v>470</v>
      </c>
      <c r="W300" s="338">
        <f>Table6[[#This Row],[Breakdown Time]]*(1/39)</f>
        <v>0.61495726495726499</v>
      </c>
      <c r="X300" s="336" t="s">
        <v>486</v>
      </c>
      <c r="Y300" s="352" t="s">
        <v>100</v>
      </c>
      <c r="Z300" s="105">
        <v>8264</v>
      </c>
      <c r="AA300" s="107">
        <v>8258.2611111111109</v>
      </c>
      <c r="AB300" s="105" t="s">
        <v>472</v>
      </c>
    </row>
    <row r="301" spans="1:28">
      <c r="A301" s="105">
        <f t="shared" si="4"/>
        <v>300</v>
      </c>
      <c r="B301" s="107">
        <f>YEAR(Table6[[#This Row],[Date]])+IF(MONTH(Table6[[#This Row],[Date]])&gt;=4,1,0)</f>
        <v>2026</v>
      </c>
      <c r="C301" s="105">
        <f>YEAR(Table6[[#This Row],[Date]])</f>
        <v>2025</v>
      </c>
      <c r="D301" s="105" t="s">
        <v>465</v>
      </c>
      <c r="E301" s="119">
        <f>Table6[[#This Row],[Date]]-DAY(Table6[[#This Row],[Date]])+1</f>
        <v>45748</v>
      </c>
      <c r="F301" s="118">
        <v>45760</v>
      </c>
      <c r="G301" s="105" t="s">
        <v>101</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466</v>
      </c>
      <c r="L301" s="39" t="str">
        <f>IFERROR(VLOOKUP(Table6[[#This Row],[Error Code]],'Basic Data'!$T:$U,2,0),"")</f>
        <v>Manual Stop - Safety Related</v>
      </c>
      <c r="M301" s="346" t="s">
        <v>467</v>
      </c>
      <c r="N301" s="39" t="s">
        <v>468</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469</v>
      </c>
      <c r="V301" s="351" t="s">
        <v>470</v>
      </c>
      <c r="W301" s="338">
        <f>Table6[[#This Row],[Breakdown Time]]*(1/39)</f>
        <v>0.61495726495726499</v>
      </c>
      <c r="X301" s="336" t="s">
        <v>486</v>
      </c>
      <c r="Y301" s="352" t="s">
        <v>100</v>
      </c>
      <c r="Z301" s="105">
        <v>8264</v>
      </c>
      <c r="AA301" s="107">
        <v>8258.2611111111109</v>
      </c>
      <c r="AB301" s="105" t="s">
        <v>472</v>
      </c>
    </row>
    <row r="302" spans="1:28">
      <c r="A302" s="105">
        <f t="shared" si="4"/>
        <v>301</v>
      </c>
      <c r="B302" s="107">
        <f>YEAR(Table6[[#This Row],[Date]])+IF(MONTH(Table6[[#This Row],[Date]])&gt;=4,1,0)</f>
        <v>2026</v>
      </c>
      <c r="C302" s="105">
        <f>YEAR(Table6[[#This Row],[Date]])</f>
        <v>2025</v>
      </c>
      <c r="D302" s="105" t="s">
        <v>465</v>
      </c>
      <c r="E302" s="119">
        <f>Table6[[#This Row],[Date]]-DAY(Table6[[#This Row],[Date]])+1</f>
        <v>45748</v>
      </c>
      <c r="F302" s="118">
        <v>45760</v>
      </c>
      <c r="G302" s="105" t="s">
        <v>74</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473</v>
      </c>
      <c r="N302" s="39" t="s">
        <v>474</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484</v>
      </c>
      <c r="V302" s="351" t="s">
        <v>476</v>
      </c>
      <c r="W302" s="338">
        <f>Table6[[#This Row],[Breakdown Time]]*(1/39)</f>
        <v>2.820512820512824E-2</v>
      </c>
      <c r="X302" s="336" t="s">
        <v>477</v>
      </c>
      <c r="Y302" s="352" t="s">
        <v>80</v>
      </c>
      <c r="Z302" s="105">
        <v>9768</v>
      </c>
      <c r="AA302" s="107">
        <v>447.70000000000056</v>
      </c>
      <c r="AB302" s="105" t="s">
        <v>472</v>
      </c>
    </row>
    <row r="303" spans="1:28">
      <c r="A303" s="105">
        <f t="shared" si="4"/>
        <v>302</v>
      </c>
      <c r="B303" s="107">
        <f>YEAR(Table6[[#This Row],[Date]])+IF(MONTH(Table6[[#This Row],[Date]])&gt;=4,1,0)</f>
        <v>2026</v>
      </c>
      <c r="C303" s="105">
        <f>YEAR(Table6[[#This Row],[Date]])</f>
        <v>2025</v>
      </c>
      <c r="D303" s="105" t="s">
        <v>465</v>
      </c>
      <c r="E303" s="119">
        <f>Table6[[#This Row],[Date]]-DAY(Table6[[#This Row],[Date]])+1</f>
        <v>45748</v>
      </c>
      <c r="F303" s="118">
        <v>45760</v>
      </c>
      <c r="G303" s="105" t="s">
        <v>78</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473</v>
      </c>
      <c r="N303" s="39" t="s">
        <v>474</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484</v>
      </c>
      <c r="V303" s="351" t="s">
        <v>476</v>
      </c>
      <c r="W303" s="338">
        <f>Table6[[#This Row],[Breakdown Time]]*(1/39)</f>
        <v>1.1538461538461565E-2</v>
      </c>
      <c r="X303" s="336" t="s">
        <v>477</v>
      </c>
      <c r="Y303" s="352" t="s">
        <v>95</v>
      </c>
      <c r="Z303" s="105">
        <v>8268</v>
      </c>
      <c r="AA303" s="107">
        <v>155.02500000000038</v>
      </c>
      <c r="AB303" s="105" t="s">
        <v>472</v>
      </c>
    </row>
    <row r="304" spans="1:28">
      <c r="A304" s="105">
        <f t="shared" si="4"/>
        <v>303</v>
      </c>
      <c r="B304" s="107">
        <f>YEAR(Table6[[#This Row],[Date]])+IF(MONTH(Table6[[#This Row],[Date]])&gt;=4,1,0)</f>
        <v>2026</v>
      </c>
      <c r="C304" s="105">
        <f>YEAR(Table6[[#This Row],[Date]])</f>
        <v>2025</v>
      </c>
      <c r="D304" s="105" t="s">
        <v>465</v>
      </c>
      <c r="E304" s="119">
        <f>Table6[[#This Row],[Date]]-DAY(Table6[[#This Row],[Date]])+1</f>
        <v>45748</v>
      </c>
      <c r="F304" s="118">
        <v>45760</v>
      </c>
      <c r="G304" s="105" t="s">
        <v>94</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473</v>
      </c>
      <c r="N304" s="39" t="s">
        <v>474</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484</v>
      </c>
      <c r="V304" s="351" t="s">
        <v>476</v>
      </c>
      <c r="W304" s="338">
        <f>Table6[[#This Row],[Breakdown Time]]*(1/39)</f>
        <v>1.7948717948717954E-2</v>
      </c>
      <c r="X304" s="336" t="s">
        <v>477</v>
      </c>
      <c r="Y304" s="352" t="s">
        <v>95</v>
      </c>
      <c r="Z304" s="105">
        <v>8268</v>
      </c>
      <c r="AA304" s="107">
        <v>241.15000000000006</v>
      </c>
      <c r="AB304" s="105" t="s">
        <v>472</v>
      </c>
    </row>
    <row r="305" spans="1:28">
      <c r="A305" s="105">
        <f t="shared" si="4"/>
        <v>304</v>
      </c>
      <c r="B305" s="107">
        <f>YEAR(Table6[[#This Row],[Date]])+IF(MONTH(Table6[[#This Row],[Date]])&gt;=4,1,0)</f>
        <v>2026</v>
      </c>
      <c r="C305" s="105">
        <f>YEAR(Table6[[#This Row],[Date]])</f>
        <v>2025</v>
      </c>
      <c r="D305" s="105" t="s">
        <v>465</v>
      </c>
      <c r="E305" s="119">
        <f>Table6[[#This Row],[Date]]-DAY(Table6[[#This Row],[Date]])+1</f>
        <v>45748</v>
      </c>
      <c r="F305" s="118">
        <v>45760</v>
      </c>
      <c r="G305" s="105" t="s">
        <v>98</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517</v>
      </c>
      <c r="L305" s="39" t="str">
        <f>IFERROR(VLOOKUP(Table6[[#This Row],[Error Code]],'Basic Data'!$T:$U,2,0),"")</f>
        <v>General Work Stoppage</v>
      </c>
      <c r="M305" s="346" t="s">
        <v>499</v>
      </c>
      <c r="N305" s="39" t="s">
        <v>189</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527</v>
      </c>
      <c r="V305" s="351" t="s">
        <v>476</v>
      </c>
      <c r="W305" s="338">
        <f>Table6[[#This Row],[Breakdown Time]]*(1/39)</f>
        <v>4.3162393162393141E-2</v>
      </c>
      <c r="X305" s="336" t="s">
        <v>501</v>
      </c>
      <c r="Y305" s="352" t="s">
        <v>104</v>
      </c>
      <c r="Z305" s="105">
        <v>9627</v>
      </c>
      <c r="AA305" s="107">
        <v>675.2270833333331</v>
      </c>
      <c r="AB305" s="105" t="s">
        <v>472</v>
      </c>
    </row>
    <row r="306" spans="1:28">
      <c r="A306" s="105">
        <f t="shared" si="4"/>
        <v>305</v>
      </c>
      <c r="B306" s="107">
        <f>YEAR(Table6[[#This Row],[Date]])+IF(MONTH(Table6[[#This Row],[Date]])&gt;=4,1,0)</f>
        <v>2026</v>
      </c>
      <c r="C306" s="105">
        <f>YEAR(Table6[[#This Row],[Date]])</f>
        <v>2025</v>
      </c>
      <c r="D306" s="105" t="s">
        <v>465</v>
      </c>
      <c r="E306" s="119">
        <f>Table6[[#This Row],[Date]]-DAY(Table6[[#This Row],[Date]])+1</f>
        <v>45748</v>
      </c>
      <c r="F306" s="118">
        <v>45760</v>
      </c>
      <c r="G306" s="105" t="s">
        <v>111</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473</v>
      </c>
      <c r="N306" s="39" t="s">
        <v>474</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484</v>
      </c>
      <c r="V306" s="351" t="s">
        <v>476</v>
      </c>
      <c r="W306" s="338">
        <f>Table6[[#This Row],[Breakdown Time]]*(1/39)</f>
        <v>2.1367521367521358E-2</v>
      </c>
      <c r="X306" s="336" t="s">
        <v>477</v>
      </c>
      <c r="Y306" s="352" t="s">
        <v>112</v>
      </c>
      <c r="Z306" s="105">
        <v>9687</v>
      </c>
      <c r="AA306" s="107">
        <v>336.35416666666657</v>
      </c>
      <c r="AB306" s="105" t="s">
        <v>472</v>
      </c>
    </row>
    <row r="307" spans="1:28">
      <c r="A307" s="105">
        <f t="shared" si="4"/>
        <v>306</v>
      </c>
      <c r="B307" s="107">
        <f>YEAR(Table6[[#This Row],[Date]])+IF(MONTH(Table6[[#This Row],[Date]])&gt;=4,1,0)</f>
        <v>2026</v>
      </c>
      <c r="C307" s="105">
        <f>YEAR(Table6[[#This Row],[Date]])</f>
        <v>2025</v>
      </c>
      <c r="D307" s="105" t="s">
        <v>465</v>
      </c>
      <c r="E307" s="119">
        <f>Table6[[#This Row],[Date]]-DAY(Table6[[#This Row],[Date]])+1</f>
        <v>45748</v>
      </c>
      <c r="F307" s="118">
        <v>45761</v>
      </c>
      <c r="G307" s="105" t="s">
        <v>103</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466</v>
      </c>
      <c r="L307" s="39" t="str">
        <f>IFERROR(VLOOKUP(Table6[[#This Row],[Error Code]],'Basic Data'!$T:$U,2,0),"")</f>
        <v>Manual Stop - Safety Related</v>
      </c>
      <c r="M307" s="346" t="s">
        <v>467</v>
      </c>
      <c r="N307" s="39" t="s">
        <v>468</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469</v>
      </c>
      <c r="V307" s="351" t="s">
        <v>470</v>
      </c>
      <c r="W307" s="338">
        <f>Table6[[#This Row],[Breakdown Time]]*(1/39)</f>
        <v>0.61495726495726499</v>
      </c>
      <c r="X307" s="336" t="s">
        <v>486</v>
      </c>
      <c r="Y307" s="352" t="s">
        <v>100</v>
      </c>
      <c r="Z307" s="105">
        <v>14824</v>
      </c>
      <c r="AA307" s="107">
        <v>14813.705555555554</v>
      </c>
      <c r="AB307" s="105" t="s">
        <v>472</v>
      </c>
    </row>
    <row r="308" spans="1:28">
      <c r="A308" s="105">
        <f t="shared" si="4"/>
        <v>307</v>
      </c>
      <c r="B308" s="107">
        <f>YEAR(Table6[[#This Row],[Date]])+IF(MONTH(Table6[[#This Row],[Date]])&gt;=4,1,0)</f>
        <v>2026</v>
      </c>
      <c r="C308" s="105">
        <f>YEAR(Table6[[#This Row],[Date]])</f>
        <v>2025</v>
      </c>
      <c r="D308" s="105" t="s">
        <v>465</v>
      </c>
      <c r="E308" s="119">
        <f>Table6[[#This Row],[Date]]-DAY(Table6[[#This Row],[Date]])+1</f>
        <v>45748</v>
      </c>
      <c r="F308" s="118">
        <v>45761</v>
      </c>
      <c r="G308" s="105" t="s">
        <v>101</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466</v>
      </c>
      <c r="L308" s="39" t="str">
        <f>IFERROR(VLOOKUP(Table6[[#This Row],[Error Code]],'Basic Data'!$T:$U,2,0),"")</f>
        <v>Manual Stop - Safety Related</v>
      </c>
      <c r="M308" s="346" t="s">
        <v>467</v>
      </c>
      <c r="N308" s="39" t="s">
        <v>468</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469</v>
      </c>
      <c r="V308" s="351" t="s">
        <v>470</v>
      </c>
      <c r="W308" s="338">
        <f>Table6[[#This Row],[Breakdown Time]]*(1/39)</f>
        <v>0.61495726495726499</v>
      </c>
      <c r="X308" s="336" t="s">
        <v>486</v>
      </c>
      <c r="Y308" s="352" t="s">
        <v>100</v>
      </c>
      <c r="Z308" s="105">
        <v>14824</v>
      </c>
      <c r="AA308" s="107">
        <v>14813.705555555554</v>
      </c>
      <c r="AB308" s="105" t="s">
        <v>472</v>
      </c>
    </row>
    <row r="309" spans="1:28">
      <c r="A309" s="105">
        <f t="shared" si="4"/>
        <v>308</v>
      </c>
      <c r="B309" s="107">
        <f>YEAR(Table6[[#This Row],[Date]])+IF(MONTH(Table6[[#This Row],[Date]])&gt;=4,1,0)</f>
        <v>2026</v>
      </c>
      <c r="C309" s="105">
        <f>YEAR(Table6[[#This Row],[Date]])</f>
        <v>2025</v>
      </c>
      <c r="D309" s="105" t="s">
        <v>465</v>
      </c>
      <c r="E309" s="119">
        <f>Table6[[#This Row],[Date]]-DAY(Table6[[#This Row],[Date]])+1</f>
        <v>45748</v>
      </c>
      <c r="F309" s="118">
        <v>45761</v>
      </c>
      <c r="G309" s="105" t="s">
        <v>83</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526</v>
      </c>
      <c r="L309" s="39" t="str">
        <f>IFERROR(VLOOKUP(Table6[[#This Row],[Error Code]],'Basic Data'!$T:$U,2,0),"")</f>
        <v>Manual Stop</v>
      </c>
      <c r="M309" s="346" t="s">
        <v>499</v>
      </c>
      <c r="N309" s="39" t="s">
        <v>189</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531</v>
      </c>
      <c r="V309" s="351" t="s">
        <v>476</v>
      </c>
      <c r="W309" s="338">
        <f>Table6[[#This Row],[Breakdown Time]]*(1/39)</f>
        <v>8.54700854700855E-2</v>
      </c>
      <c r="X309" s="336" t="s">
        <v>477</v>
      </c>
      <c r="Y309" s="352" t="s">
        <v>84</v>
      </c>
      <c r="Z309" s="105">
        <v>16100</v>
      </c>
      <c r="AA309" s="107">
        <v>2236.1111111111122</v>
      </c>
      <c r="AB309" s="105" t="s">
        <v>472</v>
      </c>
    </row>
    <row r="310" spans="1:28">
      <c r="A310" s="105">
        <f t="shared" si="4"/>
        <v>309</v>
      </c>
      <c r="B310" s="107">
        <f>YEAR(Table6[[#This Row],[Date]])+IF(MONTH(Table6[[#This Row],[Date]])&gt;=4,1,0)</f>
        <v>2026</v>
      </c>
      <c r="C310" s="105">
        <f>YEAR(Table6[[#This Row],[Date]])</f>
        <v>2025</v>
      </c>
      <c r="D310" s="105" t="s">
        <v>465</v>
      </c>
      <c r="E310" s="119">
        <f>Table6[[#This Row],[Date]]-DAY(Table6[[#This Row],[Date]])+1</f>
        <v>45748</v>
      </c>
      <c r="F310" s="118">
        <v>45761</v>
      </c>
      <c r="G310" s="105" t="s">
        <v>84</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526</v>
      </c>
      <c r="L310" s="39" t="str">
        <f>IFERROR(VLOOKUP(Table6[[#This Row],[Error Code]],'Basic Data'!$T:$U,2,0),"")</f>
        <v>Manual Stop</v>
      </c>
      <c r="M310" s="346" t="s">
        <v>499</v>
      </c>
      <c r="N310" s="39" t="s">
        <v>189</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528</v>
      </c>
      <c r="V310" s="351" t="s">
        <v>476</v>
      </c>
      <c r="W310" s="338">
        <f>Table6[[#This Row],[Breakdown Time]]*(1/39)</f>
        <v>2.7777777777777745E-2</v>
      </c>
      <c r="X310" s="336" t="s">
        <v>477</v>
      </c>
      <c r="Y310" s="352" t="s">
        <v>83</v>
      </c>
      <c r="Z310" s="105">
        <v>16001</v>
      </c>
      <c r="AA310" s="107">
        <v>722.2673611111104</v>
      </c>
      <c r="AB310" s="105" t="s">
        <v>472</v>
      </c>
    </row>
    <row r="311" spans="1:28">
      <c r="A311" s="105">
        <f t="shared" si="4"/>
        <v>310</v>
      </c>
      <c r="B311" s="107">
        <f>YEAR(Table6[[#This Row],[Date]])+IF(MONTH(Table6[[#This Row],[Date]])&gt;=4,1,0)</f>
        <v>2026</v>
      </c>
      <c r="C311" s="105">
        <f>YEAR(Table6[[#This Row],[Date]])</f>
        <v>2025</v>
      </c>
      <c r="D311" s="105" t="s">
        <v>465</v>
      </c>
      <c r="E311" s="119">
        <f>Table6[[#This Row],[Date]]-DAY(Table6[[#This Row],[Date]])+1</f>
        <v>45748</v>
      </c>
      <c r="F311" s="118">
        <v>45761</v>
      </c>
      <c r="G311" s="105" t="s">
        <v>74</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473</v>
      </c>
      <c r="N311" s="39" t="s">
        <v>474</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532</v>
      </c>
      <c r="V311" s="351" t="s">
        <v>476</v>
      </c>
      <c r="W311" s="338">
        <f>Table6[[#This Row],[Breakdown Time]]*(1/39)</f>
        <v>3.4615384615384631E-2</v>
      </c>
      <c r="X311" s="336" t="s">
        <v>477</v>
      </c>
      <c r="Y311" s="352" t="s">
        <v>80</v>
      </c>
      <c r="Z311" s="105">
        <v>18132</v>
      </c>
      <c r="AA311" s="107">
        <v>1019.9250000000004</v>
      </c>
      <c r="AB311" s="105" t="s">
        <v>472</v>
      </c>
    </row>
    <row r="312" spans="1:28">
      <c r="A312" s="105">
        <f t="shared" si="4"/>
        <v>311</v>
      </c>
      <c r="B312" s="107">
        <f>YEAR(Table6[[#This Row],[Date]])+IF(MONTH(Table6[[#This Row],[Date]])&gt;=4,1,0)</f>
        <v>2026</v>
      </c>
      <c r="C312" s="105">
        <f>YEAR(Table6[[#This Row],[Date]])</f>
        <v>2025</v>
      </c>
      <c r="D312" s="105" t="s">
        <v>465</v>
      </c>
      <c r="E312" s="119">
        <f>Table6[[#This Row],[Date]]-DAY(Table6[[#This Row],[Date]])+1</f>
        <v>45748</v>
      </c>
      <c r="F312" s="118">
        <v>45762</v>
      </c>
      <c r="G312" s="105" t="s">
        <v>103</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466</v>
      </c>
      <c r="L312" s="39" t="str">
        <f>IFERROR(VLOOKUP(Table6[[#This Row],[Error Code]],'Basic Data'!$T:$U,2,0),"")</f>
        <v>Manual Stop - Safety Related</v>
      </c>
      <c r="M312" s="346" t="s">
        <v>467</v>
      </c>
      <c r="N312" s="39" t="s">
        <v>468</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469</v>
      </c>
      <c r="V312" s="351" t="s">
        <v>470</v>
      </c>
      <c r="W312" s="338">
        <f>Table6[[#This Row],[Breakdown Time]]*(1/39)</f>
        <v>0.61495726495726499</v>
      </c>
      <c r="X312" s="336" t="s">
        <v>486</v>
      </c>
      <c r="Y312" s="352" t="s">
        <v>100</v>
      </c>
      <c r="Z312" s="105">
        <v>15896</v>
      </c>
      <c r="AA312" s="107">
        <v>15884.961111111113</v>
      </c>
      <c r="AB312" s="105" t="s">
        <v>472</v>
      </c>
    </row>
    <row r="313" spans="1:28">
      <c r="A313" s="105">
        <f t="shared" si="4"/>
        <v>312</v>
      </c>
      <c r="B313" s="107">
        <f>YEAR(Table6[[#This Row],[Date]])+IF(MONTH(Table6[[#This Row],[Date]])&gt;=4,1,0)</f>
        <v>2026</v>
      </c>
      <c r="C313" s="105">
        <f>YEAR(Table6[[#This Row],[Date]])</f>
        <v>2025</v>
      </c>
      <c r="D313" s="105" t="s">
        <v>465</v>
      </c>
      <c r="E313" s="119">
        <f>Table6[[#This Row],[Date]]-DAY(Table6[[#This Row],[Date]])+1</f>
        <v>45748</v>
      </c>
      <c r="F313" s="118">
        <v>45762</v>
      </c>
      <c r="G313" s="105" t="s">
        <v>101</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466</v>
      </c>
      <c r="L313" s="39" t="str">
        <f>IFERROR(VLOOKUP(Table6[[#This Row],[Error Code]],'Basic Data'!$T:$U,2,0),"")</f>
        <v>Manual Stop - Safety Related</v>
      </c>
      <c r="M313" s="346" t="s">
        <v>467</v>
      </c>
      <c r="N313" s="39" t="s">
        <v>468</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469</v>
      </c>
      <c r="V313" s="351" t="s">
        <v>470</v>
      </c>
      <c r="W313" s="338">
        <f>Table6[[#This Row],[Breakdown Time]]*(1/39)</f>
        <v>0.61495726495726499</v>
      </c>
      <c r="X313" s="336" t="s">
        <v>486</v>
      </c>
      <c r="Y313" s="352" t="s">
        <v>100</v>
      </c>
      <c r="Z313" s="105">
        <v>15896</v>
      </c>
      <c r="AA313" s="107">
        <v>15884.961111111113</v>
      </c>
      <c r="AB313" s="105" t="s">
        <v>472</v>
      </c>
    </row>
    <row r="314" spans="1:28">
      <c r="A314" s="105">
        <f t="shared" si="4"/>
        <v>313</v>
      </c>
      <c r="B314" s="107">
        <f>YEAR(Table6[[#This Row],[Date]])+IF(MONTH(Table6[[#This Row],[Date]])&gt;=4,1,0)</f>
        <v>2026</v>
      </c>
      <c r="C314" s="105">
        <f>YEAR(Table6[[#This Row],[Date]])</f>
        <v>2025</v>
      </c>
      <c r="D314" s="105" t="s">
        <v>465</v>
      </c>
      <c r="E314" s="119">
        <f>Table6[[#This Row],[Date]]-DAY(Table6[[#This Row],[Date]])+1</f>
        <v>45748</v>
      </c>
      <c r="F314" s="118">
        <v>45762</v>
      </c>
      <c r="G314" s="105" t="s">
        <v>74</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473</v>
      </c>
      <c r="N314" s="39" t="s">
        <v>474</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475</v>
      </c>
      <c r="V314" s="351" t="s">
        <v>476</v>
      </c>
      <c r="W314" s="338">
        <f>Table6[[#This Row],[Breakdown Time]]*(1/39)</f>
        <v>2.008547008547008E-2</v>
      </c>
      <c r="X314" s="336" t="s">
        <v>477</v>
      </c>
      <c r="Y314" s="352" t="s">
        <v>80</v>
      </c>
      <c r="Z314" s="105">
        <v>14853</v>
      </c>
      <c r="AA314" s="107">
        <v>484.78541666666661</v>
      </c>
      <c r="AB314" s="105" t="s">
        <v>472</v>
      </c>
    </row>
    <row r="315" spans="1:28">
      <c r="A315" s="105">
        <f t="shared" si="4"/>
        <v>314</v>
      </c>
      <c r="B315" s="107">
        <f>YEAR(Table6[[#This Row],[Date]])+IF(MONTH(Table6[[#This Row],[Date]])&gt;=4,1,0)</f>
        <v>2026</v>
      </c>
      <c r="C315" s="105">
        <f>YEAR(Table6[[#This Row],[Date]])</f>
        <v>2025</v>
      </c>
      <c r="D315" s="105" t="s">
        <v>465</v>
      </c>
      <c r="E315" s="119">
        <f>Table6[[#This Row],[Date]]-DAY(Table6[[#This Row],[Date]])+1</f>
        <v>45748</v>
      </c>
      <c r="F315" s="118">
        <v>45762</v>
      </c>
      <c r="G315" s="105" t="s">
        <v>77</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473</v>
      </c>
      <c r="N315" s="39" t="s">
        <v>474</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484</v>
      </c>
      <c r="V315" s="351" t="s">
        <v>476</v>
      </c>
      <c r="W315" s="338">
        <f>Table6[[#This Row],[Breakdown Time]]*(1/39)</f>
        <v>1.5811965811965825E-2</v>
      </c>
      <c r="X315" s="336" t="s">
        <v>477</v>
      </c>
      <c r="Y315" s="352" t="s">
        <v>76</v>
      </c>
      <c r="Z315" s="105">
        <v>14963</v>
      </c>
      <c r="AA315" s="107">
        <v>384.46597222222255</v>
      </c>
      <c r="AB315" s="105" t="s">
        <v>472</v>
      </c>
    </row>
    <row r="316" spans="1:28">
      <c r="A316" s="105">
        <f t="shared" si="4"/>
        <v>315</v>
      </c>
      <c r="B316" s="107">
        <f>YEAR(Table6[[#This Row],[Date]])+IF(MONTH(Table6[[#This Row],[Date]])&gt;=4,1,0)</f>
        <v>2026</v>
      </c>
      <c r="C316" s="105">
        <f>YEAR(Table6[[#This Row],[Date]])</f>
        <v>2025</v>
      </c>
      <c r="D316" s="105" t="s">
        <v>465</v>
      </c>
      <c r="E316" s="119">
        <f>Table6[[#This Row],[Date]]-DAY(Table6[[#This Row],[Date]])+1</f>
        <v>45748</v>
      </c>
      <c r="F316" s="118">
        <v>45762</v>
      </c>
      <c r="G316" s="105" t="s">
        <v>111</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526</v>
      </c>
      <c r="L316" s="39" t="str">
        <f>IFERROR(VLOOKUP(Table6[[#This Row],[Error Code]],'Basic Data'!$T:$U,2,0),"")</f>
        <v>Manual Stop</v>
      </c>
      <c r="M316" s="346" t="s">
        <v>499</v>
      </c>
      <c r="N316" s="39" t="s">
        <v>189</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533</v>
      </c>
      <c r="V316" s="351" t="s">
        <v>476</v>
      </c>
      <c r="W316" s="338">
        <f>Table6[[#This Row],[Breakdown Time]]*(1/39)</f>
        <v>0.10897435897435898</v>
      </c>
      <c r="X316" s="336" t="s">
        <v>501</v>
      </c>
      <c r="Y316" s="352" t="s">
        <v>112</v>
      </c>
      <c r="Z316" s="105">
        <v>12705</v>
      </c>
      <c r="AA316" s="107">
        <v>2249.84375</v>
      </c>
      <c r="AB316" s="105" t="s">
        <v>472</v>
      </c>
    </row>
    <row r="317" spans="1:28">
      <c r="A317" s="105">
        <f t="shared" si="4"/>
        <v>316</v>
      </c>
      <c r="B317" s="107">
        <f>YEAR(Table6[[#This Row],[Date]])+IF(MONTH(Table6[[#This Row],[Date]])&gt;=4,1,0)</f>
        <v>2026</v>
      </c>
      <c r="C317" s="105">
        <f>YEAR(Table6[[#This Row],[Date]])</f>
        <v>2025</v>
      </c>
      <c r="D317" s="105" t="s">
        <v>465</v>
      </c>
      <c r="E317" s="119">
        <f>Table6[[#This Row],[Date]]-DAY(Table6[[#This Row],[Date]])+1</f>
        <v>45748</v>
      </c>
      <c r="F317" s="118">
        <v>45763</v>
      </c>
      <c r="G317" s="105" t="s">
        <v>103</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466</v>
      </c>
      <c r="L317" s="39" t="str">
        <f>IFERROR(VLOOKUP(Table6[[#This Row],[Error Code]],'Basic Data'!$T:$U,2,0),"")</f>
        <v>Manual Stop - Safety Related</v>
      </c>
      <c r="M317" s="346" t="s">
        <v>467</v>
      </c>
      <c r="N317" s="39" t="s">
        <v>468</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469</v>
      </c>
      <c r="V317" s="351" t="s">
        <v>470</v>
      </c>
      <c r="W317" s="338">
        <f>Table6[[#This Row],[Breakdown Time]]*(1/39)</f>
        <v>0.61495726495726499</v>
      </c>
      <c r="X317" s="336" t="s">
        <v>486</v>
      </c>
      <c r="Y317" s="352" t="s">
        <v>100</v>
      </c>
      <c r="Z317" s="105">
        <v>15884.961111111113</v>
      </c>
      <c r="AA317" s="107">
        <v>15873.929888117287</v>
      </c>
      <c r="AB317" s="105" t="s">
        <v>472</v>
      </c>
    </row>
    <row r="318" spans="1:28">
      <c r="A318" s="105">
        <f t="shared" si="4"/>
        <v>317</v>
      </c>
      <c r="B318" s="107">
        <f>YEAR(Table6[[#This Row],[Date]])+IF(MONTH(Table6[[#This Row],[Date]])&gt;=4,1,0)</f>
        <v>2026</v>
      </c>
      <c r="C318" s="105">
        <f>YEAR(Table6[[#This Row],[Date]])</f>
        <v>2025</v>
      </c>
      <c r="D318" s="105" t="s">
        <v>465</v>
      </c>
      <c r="E318" s="119">
        <f>Table6[[#This Row],[Date]]-DAY(Table6[[#This Row],[Date]])+1</f>
        <v>45748</v>
      </c>
      <c r="F318" s="118">
        <v>45763</v>
      </c>
      <c r="G318" s="105" t="s">
        <v>101</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466</v>
      </c>
      <c r="L318" s="39" t="str">
        <f>IFERROR(VLOOKUP(Table6[[#This Row],[Error Code]],'Basic Data'!$T:$U,2,0),"")</f>
        <v>Manual Stop - Safety Related</v>
      </c>
      <c r="M318" s="346" t="s">
        <v>467</v>
      </c>
      <c r="N318" s="39" t="s">
        <v>468</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469</v>
      </c>
      <c r="V318" s="351" t="s">
        <v>470</v>
      </c>
      <c r="W318" s="338">
        <f>Table6[[#This Row],[Breakdown Time]]*(1/39)</f>
        <v>0.61495726495726499</v>
      </c>
      <c r="X318" s="336" t="s">
        <v>486</v>
      </c>
      <c r="Y318" s="352" t="s">
        <v>100</v>
      </c>
      <c r="Z318" s="105">
        <v>15884.961111111113</v>
      </c>
      <c r="AA318" s="107">
        <v>15873.929888117287</v>
      </c>
      <c r="AB318" s="105" t="s">
        <v>472</v>
      </c>
    </row>
    <row r="319" spans="1:28">
      <c r="A319" s="105">
        <f t="shared" si="4"/>
        <v>318</v>
      </c>
      <c r="B319" s="107">
        <f>YEAR(Table6[[#This Row],[Date]])+IF(MONTH(Table6[[#This Row],[Date]])&gt;=4,1,0)</f>
        <v>2026</v>
      </c>
      <c r="C319" s="105">
        <f>YEAR(Table6[[#This Row],[Date]])</f>
        <v>2025</v>
      </c>
      <c r="D319" s="105" t="s">
        <v>465</v>
      </c>
      <c r="E319" s="119">
        <f>Table6[[#This Row],[Date]]-DAY(Table6[[#This Row],[Date]])+1</f>
        <v>45748</v>
      </c>
      <c r="F319" s="118">
        <v>45763</v>
      </c>
      <c r="G319" s="105" t="s">
        <v>94</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473</v>
      </c>
      <c r="N319" s="39" t="s">
        <v>474</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534</v>
      </c>
      <c r="V319" s="351" t="s">
        <v>476</v>
      </c>
      <c r="W319" s="338">
        <f>Table6[[#This Row],[Breakdown Time]]*(1/39)</f>
        <v>1.9658119658119654E-2</v>
      </c>
      <c r="X319" s="336" t="s">
        <v>477</v>
      </c>
      <c r="Y319" s="352" t="s">
        <v>95</v>
      </c>
      <c r="Z319" s="105">
        <v>12169</v>
      </c>
      <c r="AA319" s="107">
        <v>388.73194444444442</v>
      </c>
      <c r="AB319" s="105" t="s">
        <v>472</v>
      </c>
    </row>
    <row r="320" spans="1:28">
      <c r="A320" s="105">
        <f t="shared" si="4"/>
        <v>319</v>
      </c>
      <c r="B320" s="107">
        <f>YEAR(Table6[[#This Row],[Date]])+IF(MONTH(Table6[[#This Row],[Date]])&gt;=4,1,0)</f>
        <v>2026</v>
      </c>
      <c r="C320" s="105">
        <f>YEAR(Table6[[#This Row],[Date]])</f>
        <v>2025</v>
      </c>
      <c r="D320" s="105" t="s">
        <v>465</v>
      </c>
      <c r="E320" s="119">
        <f>Table6[[#This Row],[Date]]-DAY(Table6[[#This Row],[Date]])+1</f>
        <v>45748</v>
      </c>
      <c r="F320" s="118">
        <v>45763</v>
      </c>
      <c r="G320" s="105" t="s">
        <v>97</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473</v>
      </c>
      <c r="N320" s="39" t="s">
        <v>474</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475</v>
      </c>
      <c r="V320" s="351" t="s">
        <v>476</v>
      </c>
      <c r="W320" s="338">
        <f>Table6[[#This Row],[Breakdown Time]]*(1/39)</f>
        <v>2.3504273504273487E-2</v>
      </c>
      <c r="X320" s="336" t="s">
        <v>477</v>
      </c>
      <c r="Y320" s="352" t="s">
        <v>99</v>
      </c>
      <c r="Z320" s="105">
        <v>12185</v>
      </c>
      <c r="AA320" s="107">
        <v>465.39930555555526</v>
      </c>
      <c r="AB320" s="105" t="s">
        <v>472</v>
      </c>
    </row>
    <row r="321" spans="1:28">
      <c r="A321" s="105">
        <f t="shared" si="4"/>
        <v>320</v>
      </c>
      <c r="B321" s="107">
        <f>YEAR(Table6[[#This Row],[Date]])+IF(MONTH(Table6[[#This Row],[Date]])&gt;=4,1,0)</f>
        <v>2026</v>
      </c>
      <c r="C321" s="105">
        <f>YEAR(Table6[[#This Row],[Date]])</f>
        <v>2025</v>
      </c>
      <c r="D321" s="105" t="s">
        <v>465</v>
      </c>
      <c r="E321" s="119">
        <f>Table6[[#This Row],[Date]]-DAY(Table6[[#This Row],[Date]])+1</f>
        <v>45748</v>
      </c>
      <c r="F321" s="118">
        <v>45763</v>
      </c>
      <c r="G321" s="105" t="s">
        <v>110</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473</v>
      </c>
      <c r="N321" s="39" t="s">
        <v>474</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475</v>
      </c>
      <c r="V321" s="351" t="s">
        <v>476</v>
      </c>
      <c r="W321" s="338">
        <f>Table6[[#This Row],[Breakdown Time]]*(1/39)</f>
        <v>2.820512820512824E-2</v>
      </c>
      <c r="X321" s="336" t="s">
        <v>477</v>
      </c>
      <c r="Y321" s="352" t="s">
        <v>112</v>
      </c>
      <c r="Z321" s="105">
        <v>14952</v>
      </c>
      <c r="AA321" s="107">
        <v>685.30000000000086</v>
      </c>
      <c r="AB321" s="105" t="s">
        <v>472</v>
      </c>
    </row>
    <row r="322" spans="1:28">
      <c r="A322" s="105">
        <f t="shared" si="4"/>
        <v>321</v>
      </c>
      <c r="B322" s="107">
        <f>YEAR(Table6[[#This Row],[Date]])+IF(MONTH(Table6[[#This Row],[Date]])&gt;=4,1,0)</f>
        <v>2026</v>
      </c>
      <c r="C322" s="105">
        <f>YEAR(Table6[[#This Row],[Date]])</f>
        <v>2025</v>
      </c>
      <c r="D322" s="105" t="s">
        <v>465</v>
      </c>
      <c r="E322" s="119">
        <f>Table6[[#This Row],[Date]]-DAY(Table6[[#This Row],[Date]])+1</f>
        <v>45748</v>
      </c>
      <c r="F322" s="118">
        <v>45764</v>
      </c>
      <c r="G322" s="105" t="s">
        <v>103</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466</v>
      </c>
      <c r="L322" s="39" t="str">
        <f>IFERROR(VLOOKUP(Table6[[#This Row],[Error Code]],'Basic Data'!$T:$U,2,0),"")</f>
        <v>Manual Stop - Safety Related</v>
      </c>
      <c r="M322" s="346" t="s">
        <v>467</v>
      </c>
      <c r="N322" s="39" t="s">
        <v>468</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469</v>
      </c>
      <c r="V322" s="351" t="s">
        <v>470</v>
      </c>
      <c r="W322" s="338">
        <f>Table6[[#This Row],[Breakdown Time]]*(1/39)</f>
        <v>0.61495726495726499</v>
      </c>
      <c r="X322" s="336" t="s">
        <v>486</v>
      </c>
      <c r="Y322" s="352" t="s">
        <v>100</v>
      </c>
      <c r="Z322" s="105">
        <v>12176.538194444445</v>
      </c>
      <c r="AA322" s="107">
        <v>12168.082265142748</v>
      </c>
      <c r="AB322" s="105" t="s">
        <v>472</v>
      </c>
    </row>
    <row r="323" spans="1:28">
      <c r="A323" s="105">
        <f t="shared" si="4"/>
        <v>322</v>
      </c>
      <c r="B323" s="107">
        <f>YEAR(Table6[[#This Row],[Date]])+IF(MONTH(Table6[[#This Row],[Date]])&gt;=4,1,0)</f>
        <v>2026</v>
      </c>
      <c r="C323" s="105">
        <f>YEAR(Table6[[#This Row],[Date]])</f>
        <v>2025</v>
      </c>
      <c r="D323" s="105" t="s">
        <v>465</v>
      </c>
      <c r="E323" s="119">
        <f>Table6[[#This Row],[Date]]-DAY(Table6[[#This Row],[Date]])+1</f>
        <v>45748</v>
      </c>
      <c r="F323" s="118">
        <v>45764</v>
      </c>
      <c r="G323" s="105" t="s">
        <v>101</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466</v>
      </c>
      <c r="L323" s="39" t="str">
        <f>IFERROR(VLOOKUP(Table6[[#This Row],[Error Code]],'Basic Data'!$T:$U,2,0),"")</f>
        <v>Manual Stop - Safety Related</v>
      </c>
      <c r="M323" s="346" t="s">
        <v>467</v>
      </c>
      <c r="N323" s="39" t="s">
        <v>468</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469</v>
      </c>
      <c r="V323" s="351" t="s">
        <v>470</v>
      </c>
      <c r="W323" s="338">
        <f>Table6[[#This Row],[Breakdown Time]]*(1/39)</f>
        <v>0.61495726495726499</v>
      </c>
      <c r="X323" s="336" t="s">
        <v>486</v>
      </c>
      <c r="Y323" s="352" t="s">
        <v>100</v>
      </c>
      <c r="Z323" s="105">
        <v>12176.538194444445</v>
      </c>
      <c r="AA323" s="107">
        <v>12168.082265142748</v>
      </c>
      <c r="AB323" s="105" t="s">
        <v>472</v>
      </c>
    </row>
    <row r="324" spans="1:28">
      <c r="A324" s="105">
        <f t="shared" ref="A324:A387" si="5">A323+1</f>
        <v>323</v>
      </c>
      <c r="B324" s="107">
        <f>YEAR(Table6[[#This Row],[Date]])+IF(MONTH(Table6[[#This Row],[Date]])&gt;=4,1,0)</f>
        <v>2026</v>
      </c>
      <c r="C324" s="105">
        <f>YEAR(Table6[[#This Row],[Date]])</f>
        <v>2025</v>
      </c>
      <c r="D324" s="105" t="s">
        <v>465</v>
      </c>
      <c r="E324" s="119">
        <f>Table6[[#This Row],[Date]]-DAY(Table6[[#This Row],[Date]])+1</f>
        <v>45748</v>
      </c>
      <c r="F324" s="118">
        <v>45764</v>
      </c>
      <c r="G324" s="105" t="s">
        <v>74</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473</v>
      </c>
      <c r="N324" s="39" t="s">
        <v>474</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484</v>
      </c>
      <c r="V324" s="351" t="s">
        <v>476</v>
      </c>
      <c r="W324" s="338">
        <f>Table6[[#This Row],[Breakdown Time]]*(1/39)</f>
        <v>2.1367521367521358E-2</v>
      </c>
      <c r="X324" s="336" t="s">
        <v>477</v>
      </c>
      <c r="Y324" s="352" t="s">
        <v>80</v>
      </c>
      <c r="Z324" s="105">
        <v>15190</v>
      </c>
      <c r="AA324" s="107">
        <v>527.43055555555532</v>
      </c>
      <c r="AB324" s="105" t="s">
        <v>472</v>
      </c>
    </row>
    <row r="325" spans="1:28">
      <c r="A325" s="105">
        <f t="shared" si="5"/>
        <v>324</v>
      </c>
      <c r="B325" s="107">
        <f>YEAR(Table6[[#This Row],[Date]])+IF(MONTH(Table6[[#This Row],[Date]])&gt;=4,1,0)</f>
        <v>2026</v>
      </c>
      <c r="C325" s="105">
        <f>YEAR(Table6[[#This Row],[Date]])</f>
        <v>2025</v>
      </c>
      <c r="D325" s="105" t="s">
        <v>465</v>
      </c>
      <c r="E325" s="119">
        <f>Table6[[#This Row],[Date]]-DAY(Table6[[#This Row],[Date]])+1</f>
        <v>45748</v>
      </c>
      <c r="F325" s="118">
        <v>45764</v>
      </c>
      <c r="G325" s="105" t="s">
        <v>74</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526</v>
      </c>
      <c r="L325" s="39" t="str">
        <f>IFERROR(VLOOKUP(Table6[[#This Row],[Error Code]],'Basic Data'!$T:$U,2,0),"")</f>
        <v>Manual Stop</v>
      </c>
      <c r="M325" s="346" t="s">
        <v>499</v>
      </c>
      <c r="N325" s="39" t="s">
        <v>189</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535</v>
      </c>
      <c r="V325" s="351" t="s">
        <v>476</v>
      </c>
      <c r="W325" s="338">
        <f>Table6[[#This Row],[Breakdown Time]]*(1/39)</f>
        <v>4.7008547008547043E-2</v>
      </c>
      <c r="X325" s="336" t="s">
        <v>501</v>
      </c>
      <c r="Y325" s="352" t="s">
        <v>80</v>
      </c>
      <c r="Z325" s="105">
        <v>15190</v>
      </c>
      <c r="AA325" s="107">
        <v>1160.3472222222231</v>
      </c>
      <c r="AB325" s="105" t="s">
        <v>472</v>
      </c>
    </row>
    <row r="326" spans="1:28">
      <c r="A326" s="105">
        <f t="shared" si="5"/>
        <v>325</v>
      </c>
      <c r="B326" s="107">
        <f>YEAR(Table6[[#This Row],[Date]])+IF(MONTH(Table6[[#This Row],[Date]])&gt;=4,1,0)</f>
        <v>2026</v>
      </c>
      <c r="C326" s="105">
        <f>YEAR(Table6[[#This Row],[Date]])</f>
        <v>2025</v>
      </c>
      <c r="D326" s="105" t="s">
        <v>465</v>
      </c>
      <c r="E326" s="119">
        <f>Table6[[#This Row],[Date]]-DAY(Table6[[#This Row],[Date]])+1</f>
        <v>45748</v>
      </c>
      <c r="F326" s="118">
        <v>45764</v>
      </c>
      <c r="G326" s="105" t="s">
        <v>75</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473</v>
      </c>
      <c r="N326" s="39" t="s">
        <v>474</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484</v>
      </c>
      <c r="V326" s="351" t="s">
        <v>476</v>
      </c>
      <c r="W326" s="338">
        <f>Table6[[#This Row],[Breakdown Time]]*(1/39)</f>
        <v>2.393162393162393E-2</v>
      </c>
      <c r="X326" s="336" t="s">
        <v>477</v>
      </c>
      <c r="Y326" s="352" t="s">
        <v>77</v>
      </c>
      <c r="Z326" s="105">
        <v>16584</v>
      </c>
      <c r="AA326" s="107">
        <v>644.93333333333339</v>
      </c>
      <c r="AB326" s="105" t="s">
        <v>472</v>
      </c>
    </row>
    <row r="327" spans="1:28">
      <c r="A327" s="105">
        <f t="shared" si="5"/>
        <v>326</v>
      </c>
      <c r="B327" s="107">
        <f>YEAR(Table6[[#This Row],[Date]])+IF(MONTH(Table6[[#This Row],[Date]])&gt;=4,1,0)</f>
        <v>2026</v>
      </c>
      <c r="C327" s="105">
        <f>YEAR(Table6[[#This Row],[Date]])</f>
        <v>2025</v>
      </c>
      <c r="D327" s="105" t="s">
        <v>465</v>
      </c>
      <c r="E327" s="119">
        <f>Table6[[#This Row],[Date]]-DAY(Table6[[#This Row],[Date]])+1</f>
        <v>45748</v>
      </c>
      <c r="F327" s="118">
        <v>45764</v>
      </c>
      <c r="G327" s="105" t="s">
        <v>75</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526</v>
      </c>
      <c r="L327" s="39" t="str">
        <f>IFERROR(VLOOKUP(Table6[[#This Row],[Error Code]],'Basic Data'!$T:$U,2,0),"")</f>
        <v>Manual Stop</v>
      </c>
      <c r="M327" s="346" t="s">
        <v>499</v>
      </c>
      <c r="N327" s="39" t="s">
        <v>189</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536</v>
      </c>
      <c r="V327" s="351" t="s">
        <v>476</v>
      </c>
      <c r="W327" s="338">
        <f>Table6[[#This Row],[Breakdown Time]]*(1/39)</f>
        <v>3.1196581196581152E-2</v>
      </c>
      <c r="X327" s="336" t="s">
        <v>501</v>
      </c>
      <c r="Y327" s="352" t="s">
        <v>77</v>
      </c>
      <c r="Z327" s="105">
        <v>16584</v>
      </c>
      <c r="AA327" s="107">
        <v>840.71666666666556</v>
      </c>
      <c r="AB327" s="105" t="s">
        <v>472</v>
      </c>
    </row>
    <row r="328" spans="1:28">
      <c r="A328" s="105">
        <f t="shared" si="5"/>
        <v>327</v>
      </c>
      <c r="B328" s="107">
        <f>YEAR(Table6[[#This Row],[Date]])+IF(MONTH(Table6[[#This Row],[Date]])&gt;=4,1,0)</f>
        <v>2026</v>
      </c>
      <c r="C328" s="105">
        <f>YEAR(Table6[[#This Row],[Date]])</f>
        <v>2025</v>
      </c>
      <c r="D328" s="105" t="s">
        <v>465</v>
      </c>
      <c r="E328" s="119">
        <f>Table6[[#This Row],[Date]]-DAY(Table6[[#This Row],[Date]])+1</f>
        <v>45748</v>
      </c>
      <c r="F328" s="118">
        <v>45764</v>
      </c>
      <c r="G328" s="105" t="s">
        <v>80</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473</v>
      </c>
      <c r="N328" s="39" t="s">
        <v>474</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484</v>
      </c>
      <c r="V328" s="351" t="s">
        <v>476</v>
      </c>
      <c r="W328" s="338">
        <f>Table6[[#This Row],[Breakdown Time]]*(1/39)</f>
        <v>1.7094017094017103E-2</v>
      </c>
      <c r="X328" s="336" t="s">
        <v>477</v>
      </c>
      <c r="Y328" s="352" t="s">
        <v>74</v>
      </c>
      <c r="Z328" s="105">
        <v>15153</v>
      </c>
      <c r="AA328" s="107">
        <v>420.91666666666686</v>
      </c>
      <c r="AB328" s="105" t="s">
        <v>472</v>
      </c>
    </row>
    <row r="329" spans="1:28">
      <c r="A329" s="105">
        <f t="shared" si="5"/>
        <v>328</v>
      </c>
      <c r="B329" s="107">
        <f>YEAR(Table6[[#This Row],[Date]])+IF(MONTH(Table6[[#This Row],[Date]])&gt;=4,1,0)</f>
        <v>2026</v>
      </c>
      <c r="C329" s="105">
        <f>YEAR(Table6[[#This Row],[Date]])</f>
        <v>2025</v>
      </c>
      <c r="D329" s="105" t="s">
        <v>465</v>
      </c>
      <c r="E329" s="119">
        <f>Table6[[#This Row],[Date]]-DAY(Table6[[#This Row],[Date]])+1</f>
        <v>45748</v>
      </c>
      <c r="F329" s="118">
        <v>45764</v>
      </c>
      <c r="G329" s="105" t="s">
        <v>80</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526</v>
      </c>
      <c r="L329" s="39" t="str">
        <f>IFERROR(VLOOKUP(Table6[[#This Row],[Error Code]],'Basic Data'!$T:$U,2,0),"")</f>
        <v>Manual Stop</v>
      </c>
      <c r="M329" s="346" t="s">
        <v>499</v>
      </c>
      <c r="N329" s="39" t="s">
        <v>189</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537</v>
      </c>
      <c r="V329" s="351" t="s">
        <v>476</v>
      </c>
      <c r="W329" s="338">
        <f>Table6[[#This Row],[Breakdown Time]]*(1/39)</f>
        <v>4.5726495726495696E-2</v>
      </c>
      <c r="X329" s="336" t="s">
        <v>501</v>
      </c>
      <c r="Y329" s="352" t="s">
        <v>74</v>
      </c>
      <c r="Z329" s="105">
        <v>15153</v>
      </c>
      <c r="AA329" s="107">
        <v>1125.9520833333327</v>
      </c>
      <c r="AB329" s="105" t="s">
        <v>472</v>
      </c>
    </row>
    <row r="330" spans="1:28">
      <c r="A330" s="105">
        <f t="shared" si="5"/>
        <v>329</v>
      </c>
      <c r="B330" s="107">
        <f>YEAR(Table6[[#This Row],[Date]])+IF(MONTH(Table6[[#This Row],[Date]])&gt;=4,1,0)</f>
        <v>2026</v>
      </c>
      <c r="C330" s="105">
        <f>YEAR(Table6[[#This Row],[Date]])</f>
        <v>2025</v>
      </c>
      <c r="D330" s="105" t="s">
        <v>465</v>
      </c>
      <c r="E330" s="119">
        <f>Table6[[#This Row],[Date]]-DAY(Table6[[#This Row],[Date]])+1</f>
        <v>45748</v>
      </c>
      <c r="F330" s="118">
        <v>45764</v>
      </c>
      <c r="G330" s="105" t="s">
        <v>82</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473</v>
      </c>
      <c r="N330" s="39" t="s">
        <v>474</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475</v>
      </c>
      <c r="V330" s="351" t="s">
        <v>476</v>
      </c>
      <c r="W330" s="338">
        <f>Table6[[#This Row],[Breakdown Time]]*(1/39)</f>
        <v>4.3162393162393141E-2</v>
      </c>
      <c r="X330" s="336" t="s">
        <v>477</v>
      </c>
      <c r="Y330" s="352" t="s">
        <v>85</v>
      </c>
      <c r="Z330" s="105">
        <v>14923</v>
      </c>
      <c r="AA330" s="107">
        <v>1046.6826388888885</v>
      </c>
      <c r="AB330" s="105" t="s">
        <v>472</v>
      </c>
    </row>
    <row r="331" spans="1:28">
      <c r="A331" s="105">
        <f t="shared" si="5"/>
        <v>330</v>
      </c>
      <c r="B331" s="107">
        <f>YEAR(Table6[[#This Row],[Date]])+IF(MONTH(Table6[[#This Row],[Date]])&gt;=4,1,0)</f>
        <v>2026</v>
      </c>
      <c r="C331" s="105">
        <f>YEAR(Table6[[#This Row],[Date]])</f>
        <v>2025</v>
      </c>
      <c r="D331" s="105" t="s">
        <v>465</v>
      </c>
      <c r="E331" s="119">
        <f>Table6[[#This Row],[Date]]-DAY(Table6[[#This Row],[Date]])+1</f>
        <v>45748</v>
      </c>
      <c r="F331" s="118">
        <v>45764</v>
      </c>
      <c r="G331" s="105" t="s">
        <v>111</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473</v>
      </c>
      <c r="N331" s="39" t="s">
        <v>474</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484</v>
      </c>
      <c r="V331" s="351" t="s">
        <v>476</v>
      </c>
      <c r="W331" s="338">
        <f>Table6[[#This Row],[Breakdown Time]]*(1/39)</f>
        <v>2.777777777777778E-2</v>
      </c>
      <c r="X331" s="336" t="s">
        <v>477</v>
      </c>
      <c r="Y331" s="352" t="s">
        <v>112</v>
      </c>
      <c r="Z331" s="105">
        <v>12574</v>
      </c>
      <c r="AA331" s="107">
        <v>567.57638888888891</v>
      </c>
      <c r="AB331" s="105" t="s">
        <v>472</v>
      </c>
    </row>
    <row r="332" spans="1:28">
      <c r="A332" s="105">
        <f t="shared" si="5"/>
        <v>331</v>
      </c>
      <c r="B332" s="107">
        <f>YEAR(Table6[[#This Row],[Date]])+IF(MONTH(Table6[[#This Row],[Date]])&gt;=4,1,0)</f>
        <v>2026</v>
      </c>
      <c r="C332" s="105">
        <f>YEAR(Table6[[#This Row],[Date]])</f>
        <v>2025</v>
      </c>
      <c r="D332" s="105" t="s">
        <v>465</v>
      </c>
      <c r="E332" s="119">
        <f>Table6[[#This Row],[Date]]-DAY(Table6[[#This Row],[Date]])+1</f>
        <v>45748</v>
      </c>
      <c r="F332" s="118">
        <v>45765</v>
      </c>
      <c r="G332" s="105" t="s">
        <v>103</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466</v>
      </c>
      <c r="L332" s="39" t="str">
        <f>IFERROR(VLOOKUP(Table6[[#This Row],[Error Code]],'Basic Data'!$T:$U,2,0),"")</f>
        <v>Manual Stop - Safety Related</v>
      </c>
      <c r="M332" s="346" t="s">
        <v>467</v>
      </c>
      <c r="N332" s="39" t="s">
        <v>468</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469</v>
      </c>
      <c r="V332" s="351" t="s">
        <v>470</v>
      </c>
      <c r="W332" s="338">
        <f>Table6[[#This Row],[Breakdown Time]]*(1/39)</f>
        <v>0.61495726495726499</v>
      </c>
      <c r="X332" s="336" t="s">
        <v>486</v>
      </c>
      <c r="Y332" s="352" t="s">
        <v>100</v>
      </c>
      <c r="Z332" s="105">
        <v>8824</v>
      </c>
      <c r="AA332" s="107">
        <v>8817.8722222222223</v>
      </c>
      <c r="AB332" s="105" t="s">
        <v>472</v>
      </c>
    </row>
    <row r="333" spans="1:28">
      <c r="A333" s="105">
        <f t="shared" si="5"/>
        <v>332</v>
      </c>
      <c r="B333" s="107">
        <f>YEAR(Table6[[#This Row],[Date]])+IF(MONTH(Table6[[#This Row],[Date]])&gt;=4,1,0)</f>
        <v>2026</v>
      </c>
      <c r="C333" s="105">
        <f>YEAR(Table6[[#This Row],[Date]])</f>
        <v>2025</v>
      </c>
      <c r="D333" s="105" t="s">
        <v>465</v>
      </c>
      <c r="E333" s="119">
        <f>Table6[[#This Row],[Date]]-DAY(Table6[[#This Row],[Date]])+1</f>
        <v>45748</v>
      </c>
      <c r="F333" s="118">
        <v>45765</v>
      </c>
      <c r="G333" s="105" t="s">
        <v>101</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466</v>
      </c>
      <c r="L333" s="39" t="str">
        <f>IFERROR(VLOOKUP(Table6[[#This Row],[Error Code]],'Basic Data'!$T:$U,2,0),"")</f>
        <v>Manual Stop - Safety Related</v>
      </c>
      <c r="M333" s="346" t="s">
        <v>467</v>
      </c>
      <c r="N333" s="39" t="s">
        <v>468</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469</v>
      </c>
      <c r="V333" s="351" t="s">
        <v>470</v>
      </c>
      <c r="W333" s="338">
        <f>Table6[[#This Row],[Breakdown Time]]*(1/39)</f>
        <v>0.61495726495726499</v>
      </c>
      <c r="X333" s="336" t="s">
        <v>486</v>
      </c>
      <c r="Y333" s="352" t="s">
        <v>100</v>
      </c>
      <c r="Z333" s="105">
        <v>8824</v>
      </c>
      <c r="AA333" s="107">
        <v>8817.8722222222223</v>
      </c>
      <c r="AB333" s="105" t="s">
        <v>472</v>
      </c>
    </row>
    <row r="334" spans="1:28">
      <c r="A334" s="105">
        <f t="shared" si="5"/>
        <v>333</v>
      </c>
      <c r="B334" s="107">
        <f>YEAR(Table6[[#This Row],[Date]])+IF(MONTH(Table6[[#This Row],[Date]])&gt;=4,1,0)</f>
        <v>2026</v>
      </c>
      <c r="C334" s="105">
        <f>YEAR(Table6[[#This Row],[Date]])</f>
        <v>2025</v>
      </c>
      <c r="D334" s="105" t="s">
        <v>465</v>
      </c>
      <c r="E334" s="119">
        <f>Table6[[#This Row],[Date]]-DAY(Table6[[#This Row],[Date]])+1</f>
        <v>45748</v>
      </c>
      <c r="F334" s="118">
        <v>45765</v>
      </c>
      <c r="G334" s="105" t="s">
        <v>96</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473</v>
      </c>
      <c r="N334" s="39" t="s">
        <v>474</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478</v>
      </c>
      <c r="V334" s="351" t="s">
        <v>476</v>
      </c>
      <c r="W334" s="338">
        <f>Table6[[#This Row],[Breakdown Time]]*(1/39)</f>
        <v>2.1367521367521292E-3</v>
      </c>
      <c r="X334" s="336" t="s">
        <v>477</v>
      </c>
      <c r="Y334" s="352" t="s">
        <v>95</v>
      </c>
      <c r="Z334" s="105">
        <v>8858</v>
      </c>
      <c r="AA334" s="107">
        <v>30.756944444444333</v>
      </c>
      <c r="AB334" s="105" t="s">
        <v>472</v>
      </c>
    </row>
    <row r="335" spans="1:28">
      <c r="A335" s="105">
        <f t="shared" si="5"/>
        <v>334</v>
      </c>
      <c r="B335" s="107">
        <f>YEAR(Table6[[#This Row],[Date]])+IF(MONTH(Table6[[#This Row],[Date]])&gt;=4,1,0)</f>
        <v>2026</v>
      </c>
      <c r="C335" s="105">
        <f>YEAR(Table6[[#This Row],[Date]])</f>
        <v>2025</v>
      </c>
      <c r="D335" s="105" t="s">
        <v>465</v>
      </c>
      <c r="E335" s="119">
        <f>Table6[[#This Row],[Date]]-DAY(Table6[[#This Row],[Date]])+1</f>
        <v>45748</v>
      </c>
      <c r="F335" s="118">
        <v>45765</v>
      </c>
      <c r="G335" s="105" t="s">
        <v>96</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473</v>
      </c>
      <c r="N335" s="39" t="s">
        <v>474</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478</v>
      </c>
      <c r="V335" s="351" t="s">
        <v>476</v>
      </c>
      <c r="W335" s="338">
        <f>Table6[[#This Row],[Breakdown Time]]*(1/39)</f>
        <v>2.1367521367521292E-3</v>
      </c>
      <c r="X335" s="336" t="s">
        <v>477</v>
      </c>
      <c r="Y335" s="352" t="s">
        <v>95</v>
      </c>
      <c r="Z335" s="105">
        <v>8858</v>
      </c>
      <c r="AA335" s="107">
        <v>30.756944444444333</v>
      </c>
      <c r="AB335" s="105" t="s">
        <v>472</v>
      </c>
    </row>
    <row r="336" spans="1:28">
      <c r="A336" s="105">
        <f t="shared" si="5"/>
        <v>335</v>
      </c>
      <c r="B336" s="107">
        <f>YEAR(Table6[[#This Row],[Date]])+IF(MONTH(Table6[[#This Row],[Date]])&gt;=4,1,0)</f>
        <v>2026</v>
      </c>
      <c r="C336" s="105">
        <f>YEAR(Table6[[#This Row],[Date]])</f>
        <v>2025</v>
      </c>
      <c r="D336" s="105" t="s">
        <v>465</v>
      </c>
      <c r="E336" s="119">
        <f>Table6[[#This Row],[Date]]-DAY(Table6[[#This Row],[Date]])+1</f>
        <v>45748</v>
      </c>
      <c r="F336" s="118">
        <v>45765</v>
      </c>
      <c r="G336" s="105" t="s">
        <v>96</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473</v>
      </c>
      <c r="N336" s="39" t="s">
        <v>474</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484</v>
      </c>
      <c r="V336" s="351" t="s">
        <v>476</v>
      </c>
      <c r="W336" s="338">
        <f>Table6[[#This Row],[Breakdown Time]]*(1/39)</f>
        <v>8.5470085470085843E-3</v>
      </c>
      <c r="X336" s="336" t="s">
        <v>477</v>
      </c>
      <c r="Y336" s="352" t="s">
        <v>95</v>
      </c>
      <c r="Z336" s="105">
        <v>8858</v>
      </c>
      <c r="AA336" s="107">
        <v>123.02777777777831</v>
      </c>
      <c r="AB336" s="105" t="s">
        <v>472</v>
      </c>
    </row>
    <row r="337" spans="1:28">
      <c r="A337" s="105">
        <f t="shared" si="5"/>
        <v>336</v>
      </c>
      <c r="B337" s="107">
        <f>YEAR(Table6[[#This Row],[Date]])+IF(MONTH(Table6[[#This Row],[Date]])&gt;=4,1,0)</f>
        <v>2026</v>
      </c>
      <c r="C337" s="105">
        <f>YEAR(Table6[[#This Row],[Date]])</f>
        <v>2025</v>
      </c>
      <c r="D337" s="105" t="s">
        <v>465</v>
      </c>
      <c r="E337" s="119">
        <f>Table6[[#This Row],[Date]]-DAY(Table6[[#This Row],[Date]])+1</f>
        <v>45748</v>
      </c>
      <c r="F337" s="118">
        <v>45765</v>
      </c>
      <c r="G337" s="105" t="s">
        <v>102</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473</v>
      </c>
      <c r="N337" s="39" t="s">
        <v>474</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538</v>
      </c>
      <c r="V337" s="351" t="s">
        <v>476</v>
      </c>
      <c r="W337" s="338">
        <f>Table6[[#This Row],[Breakdown Time]]*(1/39)</f>
        <v>2.0940170940170932E-2</v>
      </c>
      <c r="X337" s="336" t="s">
        <v>477</v>
      </c>
      <c r="Y337" s="352" t="s">
        <v>100</v>
      </c>
      <c r="Z337" s="105">
        <v>8824</v>
      </c>
      <c r="AA337" s="107">
        <v>300.26111111111106</v>
      </c>
      <c r="AB337" s="105" t="s">
        <v>472</v>
      </c>
    </row>
    <row r="338" spans="1:28">
      <c r="A338" s="105">
        <f t="shared" si="5"/>
        <v>337</v>
      </c>
      <c r="B338" s="107">
        <f>YEAR(Table6[[#This Row],[Date]])+IF(MONTH(Table6[[#This Row],[Date]])&gt;=4,1,0)</f>
        <v>2026</v>
      </c>
      <c r="C338" s="105">
        <f>YEAR(Table6[[#This Row],[Date]])</f>
        <v>2025</v>
      </c>
      <c r="D338" s="105" t="s">
        <v>465</v>
      </c>
      <c r="E338" s="119">
        <f>Table6[[#This Row],[Date]]-DAY(Table6[[#This Row],[Date]])+1</f>
        <v>45748</v>
      </c>
      <c r="F338" s="118">
        <v>45765</v>
      </c>
      <c r="G338" s="105" t="s">
        <v>108</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473</v>
      </c>
      <c r="N338" s="39" t="s">
        <v>474</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539</v>
      </c>
      <c r="V338" s="351" t="s">
        <v>476</v>
      </c>
      <c r="W338" s="338">
        <f>Table6[[#This Row],[Breakdown Time]]*(1/39)</f>
        <v>0.13675213675213674</v>
      </c>
      <c r="X338" s="336" t="s">
        <v>477</v>
      </c>
      <c r="Y338" s="352" t="s">
        <v>107</v>
      </c>
      <c r="Z338" s="105">
        <v>7963</v>
      </c>
      <c r="AA338" s="107">
        <v>1769.5555555555557</v>
      </c>
      <c r="AB338" s="105" t="s">
        <v>472</v>
      </c>
    </row>
    <row r="339" spans="1:28">
      <c r="A339" s="105">
        <f t="shared" si="5"/>
        <v>338</v>
      </c>
      <c r="B339" s="107">
        <f>YEAR(Table6[[#This Row],[Date]])+IF(MONTH(Table6[[#This Row],[Date]])&gt;=4,1,0)</f>
        <v>2026</v>
      </c>
      <c r="C339" s="105">
        <f>YEAR(Table6[[#This Row],[Date]])</f>
        <v>2025</v>
      </c>
      <c r="D339" s="105" t="s">
        <v>465</v>
      </c>
      <c r="E339" s="119">
        <f>Table6[[#This Row],[Date]]-DAY(Table6[[#This Row],[Date]])+1</f>
        <v>45748</v>
      </c>
      <c r="F339" s="118">
        <v>45765</v>
      </c>
      <c r="G339" s="105" t="s">
        <v>107</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473</v>
      </c>
      <c r="N339" s="39" t="s">
        <v>474</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475</v>
      </c>
      <c r="V339" s="351" t="s">
        <v>476</v>
      </c>
      <c r="W339" s="338">
        <f>Table6[[#This Row],[Breakdown Time]]*(1/39)</f>
        <v>2.1367521367521427E-2</v>
      </c>
      <c r="X339" s="336" t="s">
        <v>477</v>
      </c>
      <c r="Y339" s="352" t="s">
        <v>105</v>
      </c>
      <c r="Z339" s="105">
        <v>8169</v>
      </c>
      <c r="AA339" s="107">
        <v>283.64583333333417</v>
      </c>
      <c r="AB339" s="105" t="s">
        <v>472</v>
      </c>
    </row>
    <row r="340" spans="1:28">
      <c r="A340" s="105">
        <f t="shared" si="5"/>
        <v>339</v>
      </c>
      <c r="B340" s="107">
        <f>YEAR(Table6[[#This Row],[Date]])+IF(MONTH(Table6[[#This Row],[Date]])&gt;=4,1,0)</f>
        <v>2026</v>
      </c>
      <c r="C340" s="105">
        <f>YEAR(Table6[[#This Row],[Date]])</f>
        <v>2025</v>
      </c>
      <c r="D340" s="105" t="s">
        <v>465</v>
      </c>
      <c r="E340" s="119">
        <f>Table6[[#This Row],[Date]]-DAY(Table6[[#This Row],[Date]])+1</f>
        <v>45748</v>
      </c>
      <c r="F340" s="118">
        <v>45765</v>
      </c>
      <c r="G340" s="105" t="s">
        <v>96</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473</v>
      </c>
      <c r="N340" s="39" t="s">
        <v>474</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540</v>
      </c>
      <c r="V340" s="351" t="s">
        <v>476</v>
      </c>
      <c r="W340" s="338">
        <f>Table6[[#This Row],[Breakdown Time]]*(1/39)</f>
        <v>3.7179487179487186E-2</v>
      </c>
      <c r="X340" s="336" t="s">
        <v>477</v>
      </c>
      <c r="Y340" s="352" t="s">
        <v>95</v>
      </c>
      <c r="Z340" s="105">
        <v>8824</v>
      </c>
      <c r="AA340" s="107">
        <v>533.11666666666679</v>
      </c>
      <c r="AB340" s="105" t="s">
        <v>472</v>
      </c>
    </row>
    <row r="341" spans="1:28">
      <c r="A341" s="105">
        <f t="shared" si="5"/>
        <v>340</v>
      </c>
      <c r="B341" s="107">
        <f>YEAR(Table6[[#This Row],[Date]])+IF(MONTH(Table6[[#This Row],[Date]])&gt;=4,1,0)</f>
        <v>2026</v>
      </c>
      <c r="C341" s="105">
        <f>YEAR(Table6[[#This Row],[Date]])</f>
        <v>2025</v>
      </c>
      <c r="D341" s="105" t="s">
        <v>465</v>
      </c>
      <c r="E341" s="119">
        <f>Table6[[#This Row],[Date]]-DAY(Table6[[#This Row],[Date]])+1</f>
        <v>45748</v>
      </c>
      <c r="F341" s="118">
        <v>45766</v>
      </c>
      <c r="G341" s="105" t="s">
        <v>103</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466</v>
      </c>
      <c r="L341" s="39" t="str">
        <f>IFERROR(VLOOKUP(Table6[[#This Row],[Error Code]],'Basic Data'!$T:$U,2,0),"")</f>
        <v>Manual Stop - Safety Related</v>
      </c>
      <c r="M341" s="346" t="s">
        <v>467</v>
      </c>
      <c r="N341" s="39" t="s">
        <v>468</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469</v>
      </c>
      <c r="V341" s="351" t="s">
        <v>470</v>
      </c>
      <c r="W341" s="338">
        <f>Table6[[#This Row],[Breakdown Time]]*(1/39)</f>
        <v>0.61495726495726499</v>
      </c>
      <c r="X341" s="336" t="s">
        <v>486</v>
      </c>
      <c r="Y341" s="352" t="s">
        <v>100</v>
      </c>
      <c r="Z341" s="105">
        <v>10567</v>
      </c>
      <c r="AA341" s="107">
        <v>10559.661805555557</v>
      </c>
      <c r="AB341" s="105" t="s">
        <v>472</v>
      </c>
    </row>
    <row r="342" spans="1:28">
      <c r="A342" s="105">
        <f t="shared" si="5"/>
        <v>341</v>
      </c>
      <c r="B342" s="107">
        <f>YEAR(Table6[[#This Row],[Date]])+IF(MONTH(Table6[[#This Row],[Date]])&gt;=4,1,0)</f>
        <v>2026</v>
      </c>
      <c r="C342" s="105">
        <f>YEAR(Table6[[#This Row],[Date]])</f>
        <v>2025</v>
      </c>
      <c r="D342" s="105" t="s">
        <v>465</v>
      </c>
      <c r="E342" s="119">
        <f>Table6[[#This Row],[Date]]-DAY(Table6[[#This Row],[Date]])+1</f>
        <v>45748</v>
      </c>
      <c r="F342" s="118">
        <v>45766</v>
      </c>
      <c r="G342" s="105" t="s">
        <v>101</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466</v>
      </c>
      <c r="L342" s="39" t="str">
        <f>IFERROR(VLOOKUP(Table6[[#This Row],[Error Code]],'Basic Data'!$T:$U,2,0),"")</f>
        <v>Manual Stop - Safety Related</v>
      </c>
      <c r="M342" s="346" t="s">
        <v>467</v>
      </c>
      <c r="N342" s="39" t="s">
        <v>468</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469</v>
      </c>
      <c r="V342" s="351" t="s">
        <v>470</v>
      </c>
      <c r="W342" s="338">
        <f>Table6[[#This Row],[Breakdown Time]]*(1/39)</f>
        <v>0.61495726495726499</v>
      </c>
      <c r="X342" s="336" t="s">
        <v>486</v>
      </c>
      <c r="Y342" s="352" t="s">
        <v>100</v>
      </c>
      <c r="Z342" s="105">
        <v>10567</v>
      </c>
      <c r="AA342" s="107">
        <v>10559.661805555557</v>
      </c>
      <c r="AB342" s="105" t="s">
        <v>472</v>
      </c>
    </row>
    <row r="343" spans="1:28">
      <c r="A343" s="105">
        <f t="shared" si="5"/>
        <v>342</v>
      </c>
      <c r="B343" s="107">
        <f>YEAR(Table6[[#This Row],[Date]])+IF(MONTH(Table6[[#This Row],[Date]])&gt;=4,1,0)</f>
        <v>2026</v>
      </c>
      <c r="C343" s="105">
        <f>YEAR(Table6[[#This Row],[Date]])</f>
        <v>2025</v>
      </c>
      <c r="D343" s="105" t="s">
        <v>465</v>
      </c>
      <c r="E343" s="119">
        <f>Table6[[#This Row],[Date]]-DAY(Table6[[#This Row],[Date]])+1</f>
        <v>45748</v>
      </c>
      <c r="F343" s="118">
        <v>45766</v>
      </c>
      <c r="G343" s="105" t="s">
        <v>86</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473</v>
      </c>
      <c r="N343" s="39" t="s">
        <v>474</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484</v>
      </c>
      <c r="V343" s="351" t="s">
        <v>476</v>
      </c>
      <c r="W343" s="338">
        <f>Table6[[#This Row],[Breakdown Time]]*(1/39)</f>
        <v>8.5470085470085166E-3</v>
      </c>
      <c r="X343" s="336" t="s">
        <v>477</v>
      </c>
      <c r="Y343" s="352" t="s">
        <v>87</v>
      </c>
      <c r="Z343" s="105">
        <v>11378</v>
      </c>
      <c r="AA343" s="107">
        <v>158.0277777777772</v>
      </c>
      <c r="AB343" s="105" t="s">
        <v>472</v>
      </c>
    </row>
    <row r="344" spans="1:28">
      <c r="A344" s="105">
        <f t="shared" si="5"/>
        <v>343</v>
      </c>
      <c r="B344" s="107">
        <f>YEAR(Table6[[#This Row],[Date]])+IF(MONTH(Table6[[#This Row],[Date]])&gt;=4,1,0)</f>
        <v>2026</v>
      </c>
      <c r="C344" s="105">
        <f>YEAR(Table6[[#This Row],[Date]])</f>
        <v>2025</v>
      </c>
      <c r="D344" s="105" t="s">
        <v>465</v>
      </c>
      <c r="E344" s="119">
        <f>Table6[[#This Row],[Date]]-DAY(Table6[[#This Row],[Date]])+1</f>
        <v>45748</v>
      </c>
      <c r="F344" s="118">
        <v>45766</v>
      </c>
      <c r="G344" s="105" t="s">
        <v>96</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517</v>
      </c>
      <c r="L344" s="39" t="str">
        <f>IFERROR(VLOOKUP(Table6[[#This Row],[Error Code]],'Basic Data'!$T:$U,2,0),"")</f>
        <v>General Work Stoppage</v>
      </c>
      <c r="M344" s="346" t="s">
        <v>499</v>
      </c>
      <c r="N344" s="39" t="s">
        <v>189</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518</v>
      </c>
      <c r="V344" s="351" t="s">
        <v>476</v>
      </c>
      <c r="W344" s="338">
        <f>Table6[[#This Row],[Breakdown Time]]*(1/39)</f>
        <v>0.17435897435897435</v>
      </c>
      <c r="X344" s="336" t="s">
        <v>501</v>
      </c>
      <c r="Y344" s="352" t="s">
        <v>78</v>
      </c>
      <c r="Z344" s="105">
        <v>10590</v>
      </c>
      <c r="AA344" s="107">
        <v>3000.5</v>
      </c>
      <c r="AB344" s="105" t="s">
        <v>472</v>
      </c>
    </row>
    <row r="345" spans="1:28">
      <c r="A345" s="105">
        <f t="shared" si="5"/>
        <v>344</v>
      </c>
      <c r="B345" s="107">
        <f>YEAR(Table6[[#This Row],[Date]])+IF(MONTH(Table6[[#This Row],[Date]])&gt;=4,1,0)</f>
        <v>2026</v>
      </c>
      <c r="C345" s="105">
        <f>YEAR(Table6[[#This Row],[Date]])</f>
        <v>2025</v>
      </c>
      <c r="D345" s="105" t="s">
        <v>465</v>
      </c>
      <c r="E345" s="119">
        <f>Table6[[#This Row],[Date]]-DAY(Table6[[#This Row],[Date]])+1</f>
        <v>45748</v>
      </c>
      <c r="F345" s="118">
        <v>45766</v>
      </c>
      <c r="G345" s="105" t="s">
        <v>105</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473</v>
      </c>
      <c r="N345" s="39" t="s">
        <v>474</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541</v>
      </c>
      <c r="V345" s="351" t="s">
        <v>476</v>
      </c>
      <c r="W345" s="338">
        <f>Table6[[#This Row],[Breakdown Time]]*(1/39)</f>
        <v>3.9743589743589804E-2</v>
      </c>
      <c r="X345" s="336" t="s">
        <v>477</v>
      </c>
      <c r="Y345" s="352" t="s">
        <v>106</v>
      </c>
      <c r="Z345" s="105">
        <v>10290</v>
      </c>
      <c r="AA345" s="107">
        <v>664.56250000000102</v>
      </c>
      <c r="AB345" s="105" t="s">
        <v>472</v>
      </c>
    </row>
    <row r="346" spans="1:28">
      <c r="A346" s="105">
        <f t="shared" si="5"/>
        <v>345</v>
      </c>
      <c r="B346" s="107">
        <f>YEAR(Table6[[#This Row],[Date]])+IF(MONTH(Table6[[#This Row],[Date]])&gt;=4,1,0)</f>
        <v>2026</v>
      </c>
      <c r="C346" s="105">
        <f>YEAR(Table6[[#This Row],[Date]])</f>
        <v>2025</v>
      </c>
      <c r="D346" s="105" t="s">
        <v>465</v>
      </c>
      <c r="E346" s="119">
        <f>Table6[[#This Row],[Date]]-DAY(Table6[[#This Row],[Date]])+1</f>
        <v>45748</v>
      </c>
      <c r="F346" s="118">
        <v>45767</v>
      </c>
      <c r="G346" s="105" t="s">
        <v>103</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466</v>
      </c>
      <c r="L346" s="39" t="str">
        <f>IFERROR(VLOOKUP(Table6[[#This Row],[Error Code]],'Basic Data'!$T:$U,2,0),"")</f>
        <v>Manual Stop - Safety Related</v>
      </c>
      <c r="M346" s="346" t="s">
        <v>467</v>
      </c>
      <c r="N346" s="39" t="s">
        <v>468</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469</v>
      </c>
      <c r="V346" s="351" t="s">
        <v>470</v>
      </c>
      <c r="W346" s="338">
        <f>Table6[[#This Row],[Breakdown Time]]*(1/39)</f>
        <v>0.61495726495726499</v>
      </c>
      <c r="X346" s="336" t="s">
        <v>486</v>
      </c>
      <c r="Y346" s="352" t="s">
        <v>100</v>
      </c>
      <c r="Z346" s="105">
        <v>20863</v>
      </c>
      <c r="AA346" s="107">
        <v>20848.511805555554</v>
      </c>
      <c r="AB346" s="105" t="s">
        <v>472</v>
      </c>
    </row>
    <row r="347" spans="1:28">
      <c r="A347" s="105">
        <f t="shared" si="5"/>
        <v>346</v>
      </c>
      <c r="B347" s="107">
        <f>YEAR(Table6[[#This Row],[Date]])+IF(MONTH(Table6[[#This Row],[Date]])&gt;=4,1,0)</f>
        <v>2026</v>
      </c>
      <c r="C347" s="105">
        <f>YEAR(Table6[[#This Row],[Date]])</f>
        <v>2025</v>
      </c>
      <c r="D347" s="105" t="s">
        <v>465</v>
      </c>
      <c r="E347" s="119">
        <f>Table6[[#This Row],[Date]]-DAY(Table6[[#This Row],[Date]])+1</f>
        <v>45748</v>
      </c>
      <c r="F347" s="118">
        <v>45767</v>
      </c>
      <c r="G347" s="105" t="s">
        <v>101</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466</v>
      </c>
      <c r="L347" s="39" t="str">
        <f>IFERROR(VLOOKUP(Table6[[#This Row],[Error Code]],'Basic Data'!$T:$U,2,0),"")</f>
        <v>Manual Stop - Safety Related</v>
      </c>
      <c r="M347" s="346" t="s">
        <v>467</v>
      </c>
      <c r="N347" s="39" t="s">
        <v>468</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469</v>
      </c>
      <c r="V347" s="351" t="s">
        <v>470</v>
      </c>
      <c r="W347" s="338">
        <f>Table6[[#This Row],[Breakdown Time]]*(1/39)</f>
        <v>0.61495726495726499</v>
      </c>
      <c r="X347" s="336" t="s">
        <v>486</v>
      </c>
      <c r="Y347" s="352" t="s">
        <v>100</v>
      </c>
      <c r="Z347" s="105">
        <v>20863</v>
      </c>
      <c r="AA347" s="107">
        <v>20848.511805555554</v>
      </c>
      <c r="AB347" s="105" t="s">
        <v>472</v>
      </c>
    </row>
    <row r="348" spans="1:28">
      <c r="A348" s="105">
        <f t="shared" si="5"/>
        <v>347</v>
      </c>
      <c r="B348" s="107">
        <f>YEAR(Table6[[#This Row],[Date]])+IF(MONTH(Table6[[#This Row],[Date]])&gt;=4,1,0)</f>
        <v>2026</v>
      </c>
      <c r="C348" s="105">
        <f>YEAR(Table6[[#This Row],[Date]])</f>
        <v>2025</v>
      </c>
      <c r="D348" s="105" t="s">
        <v>465</v>
      </c>
      <c r="E348" s="119">
        <f>Table6[[#This Row],[Date]]-DAY(Table6[[#This Row],[Date]])+1</f>
        <v>45748</v>
      </c>
      <c r="F348" s="118">
        <v>45767</v>
      </c>
      <c r="G348" s="105" t="s">
        <v>77</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473</v>
      </c>
      <c r="N348" s="39" t="s">
        <v>474</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475</v>
      </c>
      <c r="V348" s="351" t="s">
        <v>476</v>
      </c>
      <c r="W348" s="338">
        <f>Table6[[#This Row],[Breakdown Time]]*(1/39)</f>
        <v>1.8376068376068345E-2</v>
      </c>
      <c r="X348" s="336" t="s">
        <v>477</v>
      </c>
      <c r="Y348" s="352" t="s">
        <v>76</v>
      </c>
      <c r="Z348" s="105">
        <v>20321</v>
      </c>
      <c r="AA348" s="107">
        <v>606.80763888888794</v>
      </c>
      <c r="AB348" s="105" t="s">
        <v>472</v>
      </c>
    </row>
    <row r="349" spans="1:28">
      <c r="A349" s="105">
        <f t="shared" si="5"/>
        <v>348</v>
      </c>
      <c r="B349" s="107">
        <f>YEAR(Table6[[#This Row],[Date]])+IF(MONTH(Table6[[#This Row],[Date]])&gt;=4,1,0)</f>
        <v>2026</v>
      </c>
      <c r="C349" s="105">
        <f>YEAR(Table6[[#This Row],[Date]])</f>
        <v>2025</v>
      </c>
      <c r="D349" s="105" t="s">
        <v>465</v>
      </c>
      <c r="E349" s="119">
        <f>Table6[[#This Row],[Date]]-DAY(Table6[[#This Row],[Date]])+1</f>
        <v>45748</v>
      </c>
      <c r="F349" s="118">
        <v>45767</v>
      </c>
      <c r="G349" s="105" t="s">
        <v>86</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473</v>
      </c>
      <c r="N349" s="39" t="s">
        <v>474</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478</v>
      </c>
      <c r="V349" s="351" t="s">
        <v>476</v>
      </c>
      <c r="W349" s="338">
        <f>Table6[[#This Row],[Breakdown Time]]*(1/39)</f>
        <v>2.1367521367521292E-3</v>
      </c>
      <c r="X349" s="336" t="s">
        <v>477</v>
      </c>
      <c r="Y349" s="352" t="s">
        <v>87</v>
      </c>
      <c r="Z349" s="105">
        <v>21178</v>
      </c>
      <c r="AA349" s="107">
        <v>73.534722222221959</v>
      </c>
      <c r="AB349" s="105" t="s">
        <v>472</v>
      </c>
    </row>
    <row r="350" spans="1:28">
      <c r="A350" s="105">
        <f t="shared" si="5"/>
        <v>349</v>
      </c>
      <c r="B350" s="107">
        <f>YEAR(Table6[[#This Row],[Date]])+IF(MONTH(Table6[[#This Row],[Date]])&gt;=4,1,0)</f>
        <v>2026</v>
      </c>
      <c r="C350" s="105">
        <f>YEAR(Table6[[#This Row],[Date]])</f>
        <v>2025</v>
      </c>
      <c r="D350" s="105" t="s">
        <v>465</v>
      </c>
      <c r="E350" s="119">
        <f>Table6[[#This Row],[Date]]-DAY(Table6[[#This Row],[Date]])+1</f>
        <v>45748</v>
      </c>
      <c r="F350" s="118">
        <v>45767</v>
      </c>
      <c r="G350" s="105" t="s">
        <v>86</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473</v>
      </c>
      <c r="N350" s="39" t="s">
        <v>474</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478</v>
      </c>
      <c r="V350" s="351" t="s">
        <v>476</v>
      </c>
      <c r="W350" s="338">
        <f>Table6[[#This Row],[Breakdown Time]]*(1/39)</f>
        <v>2.1367521367521292E-3</v>
      </c>
      <c r="X350" s="336" t="s">
        <v>477</v>
      </c>
      <c r="Y350" s="352" t="s">
        <v>87</v>
      </c>
      <c r="Z350" s="105">
        <v>21178</v>
      </c>
      <c r="AA350" s="107">
        <v>73.534722222221959</v>
      </c>
      <c r="AB350" s="105" t="s">
        <v>472</v>
      </c>
    </row>
    <row r="351" spans="1:28">
      <c r="A351" s="105">
        <f t="shared" si="5"/>
        <v>350</v>
      </c>
      <c r="B351" s="107">
        <f>YEAR(Table6[[#This Row],[Date]])+IF(MONTH(Table6[[#This Row],[Date]])&gt;=4,1,0)</f>
        <v>2026</v>
      </c>
      <c r="C351" s="105">
        <f>YEAR(Table6[[#This Row],[Date]])</f>
        <v>2025</v>
      </c>
      <c r="D351" s="105" t="s">
        <v>465</v>
      </c>
      <c r="E351" s="119">
        <f>Table6[[#This Row],[Date]]-DAY(Table6[[#This Row],[Date]])+1</f>
        <v>45748</v>
      </c>
      <c r="F351" s="118">
        <v>45767</v>
      </c>
      <c r="G351" s="105" t="s">
        <v>86</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473</v>
      </c>
      <c r="N351" s="39" t="s">
        <v>474</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478</v>
      </c>
      <c r="V351" s="351" t="s">
        <v>476</v>
      </c>
      <c r="W351" s="338">
        <f>Table6[[#This Row],[Breakdown Time]]*(1/39)</f>
        <v>2.1367521367521292E-3</v>
      </c>
      <c r="X351" s="336" t="s">
        <v>477</v>
      </c>
      <c r="Y351" s="352" t="s">
        <v>87</v>
      </c>
      <c r="Z351" s="105">
        <v>21178</v>
      </c>
      <c r="AA351" s="107">
        <v>73.534722222221959</v>
      </c>
      <c r="AB351" s="105" t="s">
        <v>472</v>
      </c>
    </row>
    <row r="352" spans="1:28">
      <c r="A352" s="105">
        <f t="shared" si="5"/>
        <v>351</v>
      </c>
      <c r="B352" s="107">
        <f>YEAR(Table6[[#This Row],[Date]])+IF(MONTH(Table6[[#This Row],[Date]])&gt;=4,1,0)</f>
        <v>2026</v>
      </c>
      <c r="C352" s="105">
        <f>YEAR(Table6[[#This Row],[Date]])</f>
        <v>2025</v>
      </c>
      <c r="D352" s="105" t="s">
        <v>465</v>
      </c>
      <c r="E352" s="119">
        <f>Table6[[#This Row],[Date]]-DAY(Table6[[#This Row],[Date]])+1</f>
        <v>45748</v>
      </c>
      <c r="F352" s="118">
        <v>45767</v>
      </c>
      <c r="G352" s="105" t="s">
        <v>86</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526</v>
      </c>
      <c r="L352" s="39" t="str">
        <f>IFERROR(VLOOKUP(Table6[[#This Row],[Error Code]],'Basic Data'!$T:$U,2,0),"")</f>
        <v>Manual Stop</v>
      </c>
      <c r="M352" s="346" t="s">
        <v>499</v>
      </c>
      <c r="N352" s="39" t="s">
        <v>189</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542</v>
      </c>
      <c r="V352" s="351" t="s">
        <v>476</v>
      </c>
      <c r="W352" s="338">
        <f>Table6[[#This Row],[Breakdown Time]]*(1/39)</f>
        <v>0.10170940170940175</v>
      </c>
      <c r="X352" s="336" t="s">
        <v>501</v>
      </c>
      <c r="Y352" s="352" t="s">
        <v>87</v>
      </c>
      <c r="Z352" s="105">
        <v>21178</v>
      </c>
      <c r="AA352" s="107">
        <v>3500.2527777777791</v>
      </c>
      <c r="AB352" s="105" t="s">
        <v>472</v>
      </c>
    </row>
    <row r="353" spans="1:28">
      <c r="A353" s="105">
        <f t="shared" si="5"/>
        <v>352</v>
      </c>
      <c r="B353" s="107">
        <f>YEAR(Table6[[#This Row],[Date]])+IF(MONTH(Table6[[#This Row],[Date]])&gt;=4,1,0)</f>
        <v>2026</v>
      </c>
      <c r="C353" s="105">
        <f>YEAR(Table6[[#This Row],[Date]])</f>
        <v>2025</v>
      </c>
      <c r="D353" s="105" t="s">
        <v>465</v>
      </c>
      <c r="E353" s="119">
        <f>Table6[[#This Row],[Date]]-DAY(Table6[[#This Row],[Date]])+1</f>
        <v>45748</v>
      </c>
      <c r="F353" s="118">
        <v>45767</v>
      </c>
      <c r="G353" s="105" t="s">
        <v>95</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473</v>
      </c>
      <c r="N353" s="39" t="s">
        <v>474</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475</v>
      </c>
      <c r="V353" s="351" t="s">
        <v>476</v>
      </c>
      <c r="W353" s="338">
        <f>Table6[[#This Row],[Breakdown Time]]*(1/39)</f>
        <v>1.2820512820512843E-2</v>
      </c>
      <c r="X353" s="336" t="s">
        <v>477</v>
      </c>
      <c r="Y353" s="352" t="s">
        <v>78</v>
      </c>
      <c r="Z353" s="105">
        <v>20876</v>
      </c>
      <c r="AA353" s="107">
        <v>434.91666666666748</v>
      </c>
      <c r="AB353" s="105" t="s">
        <v>472</v>
      </c>
    </row>
    <row r="354" spans="1:28">
      <c r="A354" s="105">
        <f t="shared" si="5"/>
        <v>353</v>
      </c>
      <c r="B354" s="107">
        <f>YEAR(Table6[[#This Row],[Date]])+IF(MONTH(Table6[[#This Row],[Date]])&gt;=4,1,0)</f>
        <v>2026</v>
      </c>
      <c r="C354" s="105">
        <f>YEAR(Table6[[#This Row],[Date]])</f>
        <v>2025</v>
      </c>
      <c r="D354" s="105" t="s">
        <v>465</v>
      </c>
      <c r="E354" s="119">
        <f>Table6[[#This Row],[Date]]-DAY(Table6[[#This Row],[Date]])+1</f>
        <v>45748</v>
      </c>
      <c r="F354" s="118">
        <v>45768</v>
      </c>
      <c r="G354" s="105" t="s">
        <v>103</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466</v>
      </c>
      <c r="L354" s="39" t="str">
        <f>IFERROR(VLOOKUP(Table6[[#This Row],[Error Code]],'Basic Data'!$T:$U,2,0),"")</f>
        <v>Manual Stop - Safety Related</v>
      </c>
      <c r="M354" s="346" t="s">
        <v>467</v>
      </c>
      <c r="N354" s="39" t="s">
        <v>468</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469</v>
      </c>
      <c r="V354" s="351" t="s">
        <v>470</v>
      </c>
      <c r="W354" s="338">
        <f>Table6[[#This Row],[Breakdown Time]]*(1/39)</f>
        <v>0.61495726495726499</v>
      </c>
      <c r="X354" s="336" t="s">
        <v>486</v>
      </c>
      <c r="Y354" s="352" t="s">
        <v>100</v>
      </c>
      <c r="Z354" s="105">
        <v>8034</v>
      </c>
      <c r="AA354" s="107">
        <v>8028.4208333333336</v>
      </c>
      <c r="AB354" s="105" t="s">
        <v>472</v>
      </c>
    </row>
    <row r="355" spans="1:28">
      <c r="A355" s="105">
        <f t="shared" si="5"/>
        <v>354</v>
      </c>
      <c r="B355" s="107">
        <f>YEAR(Table6[[#This Row],[Date]])+IF(MONTH(Table6[[#This Row],[Date]])&gt;=4,1,0)</f>
        <v>2026</v>
      </c>
      <c r="C355" s="105">
        <f>YEAR(Table6[[#This Row],[Date]])</f>
        <v>2025</v>
      </c>
      <c r="D355" s="105" t="s">
        <v>465</v>
      </c>
      <c r="E355" s="119">
        <f>Table6[[#This Row],[Date]]-DAY(Table6[[#This Row],[Date]])+1</f>
        <v>45748</v>
      </c>
      <c r="F355" s="118">
        <v>45768</v>
      </c>
      <c r="G355" s="105" t="s">
        <v>101</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466</v>
      </c>
      <c r="L355" s="39" t="str">
        <f>IFERROR(VLOOKUP(Table6[[#This Row],[Error Code]],'Basic Data'!$T:$U,2,0),"")</f>
        <v>Manual Stop - Safety Related</v>
      </c>
      <c r="M355" s="346" t="s">
        <v>467</v>
      </c>
      <c r="N355" s="39" t="s">
        <v>468</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469</v>
      </c>
      <c r="V355" s="351" t="s">
        <v>470</v>
      </c>
      <c r="W355" s="338">
        <f>Table6[[#This Row],[Breakdown Time]]*(1/39)</f>
        <v>0.61495726495726499</v>
      </c>
      <c r="X355" s="336" t="s">
        <v>486</v>
      </c>
      <c r="Y355" s="352" t="s">
        <v>100</v>
      </c>
      <c r="Z355" s="105">
        <v>8034</v>
      </c>
      <c r="AA355" s="107">
        <v>8028.4208333333336</v>
      </c>
      <c r="AB355" s="105" t="s">
        <v>472</v>
      </c>
    </row>
    <row r="356" spans="1:28">
      <c r="A356" s="105">
        <f t="shared" si="5"/>
        <v>355</v>
      </c>
      <c r="B356" s="107">
        <f>YEAR(Table6[[#This Row],[Date]])+IF(MONTH(Table6[[#This Row],[Date]])&gt;=4,1,0)</f>
        <v>2026</v>
      </c>
      <c r="C356" s="105">
        <f>YEAR(Table6[[#This Row],[Date]])</f>
        <v>2025</v>
      </c>
      <c r="D356" s="105" t="s">
        <v>465</v>
      </c>
      <c r="E356" s="119">
        <f>Table6[[#This Row],[Date]]-DAY(Table6[[#This Row],[Date]])+1</f>
        <v>45748</v>
      </c>
      <c r="F356" s="118">
        <v>45768</v>
      </c>
      <c r="G356" s="105" t="s">
        <v>89</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517</v>
      </c>
      <c r="L356" s="39" t="str">
        <f>IFERROR(VLOOKUP(Table6[[#This Row],[Error Code]],'Basic Data'!$T:$U,2,0),"")</f>
        <v>General Work Stoppage</v>
      </c>
      <c r="M356" s="346" t="s">
        <v>499</v>
      </c>
      <c r="N356" s="39" t="s">
        <v>189</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543</v>
      </c>
      <c r="V356" s="351" t="s">
        <v>476</v>
      </c>
      <c r="W356" s="338">
        <f>Table6[[#This Row],[Breakdown Time]]*(1/39)</f>
        <v>4.1880341880341863E-2</v>
      </c>
      <c r="X356" s="336" t="s">
        <v>501</v>
      </c>
      <c r="Y356" s="352" t="s">
        <v>90</v>
      </c>
      <c r="Z356" s="105">
        <v>7749</v>
      </c>
      <c r="AA356" s="107">
        <v>527.36249999999984</v>
      </c>
      <c r="AB356" s="105" t="s">
        <v>472</v>
      </c>
    </row>
    <row r="357" spans="1:28">
      <c r="A357" s="105">
        <f t="shared" si="5"/>
        <v>356</v>
      </c>
      <c r="B357" s="107">
        <f>YEAR(Table6[[#This Row],[Date]])+IF(MONTH(Table6[[#This Row],[Date]])&gt;=4,1,0)</f>
        <v>2026</v>
      </c>
      <c r="C357" s="105">
        <f>YEAR(Table6[[#This Row],[Date]])</f>
        <v>2025</v>
      </c>
      <c r="D357" s="105" t="s">
        <v>465</v>
      </c>
      <c r="E357" s="119">
        <f>Table6[[#This Row],[Date]]-DAY(Table6[[#This Row],[Date]])+1</f>
        <v>45748</v>
      </c>
      <c r="F357" s="118">
        <v>45768</v>
      </c>
      <c r="G357" s="105" t="s">
        <v>104</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473</v>
      </c>
      <c r="N357" s="39" t="s">
        <v>474</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475</v>
      </c>
      <c r="V357" s="351" t="s">
        <v>476</v>
      </c>
      <c r="W357" s="338">
        <f>Table6[[#This Row],[Breakdown Time]]*(1/39)</f>
        <v>1.8376068376068311E-2</v>
      </c>
      <c r="X357" s="336" t="s">
        <v>477</v>
      </c>
      <c r="Y357" s="352" t="s">
        <v>98</v>
      </c>
      <c r="Z357" s="105">
        <v>8284</v>
      </c>
      <c r="AA357" s="107">
        <v>247.36944444444359</v>
      </c>
      <c r="AB357" s="105" t="s">
        <v>472</v>
      </c>
    </row>
    <row r="358" spans="1:28">
      <c r="A358" s="105">
        <f t="shared" si="5"/>
        <v>357</v>
      </c>
      <c r="B358" s="107">
        <f>YEAR(Table6[[#This Row],[Date]])+IF(MONTH(Table6[[#This Row],[Date]])&gt;=4,1,0)</f>
        <v>2026</v>
      </c>
      <c r="C358" s="105">
        <f>YEAR(Table6[[#This Row],[Date]])</f>
        <v>2025</v>
      </c>
      <c r="D358" s="105" t="s">
        <v>465</v>
      </c>
      <c r="E358" s="119">
        <f>Table6[[#This Row],[Date]]-DAY(Table6[[#This Row],[Date]])+1</f>
        <v>45748</v>
      </c>
      <c r="F358" s="118">
        <v>45768</v>
      </c>
      <c r="G358" s="105" t="s">
        <v>98</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473</v>
      </c>
      <c r="N358" s="39" t="s">
        <v>474</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475</v>
      </c>
      <c r="V358" s="351" t="s">
        <v>476</v>
      </c>
      <c r="W358" s="338">
        <f>Table6[[#This Row],[Breakdown Time]]*(1/39)</f>
        <v>3.0341880341880369E-2</v>
      </c>
      <c r="X358" s="336" t="s">
        <v>477</v>
      </c>
      <c r="Y358" s="352" t="s">
        <v>112</v>
      </c>
      <c r="Z358" s="105">
        <v>8257</v>
      </c>
      <c r="AA358" s="107">
        <v>407.11597222222264</v>
      </c>
      <c r="AB358" s="105" t="s">
        <v>472</v>
      </c>
    </row>
    <row r="359" spans="1:28">
      <c r="A359" s="105">
        <f t="shared" si="5"/>
        <v>358</v>
      </c>
      <c r="B359" s="107">
        <f>YEAR(Table6[[#This Row],[Date]])+IF(MONTH(Table6[[#This Row],[Date]])&gt;=4,1,0)</f>
        <v>2026</v>
      </c>
      <c r="C359" s="105">
        <f>YEAR(Table6[[#This Row],[Date]])</f>
        <v>2025</v>
      </c>
      <c r="D359" s="105" t="s">
        <v>465</v>
      </c>
      <c r="E359" s="119">
        <f>Table6[[#This Row],[Date]]-DAY(Table6[[#This Row],[Date]])+1</f>
        <v>45748</v>
      </c>
      <c r="F359" s="118">
        <v>45768</v>
      </c>
      <c r="G359" s="105" t="s">
        <v>112</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473</v>
      </c>
      <c r="N359" s="39" t="s">
        <v>474</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475</v>
      </c>
      <c r="V359" s="351" t="s">
        <v>476</v>
      </c>
      <c r="W359" s="338">
        <f>Table6[[#This Row],[Breakdown Time]]*(1/39)</f>
        <v>2.008547008547008E-2</v>
      </c>
      <c r="X359" s="336" t="s">
        <v>477</v>
      </c>
      <c r="Y359" s="352" t="s">
        <v>111</v>
      </c>
      <c r="Z359" s="105">
        <v>8463</v>
      </c>
      <c r="AA359" s="107">
        <v>276.22291666666661</v>
      </c>
      <c r="AB359" s="105" t="s">
        <v>472</v>
      </c>
    </row>
    <row r="360" spans="1:28">
      <c r="A360" s="105">
        <f t="shared" si="5"/>
        <v>359</v>
      </c>
      <c r="B360" s="107">
        <f>YEAR(Table6[[#This Row],[Date]])+IF(MONTH(Table6[[#This Row],[Date]])&gt;=4,1,0)</f>
        <v>2026</v>
      </c>
      <c r="C360" s="105">
        <f>YEAR(Table6[[#This Row],[Date]])</f>
        <v>2025</v>
      </c>
      <c r="D360" s="105" t="s">
        <v>465</v>
      </c>
      <c r="E360" s="119">
        <f>Table6[[#This Row],[Date]]-DAY(Table6[[#This Row],[Date]])+1</f>
        <v>45748</v>
      </c>
      <c r="F360" s="118">
        <v>45769</v>
      </c>
      <c r="G360" s="105" t="s">
        <v>103</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466</v>
      </c>
      <c r="L360" s="39" t="str">
        <f>IFERROR(VLOOKUP(Table6[[#This Row],[Error Code]],'Basic Data'!$T:$U,2,0),"")</f>
        <v>Manual Stop - Safety Related</v>
      </c>
      <c r="M360" s="346" t="s">
        <v>467</v>
      </c>
      <c r="N360" s="39" t="s">
        <v>468</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469</v>
      </c>
      <c r="V360" s="351" t="s">
        <v>470</v>
      </c>
      <c r="W360" s="338">
        <f>Table6[[#This Row],[Breakdown Time]]*(1/39)</f>
        <v>0.61495726495726499</v>
      </c>
      <c r="X360" s="336" t="s">
        <v>486</v>
      </c>
      <c r="Y360" s="352" t="s">
        <v>100</v>
      </c>
      <c r="Z360" s="105">
        <v>6332</v>
      </c>
      <c r="AA360" s="107">
        <v>6327.6027777777772</v>
      </c>
      <c r="AB360" s="105" t="s">
        <v>472</v>
      </c>
    </row>
    <row r="361" spans="1:28">
      <c r="A361" s="105">
        <f t="shared" si="5"/>
        <v>360</v>
      </c>
      <c r="B361" s="107">
        <f>YEAR(Table6[[#This Row],[Date]])+IF(MONTH(Table6[[#This Row],[Date]])&gt;=4,1,0)</f>
        <v>2026</v>
      </c>
      <c r="C361" s="105">
        <f>YEAR(Table6[[#This Row],[Date]])</f>
        <v>2025</v>
      </c>
      <c r="D361" s="105" t="s">
        <v>465</v>
      </c>
      <c r="E361" s="119">
        <f>Table6[[#This Row],[Date]]-DAY(Table6[[#This Row],[Date]])+1</f>
        <v>45748</v>
      </c>
      <c r="F361" s="118">
        <v>45769</v>
      </c>
      <c r="G361" s="105" t="s">
        <v>101</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466</v>
      </c>
      <c r="L361" s="39" t="str">
        <f>IFERROR(VLOOKUP(Table6[[#This Row],[Error Code]],'Basic Data'!$T:$U,2,0),"")</f>
        <v>Manual Stop - Safety Related</v>
      </c>
      <c r="M361" s="346" t="s">
        <v>467</v>
      </c>
      <c r="N361" s="39" t="s">
        <v>468</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469</v>
      </c>
      <c r="V361" s="351" t="s">
        <v>470</v>
      </c>
      <c r="W361" s="338">
        <f>Table6[[#This Row],[Breakdown Time]]*(1/39)</f>
        <v>0.61495726495726499</v>
      </c>
      <c r="X361" s="336" t="s">
        <v>486</v>
      </c>
      <c r="Y361" s="352" t="s">
        <v>100</v>
      </c>
      <c r="Z361" s="105">
        <v>6332</v>
      </c>
      <c r="AA361" s="107">
        <v>6327.6027777777772</v>
      </c>
      <c r="AB361" s="105" t="s">
        <v>472</v>
      </c>
    </row>
    <row r="362" spans="1:28">
      <c r="A362" s="105">
        <f t="shared" si="5"/>
        <v>361</v>
      </c>
      <c r="B362" s="107">
        <f>YEAR(Table6[[#This Row],[Date]])+IF(MONTH(Table6[[#This Row],[Date]])&gt;=4,1,0)</f>
        <v>2026</v>
      </c>
      <c r="C362" s="105">
        <f>YEAR(Table6[[#This Row],[Date]])</f>
        <v>2025</v>
      </c>
      <c r="D362" s="105" t="s">
        <v>465</v>
      </c>
      <c r="E362" s="119">
        <f>Table6[[#This Row],[Date]]-DAY(Table6[[#This Row],[Date]])+1</f>
        <v>45748</v>
      </c>
      <c r="F362" s="118">
        <v>45769</v>
      </c>
      <c r="G362" s="105" t="s">
        <v>79</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473</v>
      </c>
      <c r="N362" s="39" t="s">
        <v>474</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484</v>
      </c>
      <c r="V362" s="351" t="s">
        <v>476</v>
      </c>
      <c r="W362" s="338">
        <f>Table6[[#This Row],[Breakdown Time]]*(1/39)</f>
        <v>2.0940170940170932E-2</v>
      </c>
      <c r="X362" s="336" t="s">
        <v>477</v>
      </c>
      <c r="Y362" s="352" t="s">
        <v>76</v>
      </c>
      <c r="Z362" s="105">
        <v>4367</v>
      </c>
      <c r="AA362" s="107">
        <v>148.59930555555553</v>
      </c>
      <c r="AB362" s="105" t="s">
        <v>472</v>
      </c>
    </row>
    <row r="363" spans="1:28">
      <c r="A363" s="105">
        <f t="shared" si="5"/>
        <v>362</v>
      </c>
      <c r="B363" s="107">
        <f>YEAR(Table6[[#This Row],[Date]])+IF(MONTH(Table6[[#This Row],[Date]])&gt;=4,1,0)</f>
        <v>2026</v>
      </c>
      <c r="C363" s="105">
        <f>YEAR(Table6[[#This Row],[Date]])</f>
        <v>2025</v>
      </c>
      <c r="D363" s="105" t="s">
        <v>465</v>
      </c>
      <c r="E363" s="119">
        <f>Table6[[#This Row],[Date]]-DAY(Table6[[#This Row],[Date]])+1</f>
        <v>45748</v>
      </c>
      <c r="F363" s="118">
        <v>45769</v>
      </c>
      <c r="G363" s="105" t="s">
        <v>79</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473</v>
      </c>
      <c r="N363" s="39" t="s">
        <v>474</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484</v>
      </c>
      <c r="V363" s="351" t="s">
        <v>476</v>
      </c>
      <c r="W363" s="338">
        <f>Table6[[#This Row],[Breakdown Time]]*(1/39)</f>
        <v>1.4957264957264972E-2</v>
      </c>
      <c r="X363" s="336" t="s">
        <v>477</v>
      </c>
      <c r="Y363" s="352" t="s">
        <v>76</v>
      </c>
      <c r="Z363" s="105">
        <v>4367</v>
      </c>
      <c r="AA363" s="107">
        <v>106.14236111111123</v>
      </c>
      <c r="AB363" s="105" t="s">
        <v>472</v>
      </c>
    </row>
    <row r="364" spans="1:28">
      <c r="A364" s="105">
        <f t="shared" si="5"/>
        <v>363</v>
      </c>
      <c r="B364" s="107">
        <f>YEAR(Table6[[#This Row],[Date]])+IF(MONTH(Table6[[#This Row],[Date]])&gt;=4,1,0)</f>
        <v>2026</v>
      </c>
      <c r="C364" s="105">
        <f>YEAR(Table6[[#This Row],[Date]])</f>
        <v>2025</v>
      </c>
      <c r="D364" s="105" t="s">
        <v>465</v>
      </c>
      <c r="E364" s="119">
        <f>Table6[[#This Row],[Date]]-DAY(Table6[[#This Row],[Date]])+1</f>
        <v>45748</v>
      </c>
      <c r="F364" s="118">
        <v>45769</v>
      </c>
      <c r="G364" s="105" t="s">
        <v>86</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526</v>
      </c>
      <c r="L364" s="39" t="str">
        <f>IFERROR(VLOOKUP(Table6[[#This Row],[Error Code]],'Basic Data'!$T:$U,2,0),"")</f>
        <v>Manual Stop</v>
      </c>
      <c r="M364" s="346" t="s">
        <v>499</v>
      </c>
      <c r="N364" s="39" t="s">
        <v>189</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544</v>
      </c>
      <c r="V364" s="351" t="s">
        <v>476</v>
      </c>
      <c r="W364" s="338">
        <f>Table6[[#This Row],[Breakdown Time]]*(1/39)</f>
        <v>4.4444444444444418E-2</v>
      </c>
      <c r="X364" s="336" t="s">
        <v>501</v>
      </c>
      <c r="Y364" s="352" t="s">
        <v>87</v>
      </c>
      <c r="Z364" s="105">
        <v>6342</v>
      </c>
      <c r="AA364" s="107">
        <v>458.03333333333313</v>
      </c>
      <c r="AB364" s="105" t="s">
        <v>472</v>
      </c>
    </row>
    <row r="365" spans="1:28">
      <c r="A365" s="105">
        <f t="shared" si="5"/>
        <v>364</v>
      </c>
      <c r="B365" s="107">
        <f>YEAR(Table6[[#This Row],[Date]])+IF(MONTH(Table6[[#This Row],[Date]])&gt;=4,1,0)</f>
        <v>2026</v>
      </c>
      <c r="C365" s="105">
        <f>YEAR(Table6[[#This Row],[Date]])</f>
        <v>2025</v>
      </c>
      <c r="D365" s="105" t="s">
        <v>465</v>
      </c>
      <c r="E365" s="119">
        <f>Table6[[#This Row],[Date]]-DAY(Table6[[#This Row],[Date]])+1</f>
        <v>45748</v>
      </c>
      <c r="F365" s="118">
        <v>45769</v>
      </c>
      <c r="G365" s="105" t="s">
        <v>104</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526</v>
      </c>
      <c r="L365" s="39" t="str">
        <f>IFERROR(VLOOKUP(Table6[[#This Row],[Error Code]],'Basic Data'!$T:$U,2,0),"")</f>
        <v>Manual Stop</v>
      </c>
      <c r="M365" s="346" t="s">
        <v>499</v>
      </c>
      <c r="N365" s="39" t="s">
        <v>189</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545</v>
      </c>
      <c r="V365" s="351" t="s">
        <v>476</v>
      </c>
      <c r="W365" s="338">
        <f>Table6[[#This Row],[Breakdown Time]]*(1/39)</f>
        <v>0.13162393162393163</v>
      </c>
      <c r="X365" s="336" t="s">
        <v>501</v>
      </c>
      <c r="Y365" s="352" t="s">
        <v>98</v>
      </c>
      <c r="Z365" s="105">
        <v>6450</v>
      </c>
      <c r="AA365" s="107">
        <v>1379.5833333333335</v>
      </c>
      <c r="AB365" s="105" t="s">
        <v>472</v>
      </c>
    </row>
    <row r="366" spans="1:28">
      <c r="A366" s="105">
        <f t="shared" si="5"/>
        <v>365</v>
      </c>
      <c r="B366" s="107">
        <f>YEAR(Table6[[#This Row],[Date]])+IF(MONTH(Table6[[#This Row],[Date]])&gt;=4,1,0)</f>
        <v>2026</v>
      </c>
      <c r="C366" s="105">
        <f>YEAR(Table6[[#This Row],[Date]])</f>
        <v>2025</v>
      </c>
      <c r="D366" s="105" t="s">
        <v>465</v>
      </c>
      <c r="E366" s="119">
        <f>Table6[[#This Row],[Date]]-DAY(Table6[[#This Row],[Date]])+1</f>
        <v>45748</v>
      </c>
      <c r="F366" s="118">
        <v>45769</v>
      </c>
      <c r="G366" s="105" t="s">
        <v>105</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473</v>
      </c>
      <c r="N366" s="39" t="s">
        <v>474</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484</v>
      </c>
      <c r="V366" s="351" t="s">
        <v>476</v>
      </c>
      <c r="W366" s="338">
        <f>Table6[[#This Row],[Breakdown Time]]*(1/39)</f>
        <v>1.7094017094017103E-2</v>
      </c>
      <c r="X366" s="336" t="s">
        <v>477</v>
      </c>
      <c r="Y366" s="352" t="s">
        <v>106</v>
      </c>
      <c r="Z366" s="105">
        <v>6487</v>
      </c>
      <c r="AA366" s="107">
        <v>180.19444444444454</v>
      </c>
      <c r="AB366" s="105" t="s">
        <v>472</v>
      </c>
    </row>
    <row r="367" spans="1:28">
      <c r="A367" s="105">
        <f t="shared" si="5"/>
        <v>366</v>
      </c>
      <c r="B367" s="107">
        <f>YEAR(Table6[[#This Row],[Date]])+IF(MONTH(Table6[[#This Row],[Date]])&gt;=4,1,0)</f>
        <v>2026</v>
      </c>
      <c r="C367" s="105">
        <f>YEAR(Table6[[#This Row],[Date]])</f>
        <v>2025</v>
      </c>
      <c r="D367" s="105" t="s">
        <v>465</v>
      </c>
      <c r="E367" s="119">
        <f>Table6[[#This Row],[Date]]-DAY(Table6[[#This Row],[Date]])+1</f>
        <v>45748</v>
      </c>
      <c r="F367" s="118">
        <v>45770</v>
      </c>
      <c r="G367" s="105" t="s">
        <v>103</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466</v>
      </c>
      <c r="L367" s="39" t="str">
        <f>IFERROR(VLOOKUP(Table6[[#This Row],[Error Code]],'Basic Data'!$T:$U,2,0),"")</f>
        <v>Manual Stop - Safety Related</v>
      </c>
      <c r="M367" s="346" t="s">
        <v>467</v>
      </c>
      <c r="N367" s="39" t="s">
        <v>468</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469</v>
      </c>
      <c r="V367" s="351" t="s">
        <v>470</v>
      </c>
      <c r="W367" s="338">
        <f>Table6[[#This Row],[Breakdown Time]]*(1/39)</f>
        <v>0.61495726495726499</v>
      </c>
      <c r="X367" s="336" t="s">
        <v>486</v>
      </c>
      <c r="Y367" s="352" t="s">
        <v>100</v>
      </c>
      <c r="Z367" s="105">
        <v>3178</v>
      </c>
      <c r="AA367" s="107">
        <v>3175.7930555555554</v>
      </c>
      <c r="AB367" s="105" t="s">
        <v>472</v>
      </c>
    </row>
    <row r="368" spans="1:28">
      <c r="A368" s="105">
        <f t="shared" si="5"/>
        <v>367</v>
      </c>
      <c r="B368" s="107">
        <f>YEAR(Table6[[#This Row],[Date]])+IF(MONTH(Table6[[#This Row],[Date]])&gt;=4,1,0)</f>
        <v>2026</v>
      </c>
      <c r="C368" s="105">
        <f>YEAR(Table6[[#This Row],[Date]])</f>
        <v>2025</v>
      </c>
      <c r="D368" s="105" t="s">
        <v>465</v>
      </c>
      <c r="E368" s="119">
        <f>Table6[[#This Row],[Date]]-DAY(Table6[[#This Row],[Date]])+1</f>
        <v>45748</v>
      </c>
      <c r="F368" s="118">
        <v>45770</v>
      </c>
      <c r="G368" s="105" t="s">
        <v>101</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466</v>
      </c>
      <c r="L368" s="39" t="str">
        <f>IFERROR(VLOOKUP(Table6[[#This Row],[Error Code]],'Basic Data'!$T:$U,2,0),"")</f>
        <v>Manual Stop - Safety Related</v>
      </c>
      <c r="M368" s="346" t="s">
        <v>467</v>
      </c>
      <c r="N368" s="39" t="s">
        <v>468</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469</v>
      </c>
      <c r="V368" s="351" t="s">
        <v>470</v>
      </c>
      <c r="W368" s="338">
        <f>Table6[[#This Row],[Breakdown Time]]*(1/39)</f>
        <v>0.61495726495726499</v>
      </c>
      <c r="X368" s="336" t="s">
        <v>486</v>
      </c>
      <c r="Y368" s="352" t="s">
        <v>100</v>
      </c>
      <c r="Z368" s="105">
        <v>3178</v>
      </c>
      <c r="AA368" s="107">
        <v>3175.7930555555554</v>
      </c>
      <c r="AB368" s="105" t="s">
        <v>472</v>
      </c>
    </row>
    <row r="369" spans="1:28">
      <c r="A369" s="105">
        <f t="shared" si="5"/>
        <v>368</v>
      </c>
      <c r="B369" s="107">
        <f>YEAR(Table6[[#This Row],[Date]])+IF(MONTH(Table6[[#This Row],[Date]])&gt;=4,1,0)</f>
        <v>2026</v>
      </c>
      <c r="C369" s="105">
        <f>YEAR(Table6[[#This Row],[Date]])</f>
        <v>2025</v>
      </c>
      <c r="D369" s="105" t="s">
        <v>465</v>
      </c>
      <c r="E369" s="119">
        <f>Table6[[#This Row],[Date]]-DAY(Table6[[#This Row],[Date]])+1</f>
        <v>45748</v>
      </c>
      <c r="F369" s="118">
        <v>45770</v>
      </c>
      <c r="G369" s="105" t="s">
        <v>92</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473</v>
      </c>
      <c r="N369" s="39" t="s">
        <v>474</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475</v>
      </c>
      <c r="V369" s="351" t="s">
        <v>476</v>
      </c>
      <c r="W369" s="338">
        <f>Table6[[#This Row],[Breakdown Time]]*(1/39)</f>
        <v>1.4957264957264972E-2</v>
      </c>
      <c r="X369" s="336" t="s">
        <v>477</v>
      </c>
      <c r="Y369" s="352" t="s">
        <v>91</v>
      </c>
      <c r="Z369" s="105">
        <v>3957</v>
      </c>
      <c r="AA369" s="107">
        <v>96.177083333333428</v>
      </c>
      <c r="AB369" s="105" t="s">
        <v>472</v>
      </c>
    </row>
    <row r="370" spans="1:28">
      <c r="A370" s="105">
        <f t="shared" si="5"/>
        <v>369</v>
      </c>
      <c r="B370" s="107">
        <f>YEAR(Table6[[#This Row],[Date]])+IF(MONTH(Table6[[#This Row],[Date]])&gt;=4,1,0)</f>
        <v>2026</v>
      </c>
      <c r="C370" s="105">
        <f>YEAR(Table6[[#This Row],[Date]])</f>
        <v>2025</v>
      </c>
      <c r="D370" s="105" t="s">
        <v>465</v>
      </c>
      <c r="E370" s="119">
        <f>Table6[[#This Row],[Date]]-DAY(Table6[[#This Row],[Date]])+1</f>
        <v>45748</v>
      </c>
      <c r="F370" s="118">
        <v>45770</v>
      </c>
      <c r="G370" s="105" t="s">
        <v>95</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473</v>
      </c>
      <c r="N370" s="39" t="s">
        <v>474</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475</v>
      </c>
      <c r="V370" s="351" t="s">
        <v>476</v>
      </c>
      <c r="W370" s="338">
        <f>Table6[[#This Row],[Breakdown Time]]*(1/39)</f>
        <v>2.3076923076923061E-2</v>
      </c>
      <c r="X370" s="336" t="s">
        <v>477</v>
      </c>
      <c r="Y370" s="352" t="s">
        <v>78</v>
      </c>
      <c r="Z370" s="105">
        <v>3153</v>
      </c>
      <c r="AA370" s="107">
        <v>118.23749999999993</v>
      </c>
      <c r="AB370" s="105" t="s">
        <v>472</v>
      </c>
    </row>
    <row r="371" spans="1:28">
      <c r="A371" s="105">
        <f t="shared" si="5"/>
        <v>370</v>
      </c>
      <c r="B371" s="107">
        <f>YEAR(Table6[[#This Row],[Date]])+IF(MONTH(Table6[[#This Row],[Date]])&gt;=4,1,0)</f>
        <v>2026</v>
      </c>
      <c r="C371" s="105">
        <f>YEAR(Table6[[#This Row],[Date]])</f>
        <v>2025</v>
      </c>
      <c r="D371" s="105" t="s">
        <v>465</v>
      </c>
      <c r="E371" s="119">
        <f>Table6[[#This Row],[Date]]-DAY(Table6[[#This Row],[Date]])+1</f>
        <v>45748</v>
      </c>
      <c r="F371" s="118">
        <v>45770</v>
      </c>
      <c r="G371" s="105" t="s">
        <v>97</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526</v>
      </c>
      <c r="L371" s="39" t="str">
        <f>IFERROR(VLOOKUP(Table6[[#This Row],[Error Code]],'Basic Data'!$T:$U,2,0),"")</f>
        <v>Manual Stop</v>
      </c>
      <c r="M371" s="346" t="s">
        <v>499</v>
      </c>
      <c r="N371" s="39" t="s">
        <v>189</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545</v>
      </c>
      <c r="V371" s="351" t="s">
        <v>476</v>
      </c>
      <c r="W371" s="338">
        <f>Table6[[#This Row],[Breakdown Time]]*(1/39)</f>
        <v>0.14316239316239318</v>
      </c>
      <c r="X371" s="336" t="s">
        <v>501</v>
      </c>
      <c r="Y371" s="352" t="s">
        <v>99</v>
      </c>
      <c r="Z371" s="105">
        <v>3157</v>
      </c>
      <c r="AA371" s="107">
        <v>734.44097222222229</v>
      </c>
      <c r="AB371" s="105" t="s">
        <v>472</v>
      </c>
    </row>
    <row r="372" spans="1:28">
      <c r="A372" s="105">
        <f t="shared" si="5"/>
        <v>371</v>
      </c>
      <c r="B372" s="107">
        <f>YEAR(Table6[[#This Row],[Date]])+IF(MONTH(Table6[[#This Row],[Date]])&gt;=4,1,0)</f>
        <v>2026</v>
      </c>
      <c r="C372" s="105">
        <f>YEAR(Table6[[#This Row],[Date]])</f>
        <v>2025</v>
      </c>
      <c r="D372" s="105" t="s">
        <v>465</v>
      </c>
      <c r="E372" s="119">
        <f>Table6[[#This Row],[Date]]-DAY(Table6[[#This Row],[Date]])+1</f>
        <v>45748</v>
      </c>
      <c r="F372" s="118">
        <v>45770</v>
      </c>
      <c r="G372" s="105" t="s">
        <v>104</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473</v>
      </c>
      <c r="N372" s="39" t="s">
        <v>474</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484</v>
      </c>
      <c r="V372" s="351" t="s">
        <v>476</v>
      </c>
      <c r="W372" s="338">
        <f>Table6[[#This Row],[Breakdown Time]]*(1/39)</f>
        <v>1.9230769230769232E-2</v>
      </c>
      <c r="X372" s="336" t="s">
        <v>477</v>
      </c>
      <c r="Y372" s="352" t="s">
        <v>98</v>
      </c>
      <c r="Z372" s="105">
        <v>3102</v>
      </c>
      <c r="AA372" s="107">
        <v>96.9375</v>
      </c>
      <c r="AB372" s="105" t="s">
        <v>472</v>
      </c>
    </row>
    <row r="373" spans="1:28">
      <c r="A373" s="105">
        <f t="shared" si="5"/>
        <v>372</v>
      </c>
      <c r="B373" s="107">
        <f>YEAR(Table6[[#This Row],[Date]])+IF(MONTH(Table6[[#This Row],[Date]])&gt;=4,1,0)</f>
        <v>2026</v>
      </c>
      <c r="C373" s="105">
        <f>YEAR(Table6[[#This Row],[Date]])</f>
        <v>2025</v>
      </c>
      <c r="D373" s="105" t="s">
        <v>465</v>
      </c>
      <c r="E373" s="119">
        <f>Table6[[#This Row],[Date]]-DAY(Table6[[#This Row],[Date]])+1</f>
        <v>45748</v>
      </c>
      <c r="F373" s="118">
        <v>45771</v>
      </c>
      <c r="G373" s="105" t="s">
        <v>103</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466</v>
      </c>
      <c r="L373" s="39" t="str">
        <f>IFERROR(VLOOKUP(Table6[[#This Row],[Error Code]],'Basic Data'!$T:$U,2,0),"")</f>
        <v>Manual Stop - Safety Related</v>
      </c>
      <c r="M373" s="346" t="s">
        <v>467</v>
      </c>
      <c r="N373" s="39" t="s">
        <v>468</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469</v>
      </c>
      <c r="V373" s="351" t="s">
        <v>470</v>
      </c>
      <c r="W373" s="338">
        <f>Table6[[#This Row],[Breakdown Time]]*(1/39)</f>
        <v>0.61495726495726499</v>
      </c>
      <c r="X373" s="336" t="s">
        <v>486</v>
      </c>
      <c r="Y373" s="352" t="s">
        <v>100</v>
      </c>
      <c r="Z373" s="105">
        <v>5484</v>
      </c>
      <c r="AA373" s="107">
        <v>5480.1916666666666</v>
      </c>
      <c r="AB373" s="105" t="s">
        <v>472</v>
      </c>
    </row>
    <row r="374" spans="1:28">
      <c r="A374" s="105">
        <f t="shared" si="5"/>
        <v>373</v>
      </c>
      <c r="B374" s="107">
        <f>YEAR(Table6[[#This Row],[Date]])+IF(MONTH(Table6[[#This Row],[Date]])&gt;=4,1,0)</f>
        <v>2026</v>
      </c>
      <c r="C374" s="105">
        <f>YEAR(Table6[[#This Row],[Date]])</f>
        <v>2025</v>
      </c>
      <c r="D374" s="105" t="s">
        <v>465</v>
      </c>
      <c r="E374" s="119">
        <f>Table6[[#This Row],[Date]]-DAY(Table6[[#This Row],[Date]])+1</f>
        <v>45748</v>
      </c>
      <c r="F374" s="118">
        <v>45771</v>
      </c>
      <c r="G374" s="105" t="s">
        <v>101</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466</v>
      </c>
      <c r="L374" s="39" t="str">
        <f>IFERROR(VLOOKUP(Table6[[#This Row],[Error Code]],'Basic Data'!$T:$U,2,0),"")</f>
        <v>Manual Stop - Safety Related</v>
      </c>
      <c r="M374" s="346" t="s">
        <v>467</v>
      </c>
      <c r="N374" s="39" t="s">
        <v>468</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469</v>
      </c>
      <c r="V374" s="351" t="s">
        <v>470</v>
      </c>
      <c r="W374" s="338">
        <f>Table6[[#This Row],[Breakdown Time]]*(1/39)</f>
        <v>0.61495726495726499</v>
      </c>
      <c r="X374" s="336" t="s">
        <v>486</v>
      </c>
      <c r="Y374" s="352" t="s">
        <v>100</v>
      </c>
      <c r="Z374" s="105">
        <v>5484</v>
      </c>
      <c r="AA374" s="107">
        <v>5480.1916666666666</v>
      </c>
      <c r="AB374" s="105" t="s">
        <v>472</v>
      </c>
    </row>
    <row r="375" spans="1:28">
      <c r="A375" s="105">
        <f t="shared" si="5"/>
        <v>374</v>
      </c>
      <c r="B375" s="107">
        <f>YEAR(Table6[[#This Row],[Date]])+IF(MONTH(Table6[[#This Row],[Date]])&gt;=4,1,0)</f>
        <v>2026</v>
      </c>
      <c r="C375" s="105">
        <f>YEAR(Table6[[#This Row],[Date]])</f>
        <v>2025</v>
      </c>
      <c r="D375" s="105" t="s">
        <v>465</v>
      </c>
      <c r="E375" s="119">
        <f>Table6[[#This Row],[Date]]-DAY(Table6[[#This Row],[Date]])+1</f>
        <v>45748</v>
      </c>
      <c r="F375" s="118">
        <v>45771</v>
      </c>
      <c r="G375" s="105" t="s">
        <v>74</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473</v>
      </c>
      <c r="N375" s="39" t="s">
        <v>474</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484</v>
      </c>
      <c r="V375" s="351" t="s">
        <v>476</v>
      </c>
      <c r="W375" s="338">
        <f>Table6[[#This Row],[Breakdown Time]]*(1/39)</f>
        <v>2.7350427350427389E-2</v>
      </c>
      <c r="X375" s="336" t="s">
        <v>477</v>
      </c>
      <c r="Y375" s="352" t="s">
        <v>80</v>
      </c>
      <c r="Z375" s="105">
        <v>5267</v>
      </c>
      <c r="AA375" s="107">
        <v>234.08888888888924</v>
      </c>
      <c r="AB375" s="105" t="s">
        <v>472</v>
      </c>
    </row>
    <row r="376" spans="1:28">
      <c r="A376" s="105">
        <f t="shared" si="5"/>
        <v>375</v>
      </c>
      <c r="B376" s="107">
        <f>YEAR(Table6[[#This Row],[Date]])+IF(MONTH(Table6[[#This Row],[Date]])&gt;=4,1,0)</f>
        <v>2026</v>
      </c>
      <c r="C376" s="105">
        <f>YEAR(Table6[[#This Row],[Date]])</f>
        <v>2025</v>
      </c>
      <c r="D376" s="105" t="s">
        <v>465</v>
      </c>
      <c r="E376" s="119">
        <f>Table6[[#This Row],[Date]]-DAY(Table6[[#This Row],[Date]])+1</f>
        <v>45748</v>
      </c>
      <c r="F376" s="118">
        <v>45771</v>
      </c>
      <c r="G376" s="105" t="s">
        <v>95</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473</v>
      </c>
      <c r="N376" s="39" t="s">
        <v>474</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475</v>
      </c>
      <c r="V376" s="351" t="s">
        <v>476</v>
      </c>
      <c r="W376" s="338">
        <f>Table6[[#This Row],[Breakdown Time]]*(1/39)</f>
        <v>1.5811965811965825E-2</v>
      </c>
      <c r="X376" s="336" t="s">
        <v>477</v>
      </c>
      <c r="Y376" s="352" t="s">
        <v>78</v>
      </c>
      <c r="Z376" s="105">
        <v>5423</v>
      </c>
      <c r="AA376" s="107">
        <v>139.34097222222235</v>
      </c>
      <c r="AB376" s="105" t="s">
        <v>472</v>
      </c>
    </row>
    <row r="377" spans="1:28">
      <c r="A377" s="105">
        <f t="shared" si="5"/>
        <v>376</v>
      </c>
      <c r="B377" s="107">
        <f>YEAR(Table6[[#This Row],[Date]])+IF(MONTH(Table6[[#This Row],[Date]])&gt;=4,1,0)</f>
        <v>2026</v>
      </c>
      <c r="C377" s="105">
        <f>YEAR(Table6[[#This Row],[Date]])</f>
        <v>2025</v>
      </c>
      <c r="D377" s="105" t="s">
        <v>465</v>
      </c>
      <c r="E377" s="119">
        <f>Table6[[#This Row],[Date]]-DAY(Table6[[#This Row],[Date]])+1</f>
        <v>45748</v>
      </c>
      <c r="F377" s="118">
        <v>45771</v>
      </c>
      <c r="G377" s="105" t="s">
        <v>98</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526</v>
      </c>
      <c r="L377" s="39" t="str">
        <f>IFERROR(VLOOKUP(Table6[[#This Row],[Error Code]],'Basic Data'!$T:$U,2,0),"")</f>
        <v>Manual Stop</v>
      </c>
      <c r="M377" s="346" t="s">
        <v>499</v>
      </c>
      <c r="N377" s="39" t="s">
        <v>189</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545</v>
      </c>
      <c r="V377" s="351" t="s">
        <v>476</v>
      </c>
      <c r="W377" s="338">
        <f>Table6[[#This Row],[Breakdown Time]]*(1/39)</f>
        <v>0.11452991452991453</v>
      </c>
      <c r="X377" s="336" t="s">
        <v>501</v>
      </c>
      <c r="Y377" s="352" t="s">
        <v>104</v>
      </c>
      <c r="Z377" s="105">
        <v>7158</v>
      </c>
      <c r="AA377" s="107">
        <v>1332.1833333333334</v>
      </c>
      <c r="AB377" s="105" t="s">
        <v>472</v>
      </c>
    </row>
    <row r="378" spans="1:28">
      <c r="A378" s="105">
        <f t="shared" si="5"/>
        <v>377</v>
      </c>
      <c r="B378" s="107">
        <f>YEAR(Table6[[#This Row],[Date]])+IF(MONTH(Table6[[#This Row],[Date]])&gt;=4,1,0)</f>
        <v>2026</v>
      </c>
      <c r="C378" s="105">
        <f>YEAR(Table6[[#This Row],[Date]])</f>
        <v>2025</v>
      </c>
      <c r="D378" s="105" t="s">
        <v>465</v>
      </c>
      <c r="E378" s="119">
        <f>Table6[[#This Row],[Date]]-DAY(Table6[[#This Row],[Date]])+1</f>
        <v>45748</v>
      </c>
      <c r="F378" s="118">
        <v>45771</v>
      </c>
      <c r="G378" s="105" t="s">
        <v>111</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466</v>
      </c>
      <c r="L378" s="39" t="str">
        <f>IFERROR(VLOOKUP(Table6[[#This Row],[Error Code]],'Basic Data'!$T:$U,2,0),"")</f>
        <v>Manual Stop - Safety Related</v>
      </c>
      <c r="M378" s="346" t="s">
        <v>467</v>
      </c>
      <c r="N378" s="39" t="s">
        <v>189</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506</v>
      </c>
      <c r="V378" s="351" t="s">
        <v>476</v>
      </c>
      <c r="W378" s="338">
        <f>Table6[[#This Row],[Breakdown Time]]*(1/39)</f>
        <v>5.4273504273504282E-2</v>
      </c>
      <c r="X378" s="336" t="s">
        <v>546</v>
      </c>
      <c r="Y378" s="352" t="s">
        <v>110</v>
      </c>
      <c r="Z378" s="105">
        <v>7156</v>
      </c>
      <c r="AA378" s="107">
        <v>631.11944444444464</v>
      </c>
      <c r="AB378" s="105" t="s">
        <v>472</v>
      </c>
    </row>
    <row r="379" spans="1:28">
      <c r="A379" s="105">
        <f t="shared" si="5"/>
        <v>378</v>
      </c>
      <c r="B379" s="107">
        <f>YEAR(Table6[[#This Row],[Date]])+IF(MONTH(Table6[[#This Row],[Date]])&gt;=4,1,0)</f>
        <v>2026</v>
      </c>
      <c r="C379" s="105">
        <f>YEAR(Table6[[#This Row],[Date]])</f>
        <v>2025</v>
      </c>
      <c r="D379" s="105" t="s">
        <v>465</v>
      </c>
      <c r="E379" s="119">
        <f>Table6[[#This Row],[Date]]-DAY(Table6[[#This Row],[Date]])+1</f>
        <v>45748</v>
      </c>
      <c r="F379" s="118">
        <v>45771</v>
      </c>
      <c r="G379" s="105" t="s">
        <v>112</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526</v>
      </c>
      <c r="L379" s="39" t="str">
        <f>IFERROR(VLOOKUP(Table6[[#This Row],[Error Code]],'Basic Data'!$T:$U,2,0),"")</f>
        <v>Manual Stop</v>
      </c>
      <c r="M379" s="346" t="s">
        <v>499</v>
      </c>
      <c r="N379" s="39" t="s">
        <v>189</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545</v>
      </c>
      <c r="V379" s="351" t="s">
        <v>476</v>
      </c>
      <c r="W379" s="338">
        <f>Table6[[#This Row],[Breakdown Time]]*(1/39)</f>
        <v>0.11965811965811969</v>
      </c>
      <c r="X379" s="336" t="s">
        <v>501</v>
      </c>
      <c r="Y379" s="352" t="s">
        <v>110</v>
      </c>
      <c r="Z379" s="105">
        <v>7156</v>
      </c>
      <c r="AA379" s="107">
        <v>1391.4444444444448</v>
      </c>
      <c r="AB379" s="105" t="s">
        <v>472</v>
      </c>
    </row>
    <row r="380" spans="1:28">
      <c r="A380" s="105">
        <f t="shared" si="5"/>
        <v>379</v>
      </c>
      <c r="B380" s="107">
        <f>YEAR(Table6[[#This Row],[Date]])+IF(MONTH(Table6[[#This Row],[Date]])&gt;=4,1,0)</f>
        <v>2026</v>
      </c>
      <c r="C380" s="105">
        <f>YEAR(Table6[[#This Row],[Date]])</f>
        <v>2025</v>
      </c>
      <c r="D380" s="105" t="s">
        <v>465</v>
      </c>
      <c r="E380" s="119">
        <f>Table6[[#This Row],[Date]]-DAY(Table6[[#This Row],[Date]])+1</f>
        <v>45748</v>
      </c>
      <c r="F380" s="118">
        <v>45772</v>
      </c>
      <c r="G380" s="105" t="s">
        <v>103</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466</v>
      </c>
      <c r="L380" s="39" t="str">
        <f>IFERROR(VLOOKUP(Table6[[#This Row],[Error Code]],'Basic Data'!$T:$U,2,0),"")</f>
        <v>Manual Stop - Safety Related</v>
      </c>
      <c r="M380" s="346" t="s">
        <v>467</v>
      </c>
      <c r="N380" s="39" t="s">
        <v>468</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469</v>
      </c>
      <c r="V380" s="351" t="s">
        <v>470</v>
      </c>
      <c r="W380" s="338">
        <f>Table6[[#This Row],[Breakdown Time]]*(1/39)</f>
        <v>0.61495726495726499</v>
      </c>
      <c r="X380" s="336" t="s">
        <v>486</v>
      </c>
      <c r="Y380" s="352" t="s">
        <v>100</v>
      </c>
      <c r="Z380" s="105">
        <v>6544</v>
      </c>
      <c r="AA380" s="107">
        <v>6539.4555555555562</v>
      </c>
      <c r="AB380" s="105" t="s">
        <v>472</v>
      </c>
    </row>
    <row r="381" spans="1:28">
      <c r="A381" s="105">
        <f t="shared" si="5"/>
        <v>380</v>
      </c>
      <c r="B381" s="107">
        <f>YEAR(Table6[[#This Row],[Date]])+IF(MONTH(Table6[[#This Row],[Date]])&gt;=4,1,0)</f>
        <v>2026</v>
      </c>
      <c r="C381" s="105">
        <f>YEAR(Table6[[#This Row],[Date]])</f>
        <v>2025</v>
      </c>
      <c r="D381" s="105" t="s">
        <v>465</v>
      </c>
      <c r="E381" s="119">
        <f>Table6[[#This Row],[Date]]-DAY(Table6[[#This Row],[Date]])+1</f>
        <v>45748</v>
      </c>
      <c r="F381" s="118">
        <v>45772</v>
      </c>
      <c r="G381" s="105" t="s">
        <v>101</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466</v>
      </c>
      <c r="L381" s="39" t="str">
        <f>IFERROR(VLOOKUP(Table6[[#This Row],[Error Code]],'Basic Data'!$T:$U,2,0),"")</f>
        <v>Manual Stop - Safety Related</v>
      </c>
      <c r="M381" s="346" t="s">
        <v>467</v>
      </c>
      <c r="N381" s="39" t="s">
        <v>468</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469</v>
      </c>
      <c r="V381" s="351" t="s">
        <v>470</v>
      </c>
      <c r="W381" s="338">
        <f>Table6[[#This Row],[Breakdown Time]]*(1/39)</f>
        <v>0.61495726495726499</v>
      </c>
      <c r="X381" s="336" t="s">
        <v>486</v>
      </c>
      <c r="Y381" s="352" t="s">
        <v>100</v>
      </c>
      <c r="Z381" s="105">
        <v>6544</v>
      </c>
      <c r="AA381" s="107">
        <v>6539.4555555555562</v>
      </c>
      <c r="AB381" s="105" t="s">
        <v>472</v>
      </c>
    </row>
    <row r="382" spans="1:28">
      <c r="A382" s="105">
        <f t="shared" si="5"/>
        <v>381</v>
      </c>
      <c r="B382" s="107">
        <f>YEAR(Table6[[#This Row],[Date]])+IF(MONTH(Table6[[#This Row],[Date]])&gt;=4,1,0)</f>
        <v>2026</v>
      </c>
      <c r="C382" s="105">
        <f>YEAR(Table6[[#This Row],[Date]])</f>
        <v>2025</v>
      </c>
      <c r="D382" s="105" t="s">
        <v>465</v>
      </c>
      <c r="E382" s="119">
        <f>Table6[[#This Row],[Date]]-DAY(Table6[[#This Row],[Date]])+1</f>
        <v>45748</v>
      </c>
      <c r="F382" s="118">
        <v>45772</v>
      </c>
      <c r="G382" s="105" t="s">
        <v>77</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473</v>
      </c>
      <c r="N382" s="39" t="s">
        <v>474</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475</v>
      </c>
      <c r="V382" s="351" t="s">
        <v>476</v>
      </c>
      <c r="W382" s="338">
        <f>Table6[[#This Row],[Breakdown Time]]*(1/39)</f>
        <v>1.8803418803418806E-2</v>
      </c>
      <c r="X382" s="336" t="s">
        <v>477</v>
      </c>
      <c r="Y382" s="352" t="s">
        <v>76</v>
      </c>
      <c r="Z382" s="105">
        <v>7041</v>
      </c>
      <c r="AA382" s="107">
        <v>215.14166666666668</v>
      </c>
      <c r="AB382" s="105" t="s">
        <v>472</v>
      </c>
    </row>
    <row r="383" spans="1:28">
      <c r="A383" s="105">
        <f t="shared" si="5"/>
        <v>382</v>
      </c>
      <c r="B383" s="107">
        <f>YEAR(Table6[[#This Row],[Date]])+IF(MONTH(Table6[[#This Row],[Date]])&gt;=4,1,0)</f>
        <v>2026</v>
      </c>
      <c r="C383" s="105">
        <f>YEAR(Table6[[#This Row],[Date]])</f>
        <v>2025</v>
      </c>
      <c r="D383" s="105" t="s">
        <v>465</v>
      </c>
      <c r="E383" s="119">
        <f>Table6[[#This Row],[Date]]-DAY(Table6[[#This Row],[Date]])+1</f>
        <v>45748</v>
      </c>
      <c r="F383" s="118">
        <v>45772</v>
      </c>
      <c r="G383" s="105" t="s">
        <v>81</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517</v>
      </c>
      <c r="L383" s="39" t="str">
        <f>IFERROR(VLOOKUP(Table6[[#This Row],[Error Code]],'Basic Data'!$T:$U,2,0),"")</f>
        <v>General Work Stoppage</v>
      </c>
      <c r="M383" s="346" t="s">
        <v>499</v>
      </c>
      <c r="N383" s="39" t="s">
        <v>189</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547</v>
      </c>
      <c r="V383" s="351" t="s">
        <v>476</v>
      </c>
      <c r="W383" s="338">
        <f>Table6[[#This Row],[Breakdown Time]]*(1/39)</f>
        <v>2.1367521367521358E-2</v>
      </c>
      <c r="X383" s="336" t="s">
        <v>501</v>
      </c>
      <c r="Y383" s="352" t="s">
        <v>76</v>
      </c>
      <c r="Z383" s="105">
        <v>7041</v>
      </c>
      <c r="AA383" s="107">
        <v>244.47916666666657</v>
      </c>
      <c r="AB383" s="105" t="s">
        <v>472</v>
      </c>
    </row>
    <row r="384" spans="1:28">
      <c r="A384" s="105">
        <f t="shared" si="5"/>
        <v>383</v>
      </c>
      <c r="B384" s="107">
        <f>YEAR(Table6[[#This Row],[Date]])+IF(MONTH(Table6[[#This Row],[Date]])&gt;=4,1,0)</f>
        <v>2026</v>
      </c>
      <c r="C384" s="105">
        <f>YEAR(Table6[[#This Row],[Date]])</f>
        <v>2025</v>
      </c>
      <c r="D384" s="105" t="s">
        <v>465</v>
      </c>
      <c r="E384" s="119">
        <f>Table6[[#This Row],[Date]]-DAY(Table6[[#This Row],[Date]])+1</f>
        <v>45748</v>
      </c>
      <c r="F384" s="118">
        <v>45772</v>
      </c>
      <c r="G384" s="105" t="s">
        <v>82</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473</v>
      </c>
      <c r="N384" s="39" t="s">
        <v>474</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475</v>
      </c>
      <c r="V384" s="351" t="s">
        <v>476</v>
      </c>
      <c r="W384" s="338">
        <f>Table6[[#This Row],[Breakdown Time]]*(1/39)</f>
        <v>2.2649572649572635E-2</v>
      </c>
      <c r="X384" s="336" t="s">
        <v>477</v>
      </c>
      <c r="Y384" s="352" t="s">
        <v>85</v>
      </c>
      <c r="Z384" s="105">
        <v>6063</v>
      </c>
      <c r="AA384" s="107">
        <v>223.15208333333322</v>
      </c>
      <c r="AB384" s="105" t="s">
        <v>472</v>
      </c>
    </row>
    <row r="385" spans="1:28">
      <c r="A385" s="105">
        <f t="shared" si="5"/>
        <v>384</v>
      </c>
      <c r="B385" s="107">
        <f>YEAR(Table6[[#This Row],[Date]])+IF(MONTH(Table6[[#This Row],[Date]])&gt;=4,1,0)</f>
        <v>2026</v>
      </c>
      <c r="C385" s="105">
        <f>YEAR(Table6[[#This Row],[Date]])</f>
        <v>2025</v>
      </c>
      <c r="D385" s="105" t="s">
        <v>465</v>
      </c>
      <c r="E385" s="119">
        <f>Table6[[#This Row],[Date]]-DAY(Table6[[#This Row],[Date]])+1</f>
        <v>45748</v>
      </c>
      <c r="F385" s="118">
        <v>45772</v>
      </c>
      <c r="G385" s="105" t="s">
        <v>85</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473</v>
      </c>
      <c r="N385" s="39" t="s">
        <v>474</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548</v>
      </c>
      <c r="V385" s="351" t="s">
        <v>476</v>
      </c>
      <c r="W385" s="338">
        <f>Table6[[#This Row],[Breakdown Time]]*(1/39)</f>
        <v>5.9829059829059818E-2</v>
      </c>
      <c r="X385" s="336" t="s">
        <v>477</v>
      </c>
      <c r="Y385" s="352" t="s">
        <v>82</v>
      </c>
      <c r="Z385" s="105">
        <v>6032</v>
      </c>
      <c r="AA385" s="107">
        <v>586.44444444444434</v>
      </c>
      <c r="AB385" s="105" t="s">
        <v>472</v>
      </c>
    </row>
    <row r="386" spans="1:28">
      <c r="A386" s="105">
        <f t="shared" si="5"/>
        <v>385</v>
      </c>
      <c r="B386" s="107">
        <f>YEAR(Table6[[#This Row],[Date]])+IF(MONTH(Table6[[#This Row],[Date]])&gt;=4,1,0)</f>
        <v>2026</v>
      </c>
      <c r="C386" s="105">
        <f>YEAR(Table6[[#This Row],[Date]])</f>
        <v>2025</v>
      </c>
      <c r="D386" s="105" t="s">
        <v>465</v>
      </c>
      <c r="E386" s="119">
        <f>Table6[[#This Row],[Date]]-DAY(Table6[[#This Row],[Date]])+1</f>
        <v>45748</v>
      </c>
      <c r="F386" s="118">
        <v>45772</v>
      </c>
      <c r="G386" s="105" t="s">
        <v>95</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526</v>
      </c>
      <c r="L386" s="39" t="str">
        <f>IFERROR(VLOOKUP(Table6[[#This Row],[Error Code]],'Basic Data'!$T:$U,2,0),"")</f>
        <v>Manual Stop</v>
      </c>
      <c r="M386" s="346" t="s">
        <v>499</v>
      </c>
      <c r="N386" s="39" t="s">
        <v>189</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549</v>
      </c>
      <c r="V386" s="351" t="s">
        <v>476</v>
      </c>
      <c r="W386" s="338">
        <f>Table6[[#This Row],[Breakdown Time]]*(1/39)</f>
        <v>3.5897435897435909E-2</v>
      </c>
      <c r="X386" s="336" t="s">
        <v>501</v>
      </c>
      <c r="Y386" s="352" t="s">
        <v>78</v>
      </c>
      <c r="Z386" s="105">
        <v>6587</v>
      </c>
      <c r="AA386" s="107">
        <v>384.24166666666673</v>
      </c>
      <c r="AB386" s="105" t="s">
        <v>472</v>
      </c>
    </row>
    <row r="387" spans="1:28">
      <c r="A387" s="105">
        <f t="shared" si="5"/>
        <v>386</v>
      </c>
      <c r="B387" s="107">
        <f>YEAR(Table6[[#This Row],[Date]])+IF(MONTH(Table6[[#This Row],[Date]])&gt;=4,1,0)</f>
        <v>2026</v>
      </c>
      <c r="C387" s="105">
        <f>YEAR(Table6[[#This Row],[Date]])</f>
        <v>2025</v>
      </c>
      <c r="D387" s="105" t="s">
        <v>465</v>
      </c>
      <c r="E387" s="119">
        <f>Table6[[#This Row],[Date]]-DAY(Table6[[#This Row],[Date]])+1</f>
        <v>45748</v>
      </c>
      <c r="F387" s="118">
        <v>45772</v>
      </c>
      <c r="G387" s="105" t="s">
        <v>106</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466</v>
      </c>
      <c r="L387" s="39" t="str">
        <f>IFERROR(VLOOKUP(Table6[[#This Row],[Error Code]],'Basic Data'!$T:$U,2,0),"")</f>
        <v>Manual Stop - Safety Related</v>
      </c>
      <c r="M387" s="346" t="s">
        <v>467</v>
      </c>
      <c r="N387" s="39" t="s">
        <v>189</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506</v>
      </c>
      <c r="V387" s="351" t="s">
        <v>476</v>
      </c>
      <c r="W387" s="338">
        <f>Table6[[#This Row],[Breakdown Time]]*(1/39)</f>
        <v>4.9145299145299103E-2</v>
      </c>
      <c r="X387" s="336" t="s">
        <v>546</v>
      </c>
      <c r="Y387" s="352" t="s">
        <v>105</v>
      </c>
      <c r="Z387" s="105">
        <v>6842</v>
      </c>
      <c r="AA387" s="107">
        <v>546.40972222222172</v>
      </c>
      <c r="AB387" s="105" t="s">
        <v>472</v>
      </c>
    </row>
    <row r="388" spans="1:28">
      <c r="A388" s="105">
        <f t="shared" ref="A388:A451" si="6">A387+1</f>
        <v>387</v>
      </c>
      <c r="B388" s="107">
        <f>YEAR(Table6[[#This Row],[Date]])+IF(MONTH(Table6[[#This Row],[Date]])&gt;=4,1,0)</f>
        <v>2026</v>
      </c>
      <c r="C388" s="105">
        <f>YEAR(Table6[[#This Row],[Date]])</f>
        <v>2025</v>
      </c>
      <c r="D388" s="105" t="s">
        <v>465</v>
      </c>
      <c r="E388" s="119">
        <f>Table6[[#This Row],[Date]]-DAY(Table6[[#This Row],[Date]])+1</f>
        <v>45748</v>
      </c>
      <c r="F388" s="118">
        <v>45772</v>
      </c>
      <c r="G388" s="105" t="s">
        <v>111</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526</v>
      </c>
      <c r="L388" s="39" t="str">
        <f>IFERROR(VLOOKUP(Table6[[#This Row],[Error Code]],'Basic Data'!$T:$U,2,0),"")</f>
        <v>Manual Stop</v>
      </c>
      <c r="M388" s="346" t="s">
        <v>499</v>
      </c>
      <c r="N388" s="39" t="s">
        <v>189</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550</v>
      </c>
      <c r="V388" s="351" t="s">
        <v>476</v>
      </c>
      <c r="W388" s="338">
        <f>Table6[[#This Row],[Breakdown Time]]*(1/39)</f>
        <v>0.18034188034188034</v>
      </c>
      <c r="X388" s="336" t="s">
        <v>501</v>
      </c>
      <c r="Y388" s="352" t="s">
        <v>112</v>
      </c>
      <c r="Z388" s="105">
        <v>6849</v>
      </c>
      <c r="AA388" s="107">
        <v>2007.1375</v>
      </c>
      <c r="AB388" s="105" t="s">
        <v>472</v>
      </c>
    </row>
    <row r="389" spans="1:28">
      <c r="A389" s="105">
        <f t="shared" si="6"/>
        <v>388</v>
      </c>
      <c r="B389" s="107">
        <f>YEAR(Table6[[#This Row],[Date]])+IF(MONTH(Table6[[#This Row],[Date]])&gt;=4,1,0)</f>
        <v>2026</v>
      </c>
      <c r="C389" s="105">
        <f>YEAR(Table6[[#This Row],[Date]])</f>
        <v>2025</v>
      </c>
      <c r="D389" s="105" t="s">
        <v>465</v>
      </c>
      <c r="E389" s="119">
        <f>Table6[[#This Row],[Date]]-DAY(Table6[[#This Row],[Date]])+1</f>
        <v>45748</v>
      </c>
      <c r="F389" s="118">
        <v>45772</v>
      </c>
      <c r="G389" s="105" t="s">
        <v>92</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473</v>
      </c>
      <c r="N389" s="39" t="s">
        <v>474</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551</v>
      </c>
      <c r="V389" s="351" t="s">
        <v>476</v>
      </c>
      <c r="W389" s="338">
        <f>Table6[[#This Row],[Breakdown Time]]*(1/39)</f>
        <v>3.2051282051282041E-2</v>
      </c>
      <c r="X389" s="336" t="s">
        <v>477</v>
      </c>
      <c r="Y389" s="352" t="s">
        <v>91</v>
      </c>
      <c r="Z389" s="105">
        <v>6345</v>
      </c>
      <c r="AA389" s="107">
        <v>330.46874999999989</v>
      </c>
      <c r="AB389" s="105" t="s">
        <v>472</v>
      </c>
    </row>
    <row r="390" spans="1:28">
      <c r="A390" s="105">
        <f t="shared" si="6"/>
        <v>389</v>
      </c>
      <c r="B390" s="107">
        <f>YEAR(Table6[[#This Row],[Date]])+IF(MONTH(Table6[[#This Row],[Date]])&gt;=4,1,0)</f>
        <v>2026</v>
      </c>
      <c r="C390" s="105">
        <f>YEAR(Table6[[#This Row],[Date]])</f>
        <v>2025</v>
      </c>
      <c r="D390" s="105" t="s">
        <v>465</v>
      </c>
      <c r="E390" s="119">
        <f>Table6[[#This Row],[Date]]-DAY(Table6[[#This Row],[Date]])+1</f>
        <v>45748</v>
      </c>
      <c r="F390" s="118">
        <v>45773</v>
      </c>
      <c r="G390" s="105" t="s">
        <v>103</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466</v>
      </c>
      <c r="L390" s="39" t="str">
        <f>IFERROR(VLOOKUP(Table6[[#This Row],[Error Code]],'Basic Data'!$T:$U,2,0),"")</f>
        <v>Manual Stop - Safety Related</v>
      </c>
      <c r="M390" s="346" t="s">
        <v>467</v>
      </c>
      <c r="N390" s="39" t="s">
        <v>468</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469</v>
      </c>
      <c r="V390" s="351" t="s">
        <v>470</v>
      </c>
      <c r="W390" s="338">
        <f>Table6[[#This Row],[Breakdown Time]]*(1/39)</f>
        <v>0.61495726495726499</v>
      </c>
      <c r="X390" s="336" t="s">
        <v>486</v>
      </c>
      <c r="Y390" s="352" t="s">
        <v>100</v>
      </c>
      <c r="Z390" s="105">
        <v>8839</v>
      </c>
      <c r="AA390" s="107">
        <v>8832.8618055555562</v>
      </c>
      <c r="AB390" s="105" t="s">
        <v>472</v>
      </c>
    </row>
    <row r="391" spans="1:28">
      <c r="A391" s="105">
        <f t="shared" si="6"/>
        <v>390</v>
      </c>
      <c r="B391" s="107">
        <f>YEAR(Table6[[#This Row],[Date]])+IF(MONTH(Table6[[#This Row],[Date]])&gt;=4,1,0)</f>
        <v>2026</v>
      </c>
      <c r="C391" s="105">
        <f>YEAR(Table6[[#This Row],[Date]])</f>
        <v>2025</v>
      </c>
      <c r="D391" s="105" t="s">
        <v>465</v>
      </c>
      <c r="E391" s="119">
        <f>Table6[[#This Row],[Date]]-DAY(Table6[[#This Row],[Date]])+1</f>
        <v>45748</v>
      </c>
      <c r="F391" s="118">
        <v>45773</v>
      </c>
      <c r="G391" s="105" t="s">
        <v>101</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466</v>
      </c>
      <c r="L391" s="39" t="str">
        <f>IFERROR(VLOOKUP(Table6[[#This Row],[Error Code]],'Basic Data'!$T:$U,2,0),"")</f>
        <v>Manual Stop - Safety Related</v>
      </c>
      <c r="M391" s="346" t="s">
        <v>467</v>
      </c>
      <c r="N391" s="39" t="s">
        <v>468</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469</v>
      </c>
      <c r="V391" s="351" t="s">
        <v>470</v>
      </c>
      <c r="W391" s="338">
        <f>Table6[[#This Row],[Breakdown Time]]*(1/39)</f>
        <v>0.61495726495726499</v>
      </c>
      <c r="X391" s="336" t="s">
        <v>486</v>
      </c>
      <c r="Y391" s="352" t="s">
        <v>100</v>
      </c>
      <c r="Z391" s="105">
        <v>8839</v>
      </c>
      <c r="AA391" s="107">
        <v>8832.8618055555562</v>
      </c>
      <c r="AB391" s="105" t="s">
        <v>472</v>
      </c>
    </row>
    <row r="392" spans="1:28">
      <c r="A392" s="105">
        <f t="shared" si="6"/>
        <v>391</v>
      </c>
      <c r="B392" s="107">
        <f>YEAR(Table6[[#This Row],[Date]])+IF(MONTH(Table6[[#This Row],[Date]])&gt;=4,1,0)</f>
        <v>2026</v>
      </c>
      <c r="C392" s="105">
        <f>YEAR(Table6[[#This Row],[Date]])</f>
        <v>2025</v>
      </c>
      <c r="D392" s="105" t="s">
        <v>465</v>
      </c>
      <c r="E392" s="119">
        <f>Table6[[#This Row],[Date]]-DAY(Table6[[#This Row],[Date]])+1</f>
        <v>45748</v>
      </c>
      <c r="F392" s="118">
        <v>45773</v>
      </c>
      <c r="G392" s="105" t="s">
        <v>79</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526</v>
      </c>
      <c r="L392" s="39" t="str">
        <f>IFERROR(VLOOKUP(Table6[[#This Row],[Error Code]],'Basic Data'!$T:$U,2,0),"")</f>
        <v>Manual Stop</v>
      </c>
      <c r="M392" s="346" t="s">
        <v>499</v>
      </c>
      <c r="N392" s="39" t="s">
        <v>189</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545</v>
      </c>
      <c r="V392" s="351" t="s">
        <v>476</v>
      </c>
      <c r="W392" s="338">
        <f>Table6[[#This Row],[Breakdown Time]]*(1/39)</f>
        <v>8.547008547008543E-2</v>
      </c>
      <c r="X392" s="336" t="s">
        <v>501</v>
      </c>
      <c r="Y392" s="352" t="s">
        <v>76</v>
      </c>
      <c r="Z392" s="105">
        <v>10932</v>
      </c>
      <c r="AA392" s="107">
        <v>1518.3333333333328</v>
      </c>
      <c r="AB392" s="105" t="s">
        <v>472</v>
      </c>
    </row>
    <row r="393" spans="1:28">
      <c r="A393" s="105">
        <f t="shared" si="6"/>
        <v>392</v>
      </c>
      <c r="B393" s="107">
        <f>YEAR(Table6[[#This Row],[Date]])+IF(MONTH(Table6[[#This Row],[Date]])&gt;=4,1,0)</f>
        <v>2026</v>
      </c>
      <c r="C393" s="105">
        <f>YEAR(Table6[[#This Row],[Date]])</f>
        <v>2025</v>
      </c>
      <c r="D393" s="105" t="s">
        <v>465</v>
      </c>
      <c r="E393" s="119">
        <f>Table6[[#This Row],[Date]]-DAY(Table6[[#This Row],[Date]])+1</f>
        <v>45748</v>
      </c>
      <c r="F393" s="118">
        <v>45773</v>
      </c>
      <c r="G393" s="105" t="s">
        <v>94</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466</v>
      </c>
      <c r="L393" s="39" t="str">
        <f>IFERROR(VLOOKUP(Table6[[#This Row],[Error Code]],'Basic Data'!$T:$U,2,0),"")</f>
        <v>Manual Stop - Safety Related</v>
      </c>
      <c r="M393" s="346" t="s">
        <v>467</v>
      </c>
      <c r="N393" s="39" t="s">
        <v>189</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506</v>
      </c>
      <c r="V393" s="351" t="s">
        <v>476</v>
      </c>
      <c r="W393" s="338">
        <f>Table6[[#This Row],[Breakdown Time]]*(1/39)</f>
        <v>7.4786324786324798E-2</v>
      </c>
      <c r="X393" s="336" t="s">
        <v>486</v>
      </c>
      <c r="Y393" s="352" t="s">
        <v>95</v>
      </c>
      <c r="Z393" s="105">
        <v>8563</v>
      </c>
      <c r="AA393" s="107">
        <v>1040.6423611111113</v>
      </c>
      <c r="AB393" s="105" t="s">
        <v>472</v>
      </c>
    </row>
    <row r="394" spans="1:28">
      <c r="A394" s="105">
        <f t="shared" si="6"/>
        <v>393</v>
      </c>
      <c r="B394" s="107">
        <f>YEAR(Table6[[#This Row],[Date]])+IF(MONTH(Table6[[#This Row],[Date]])&gt;=4,1,0)</f>
        <v>2026</v>
      </c>
      <c r="C394" s="105">
        <f>YEAR(Table6[[#This Row],[Date]])</f>
        <v>2025</v>
      </c>
      <c r="D394" s="105" t="s">
        <v>465</v>
      </c>
      <c r="E394" s="119">
        <f>Table6[[#This Row],[Date]]-DAY(Table6[[#This Row],[Date]])+1</f>
        <v>45748</v>
      </c>
      <c r="F394" s="118">
        <v>45773</v>
      </c>
      <c r="G394" s="105" t="s">
        <v>95</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473</v>
      </c>
      <c r="N394" s="39" t="s">
        <v>474</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478</v>
      </c>
      <c r="V394" s="351" t="s">
        <v>476</v>
      </c>
      <c r="W394" s="338">
        <f>Table6[[#This Row],[Breakdown Time]]*(1/39)</f>
        <v>2.1367521367521972E-3</v>
      </c>
      <c r="X394" s="336" t="s">
        <v>477</v>
      </c>
      <c r="Y394" s="352" t="s">
        <v>94</v>
      </c>
      <c r="Z394" s="105">
        <v>8363</v>
      </c>
      <c r="AA394" s="107">
        <v>29.038194444445267</v>
      </c>
      <c r="AB394" s="105" t="s">
        <v>472</v>
      </c>
    </row>
    <row r="395" spans="1:28">
      <c r="A395" s="105">
        <f t="shared" si="6"/>
        <v>394</v>
      </c>
      <c r="B395" s="107">
        <f>YEAR(Table6[[#This Row],[Date]])+IF(MONTH(Table6[[#This Row],[Date]])&gt;=4,1,0)</f>
        <v>2026</v>
      </c>
      <c r="C395" s="105">
        <f>YEAR(Table6[[#This Row],[Date]])</f>
        <v>2025</v>
      </c>
      <c r="D395" s="105" t="s">
        <v>465</v>
      </c>
      <c r="E395" s="119">
        <f>Table6[[#This Row],[Date]]-DAY(Table6[[#This Row],[Date]])+1</f>
        <v>45748</v>
      </c>
      <c r="F395" s="118">
        <v>45773</v>
      </c>
      <c r="G395" s="105" t="s">
        <v>95</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473</v>
      </c>
      <c r="N395" s="39" t="s">
        <v>474</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478</v>
      </c>
      <c r="V395" s="351" t="s">
        <v>476</v>
      </c>
      <c r="W395" s="338">
        <f>Table6[[#This Row],[Breakdown Time]]*(1/39)</f>
        <v>2.1367521367521292E-3</v>
      </c>
      <c r="X395" s="336" t="s">
        <v>477</v>
      </c>
      <c r="Y395" s="352" t="s">
        <v>94</v>
      </c>
      <c r="Z395" s="105">
        <v>8363</v>
      </c>
      <c r="AA395" s="107">
        <v>29.03819444444434</v>
      </c>
      <c r="AB395" s="105" t="s">
        <v>472</v>
      </c>
    </row>
    <row r="396" spans="1:28">
      <c r="A396" s="105">
        <f t="shared" si="6"/>
        <v>395</v>
      </c>
      <c r="B396" s="107">
        <f>YEAR(Table6[[#This Row],[Date]])+IF(MONTH(Table6[[#This Row],[Date]])&gt;=4,1,0)</f>
        <v>2026</v>
      </c>
      <c r="C396" s="105">
        <f>YEAR(Table6[[#This Row],[Date]])</f>
        <v>2025</v>
      </c>
      <c r="D396" s="105" t="s">
        <v>465</v>
      </c>
      <c r="E396" s="119">
        <f>Table6[[#This Row],[Date]]-DAY(Table6[[#This Row],[Date]])+1</f>
        <v>45748</v>
      </c>
      <c r="F396" s="118">
        <v>45773</v>
      </c>
      <c r="G396" s="105" t="s">
        <v>97</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552</v>
      </c>
      <c r="L396" s="39" t="str">
        <f>IFERROR(VLOOKUP(Table6[[#This Row],[Error Code]],'Basic Data'!$T:$U,2,0),"")</f>
        <v>Manual Stop - Preventive Maintenance Activity</v>
      </c>
      <c r="M396" s="346" t="s">
        <v>553</v>
      </c>
      <c r="N396" s="39" t="s">
        <v>189</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554</v>
      </c>
      <c r="V396" s="351" t="s">
        <v>476</v>
      </c>
      <c r="W396" s="338">
        <f>Table6[[#This Row],[Breakdown Time]]*(1/39)</f>
        <v>0.19017094017094016</v>
      </c>
      <c r="X396" s="336" t="s">
        <v>555</v>
      </c>
      <c r="Y396" s="352" t="s">
        <v>99</v>
      </c>
      <c r="Z396" s="105">
        <v>8858</v>
      </c>
      <c r="AA396" s="107">
        <v>2737.3680555555557</v>
      </c>
      <c r="AB396" s="105" t="s">
        <v>472</v>
      </c>
    </row>
    <row r="397" spans="1:28">
      <c r="A397" s="105">
        <f t="shared" si="6"/>
        <v>396</v>
      </c>
      <c r="B397" s="107">
        <f>YEAR(Table6[[#This Row],[Date]])+IF(MONTH(Table6[[#This Row],[Date]])&gt;=4,1,0)</f>
        <v>2026</v>
      </c>
      <c r="C397" s="105">
        <f>YEAR(Table6[[#This Row],[Date]])</f>
        <v>2025</v>
      </c>
      <c r="D397" s="105" t="s">
        <v>465</v>
      </c>
      <c r="E397" s="119">
        <f>Table6[[#This Row],[Date]]-DAY(Table6[[#This Row],[Date]])+1</f>
        <v>45748</v>
      </c>
      <c r="F397" s="118">
        <v>45773</v>
      </c>
      <c r="G397" s="105" t="s">
        <v>108</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473</v>
      </c>
      <c r="N397" s="39" t="s">
        <v>474</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484</v>
      </c>
      <c r="V397" s="351" t="s">
        <v>476</v>
      </c>
      <c r="W397" s="338">
        <f>Table6[[#This Row],[Breakdown Time]]*(1/39)</f>
        <v>1.6666666666666607E-2</v>
      </c>
      <c r="X397" s="336" t="s">
        <v>477</v>
      </c>
      <c r="Y397" s="352" t="s">
        <v>107</v>
      </c>
      <c r="Z397" s="105">
        <v>9344</v>
      </c>
      <c r="AA397" s="107">
        <v>253.06666666666575</v>
      </c>
      <c r="AB397" s="105" t="s">
        <v>472</v>
      </c>
    </row>
    <row r="398" spans="1:28">
      <c r="A398" s="105">
        <f t="shared" si="6"/>
        <v>397</v>
      </c>
      <c r="B398" s="107">
        <f>YEAR(Table6[[#This Row],[Date]])+IF(MONTH(Table6[[#This Row],[Date]])&gt;=4,1,0)</f>
        <v>2026</v>
      </c>
      <c r="C398" s="105">
        <f>YEAR(Table6[[#This Row],[Date]])</f>
        <v>2025</v>
      </c>
      <c r="D398" s="105" t="s">
        <v>465</v>
      </c>
      <c r="E398" s="119">
        <f>Table6[[#This Row],[Date]]-DAY(Table6[[#This Row],[Date]])+1</f>
        <v>45748</v>
      </c>
      <c r="F398" s="118">
        <v>45774</v>
      </c>
      <c r="G398" s="105" t="s">
        <v>103</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466</v>
      </c>
      <c r="L398" s="39" t="str">
        <f>IFERROR(VLOOKUP(Table6[[#This Row],[Error Code]],'Basic Data'!$T:$U,2,0),"")</f>
        <v>Manual Stop - Safety Related</v>
      </c>
      <c r="M398" s="346" t="s">
        <v>467</v>
      </c>
      <c r="N398" s="39" t="s">
        <v>468</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469</v>
      </c>
      <c r="V398" s="351" t="s">
        <v>470</v>
      </c>
      <c r="W398" s="338">
        <f>Table6[[#This Row],[Breakdown Time]]*(1/39)</f>
        <v>0.61495726495726499</v>
      </c>
      <c r="X398" s="336" t="s">
        <v>486</v>
      </c>
      <c r="Y398" s="352" t="s">
        <v>100</v>
      </c>
      <c r="Z398" s="105">
        <v>4867</v>
      </c>
      <c r="AA398" s="107">
        <v>4863.6201388888885</v>
      </c>
      <c r="AB398" s="105" t="s">
        <v>472</v>
      </c>
    </row>
    <row r="399" spans="1:28">
      <c r="A399" s="105">
        <f t="shared" si="6"/>
        <v>398</v>
      </c>
      <c r="B399" s="107">
        <f>YEAR(Table6[[#This Row],[Date]])+IF(MONTH(Table6[[#This Row],[Date]])&gt;=4,1,0)</f>
        <v>2026</v>
      </c>
      <c r="C399" s="105">
        <f>YEAR(Table6[[#This Row],[Date]])</f>
        <v>2025</v>
      </c>
      <c r="D399" s="105" t="s">
        <v>465</v>
      </c>
      <c r="E399" s="119">
        <f>Table6[[#This Row],[Date]]-DAY(Table6[[#This Row],[Date]])+1</f>
        <v>45748</v>
      </c>
      <c r="F399" s="118">
        <v>45774</v>
      </c>
      <c r="G399" s="105" t="s">
        <v>101</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466</v>
      </c>
      <c r="L399" s="39" t="str">
        <f>IFERROR(VLOOKUP(Table6[[#This Row],[Error Code]],'Basic Data'!$T:$U,2,0),"")</f>
        <v>Manual Stop - Safety Related</v>
      </c>
      <c r="M399" s="346" t="s">
        <v>467</v>
      </c>
      <c r="N399" s="39" t="s">
        <v>468</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469</v>
      </c>
      <c r="V399" s="351" t="s">
        <v>470</v>
      </c>
      <c r="W399" s="338">
        <f>Table6[[#This Row],[Breakdown Time]]*(1/39)</f>
        <v>0.61495726495726499</v>
      </c>
      <c r="X399" s="336" t="s">
        <v>486</v>
      </c>
      <c r="Y399" s="352" t="s">
        <v>100</v>
      </c>
      <c r="Z399" s="105">
        <v>4867</v>
      </c>
      <c r="AA399" s="107">
        <v>4863.6201388888885</v>
      </c>
      <c r="AB399" s="105" t="s">
        <v>472</v>
      </c>
    </row>
    <row r="400" spans="1:28">
      <c r="A400" s="105">
        <f t="shared" si="6"/>
        <v>399</v>
      </c>
      <c r="B400" s="107">
        <f>YEAR(Table6[[#This Row],[Date]])+IF(MONTH(Table6[[#This Row],[Date]])&gt;=4,1,0)</f>
        <v>2026</v>
      </c>
      <c r="C400" s="105">
        <f>YEAR(Table6[[#This Row],[Date]])</f>
        <v>2025</v>
      </c>
      <c r="D400" s="105" t="s">
        <v>465</v>
      </c>
      <c r="E400" s="119">
        <f>Table6[[#This Row],[Date]]-DAY(Table6[[#This Row],[Date]])+1</f>
        <v>45748</v>
      </c>
      <c r="F400" s="118">
        <v>45774</v>
      </c>
      <c r="G400" s="105" t="s">
        <v>77</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473</v>
      </c>
      <c r="N400" s="39" t="s">
        <v>474</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475</v>
      </c>
      <c r="V400" s="351" t="s">
        <v>476</v>
      </c>
      <c r="W400" s="338">
        <f>Table6[[#This Row],[Breakdown Time]]*(1/39)</f>
        <v>1.4529914529914546E-2</v>
      </c>
      <c r="X400" s="336" t="s">
        <v>477</v>
      </c>
      <c r="Y400" s="352" t="s">
        <v>76</v>
      </c>
      <c r="Z400" s="105">
        <v>5812</v>
      </c>
      <c r="AA400" s="107">
        <v>137.22777777777793</v>
      </c>
      <c r="AB400" s="105" t="s">
        <v>472</v>
      </c>
    </row>
    <row r="401" spans="1:28">
      <c r="A401" s="105">
        <f t="shared" si="6"/>
        <v>400</v>
      </c>
      <c r="B401" s="107">
        <f>YEAR(Table6[[#This Row],[Date]])+IF(MONTH(Table6[[#This Row],[Date]])&gt;=4,1,0)</f>
        <v>2026</v>
      </c>
      <c r="C401" s="105">
        <f>YEAR(Table6[[#This Row],[Date]])</f>
        <v>2025</v>
      </c>
      <c r="D401" s="105" t="s">
        <v>465</v>
      </c>
      <c r="E401" s="119">
        <f>Table6[[#This Row],[Date]]-DAY(Table6[[#This Row],[Date]])+1</f>
        <v>45748</v>
      </c>
      <c r="F401" s="118">
        <v>45774</v>
      </c>
      <c r="G401" s="105" t="s">
        <v>80</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473</v>
      </c>
      <c r="N401" s="39" t="s">
        <v>474</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556</v>
      </c>
      <c r="V401" s="351" t="s">
        <v>476</v>
      </c>
      <c r="W401" s="338">
        <f>Table6[[#This Row],[Breakdown Time]]*(1/39)</f>
        <v>2.0512820512820575E-2</v>
      </c>
      <c r="X401" s="336" t="s">
        <v>477</v>
      </c>
      <c r="Y401" s="352" t="s">
        <v>74</v>
      </c>
      <c r="Z401" s="105">
        <v>5801</v>
      </c>
      <c r="AA401" s="107">
        <v>193.36666666666727</v>
      </c>
      <c r="AB401" s="105" t="s">
        <v>472</v>
      </c>
    </row>
    <row r="402" spans="1:28">
      <c r="A402" s="105">
        <f t="shared" si="6"/>
        <v>401</v>
      </c>
      <c r="B402" s="107">
        <f>YEAR(Table6[[#This Row],[Date]])+IF(MONTH(Table6[[#This Row],[Date]])&gt;=4,1,0)</f>
        <v>2026</v>
      </c>
      <c r="C402" s="105">
        <f>YEAR(Table6[[#This Row],[Date]])</f>
        <v>2025</v>
      </c>
      <c r="D402" s="105" t="s">
        <v>465</v>
      </c>
      <c r="E402" s="119">
        <f>Table6[[#This Row],[Date]]-DAY(Table6[[#This Row],[Date]])+1</f>
        <v>45748</v>
      </c>
      <c r="F402" s="118">
        <v>45774</v>
      </c>
      <c r="G402" s="105" t="s">
        <v>87</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473</v>
      </c>
      <c r="N402" s="39" t="s">
        <v>474</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557</v>
      </c>
      <c r="V402" s="351" t="s">
        <v>476</v>
      </c>
      <c r="W402" s="338">
        <f>Table6[[#This Row],[Breakdown Time]]*(1/39)</f>
        <v>3.8461538461538464E-2</v>
      </c>
      <c r="X402" s="336" t="s">
        <v>477</v>
      </c>
      <c r="Y402" s="352" t="s">
        <v>88</v>
      </c>
      <c r="Z402" s="105">
        <v>5642</v>
      </c>
      <c r="AA402" s="107">
        <v>352.625</v>
      </c>
      <c r="AB402" s="105" t="s">
        <v>472</v>
      </c>
    </row>
    <row r="403" spans="1:28">
      <c r="A403" s="105">
        <f t="shared" si="6"/>
        <v>402</v>
      </c>
      <c r="B403" s="107">
        <f>YEAR(Table6[[#This Row],[Date]])+IF(MONTH(Table6[[#This Row],[Date]])&gt;=4,1,0)</f>
        <v>2026</v>
      </c>
      <c r="C403" s="105">
        <f>YEAR(Table6[[#This Row],[Date]])</f>
        <v>2025</v>
      </c>
      <c r="D403" s="105" t="s">
        <v>465</v>
      </c>
      <c r="E403" s="119">
        <f>Table6[[#This Row],[Date]]-DAY(Table6[[#This Row],[Date]])+1</f>
        <v>45748</v>
      </c>
      <c r="F403" s="118">
        <v>45774</v>
      </c>
      <c r="G403" s="105" t="s">
        <v>99</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552</v>
      </c>
      <c r="L403" s="39" t="str">
        <f>IFERROR(VLOOKUP(Table6[[#This Row],[Error Code]],'Basic Data'!$T:$U,2,0),"")</f>
        <v>Manual Stop - Preventive Maintenance Activity</v>
      </c>
      <c r="M403" s="346" t="s">
        <v>553</v>
      </c>
      <c r="N403" s="39" t="s">
        <v>189</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558</v>
      </c>
      <c r="V403" s="351" t="s">
        <v>476</v>
      </c>
      <c r="W403" s="338">
        <f>Table6[[#This Row],[Breakdown Time]]*(1/39)</f>
        <v>0.16837606837606839</v>
      </c>
      <c r="X403" s="336" t="s">
        <v>555</v>
      </c>
      <c r="Y403" s="352" t="s">
        <v>97</v>
      </c>
      <c r="Z403" s="105">
        <v>4854</v>
      </c>
      <c r="AA403" s="107">
        <v>1328.1083333333336</v>
      </c>
      <c r="AB403" s="105" t="s">
        <v>472</v>
      </c>
    </row>
    <row r="404" spans="1:28">
      <c r="A404" s="105">
        <f t="shared" si="6"/>
        <v>403</v>
      </c>
      <c r="B404" s="107">
        <f>YEAR(Table6[[#This Row],[Date]])+IF(MONTH(Table6[[#This Row],[Date]])&gt;=4,1,0)</f>
        <v>2026</v>
      </c>
      <c r="C404" s="105">
        <f>YEAR(Table6[[#This Row],[Date]])</f>
        <v>2025</v>
      </c>
      <c r="D404" s="105" t="s">
        <v>465</v>
      </c>
      <c r="E404" s="119">
        <f>Table6[[#This Row],[Date]]-DAY(Table6[[#This Row],[Date]])+1</f>
        <v>45748</v>
      </c>
      <c r="F404" s="118">
        <v>45774</v>
      </c>
      <c r="G404" s="105" t="s">
        <v>108</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473</v>
      </c>
      <c r="N404" s="39" t="s">
        <v>474</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475</v>
      </c>
      <c r="V404" s="351" t="s">
        <v>476</v>
      </c>
      <c r="W404" s="338">
        <f>Table6[[#This Row],[Breakdown Time]]*(1/39)</f>
        <v>2.4786324786324799E-2</v>
      </c>
      <c r="X404" s="336" t="s">
        <v>477</v>
      </c>
      <c r="Y404" s="352" t="s">
        <v>107</v>
      </c>
      <c r="Z404" s="105">
        <v>4556</v>
      </c>
      <c r="AA404" s="107">
        <v>183.50555555555567</v>
      </c>
      <c r="AB404" s="105" t="s">
        <v>472</v>
      </c>
    </row>
    <row r="405" spans="1:28">
      <c r="A405" s="105">
        <f t="shared" si="6"/>
        <v>404</v>
      </c>
      <c r="B405" s="107">
        <f>YEAR(Table6[[#This Row],[Date]])+IF(MONTH(Table6[[#This Row],[Date]])&gt;=4,1,0)</f>
        <v>2026</v>
      </c>
      <c r="C405" s="105">
        <f>YEAR(Table6[[#This Row],[Date]])</f>
        <v>2025</v>
      </c>
      <c r="D405" s="105" t="s">
        <v>465</v>
      </c>
      <c r="E405" s="119">
        <f>Table6[[#This Row],[Date]]-DAY(Table6[[#This Row],[Date]])+1</f>
        <v>45748</v>
      </c>
      <c r="F405" s="118">
        <v>45774</v>
      </c>
      <c r="G405" s="105" t="s">
        <v>112</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466</v>
      </c>
      <c r="L405" s="39" t="str">
        <f>IFERROR(VLOOKUP(Table6[[#This Row],[Error Code]],'Basic Data'!$T:$U,2,0),"")</f>
        <v>Manual Stop - Safety Related</v>
      </c>
      <c r="M405" s="346" t="s">
        <v>467</v>
      </c>
      <c r="N405" s="39" t="s">
        <v>189</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506</v>
      </c>
      <c r="V405" s="351" t="s">
        <v>476</v>
      </c>
      <c r="W405" s="338">
        <f>Table6[[#This Row],[Breakdown Time]]*(1/39)</f>
        <v>8.461538461538462E-2</v>
      </c>
      <c r="X405" s="336" t="s">
        <v>486</v>
      </c>
      <c r="Y405" s="352" t="s">
        <v>111</v>
      </c>
      <c r="Z405" s="105">
        <v>4567</v>
      </c>
      <c r="AA405" s="107">
        <v>627.96249999999998</v>
      </c>
      <c r="AB405" s="105" t="s">
        <v>472</v>
      </c>
    </row>
    <row r="406" spans="1:28">
      <c r="A406" s="105">
        <f t="shared" si="6"/>
        <v>405</v>
      </c>
      <c r="B406" s="107">
        <f>YEAR(Table6[[#This Row],[Date]])+IF(MONTH(Table6[[#This Row],[Date]])&gt;=4,1,0)</f>
        <v>2026</v>
      </c>
      <c r="C406" s="105">
        <f>YEAR(Table6[[#This Row],[Date]])</f>
        <v>2025</v>
      </c>
      <c r="D406" s="105" t="s">
        <v>465</v>
      </c>
      <c r="E406" s="119">
        <f>Table6[[#This Row],[Date]]-DAY(Table6[[#This Row],[Date]])+1</f>
        <v>45748</v>
      </c>
      <c r="F406" s="118">
        <v>45774</v>
      </c>
      <c r="G406" s="105" t="s">
        <v>95</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473</v>
      </c>
      <c r="N406" s="39" t="s">
        <v>474</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484</v>
      </c>
      <c r="V406" s="351" t="s">
        <v>476</v>
      </c>
      <c r="W406" s="338">
        <f>Table6[[#This Row],[Breakdown Time]]*(1/39)</f>
        <v>4.4017094017093993E-2</v>
      </c>
      <c r="X406" s="336" t="s">
        <v>477</v>
      </c>
      <c r="Y406" s="352" t="s">
        <v>94</v>
      </c>
      <c r="Z406" s="105">
        <v>4845</v>
      </c>
      <c r="AA406" s="107">
        <v>346.5520833333332</v>
      </c>
      <c r="AB406" s="105" t="s">
        <v>472</v>
      </c>
    </row>
    <row r="407" spans="1:28">
      <c r="A407" s="105">
        <f t="shared" si="6"/>
        <v>406</v>
      </c>
      <c r="B407" s="107">
        <f>YEAR(Table6[[#This Row],[Date]])+IF(MONTH(Table6[[#This Row],[Date]])&gt;=4,1,0)</f>
        <v>2026</v>
      </c>
      <c r="C407" s="105">
        <f>YEAR(Table6[[#This Row],[Date]])</f>
        <v>2025</v>
      </c>
      <c r="D407" s="105" t="s">
        <v>465</v>
      </c>
      <c r="E407" s="119">
        <f>Table6[[#This Row],[Date]]-DAY(Table6[[#This Row],[Date]])+1</f>
        <v>45748</v>
      </c>
      <c r="F407" s="118">
        <v>45775</v>
      </c>
      <c r="G407" s="105" t="s">
        <v>103</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466</v>
      </c>
      <c r="L407" s="39" t="str">
        <f>IFERROR(VLOOKUP(Table6[[#This Row],[Error Code]],'Basic Data'!$T:$U,2,0),"")</f>
        <v>Manual Stop - Safety Related</v>
      </c>
      <c r="M407" s="346" t="s">
        <v>467</v>
      </c>
      <c r="N407" s="39" t="s">
        <v>468</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469</v>
      </c>
      <c r="V407" s="351" t="s">
        <v>470</v>
      </c>
      <c r="W407" s="338">
        <f>Table6[[#This Row],[Breakdown Time]]*(1/39)</f>
        <v>0.61495726495726499</v>
      </c>
      <c r="X407" s="336" t="s">
        <v>486</v>
      </c>
      <c r="Y407" s="352" t="s">
        <v>100</v>
      </c>
      <c r="Z407" s="105">
        <v>6654</v>
      </c>
      <c r="AA407" s="107">
        <v>6649.3791666666666</v>
      </c>
      <c r="AB407" s="105" t="s">
        <v>472</v>
      </c>
    </row>
    <row r="408" spans="1:28">
      <c r="A408" s="105">
        <f t="shared" si="6"/>
        <v>407</v>
      </c>
      <c r="B408" s="107">
        <f>YEAR(Table6[[#This Row],[Date]])+IF(MONTH(Table6[[#This Row],[Date]])&gt;=4,1,0)</f>
        <v>2026</v>
      </c>
      <c r="C408" s="105">
        <f>YEAR(Table6[[#This Row],[Date]])</f>
        <v>2025</v>
      </c>
      <c r="D408" s="105" t="s">
        <v>465</v>
      </c>
      <c r="E408" s="119">
        <f>Table6[[#This Row],[Date]]-DAY(Table6[[#This Row],[Date]])+1</f>
        <v>45748</v>
      </c>
      <c r="F408" s="118">
        <v>45775</v>
      </c>
      <c r="G408" s="105" t="s">
        <v>101</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466</v>
      </c>
      <c r="L408" s="39" t="str">
        <f>IFERROR(VLOOKUP(Table6[[#This Row],[Error Code]],'Basic Data'!$T:$U,2,0),"")</f>
        <v>Manual Stop - Safety Related</v>
      </c>
      <c r="M408" s="346" t="s">
        <v>467</v>
      </c>
      <c r="N408" s="39" t="s">
        <v>468</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469</v>
      </c>
      <c r="V408" s="351" t="s">
        <v>470</v>
      </c>
      <c r="W408" s="338">
        <f>Table6[[#This Row],[Breakdown Time]]*(1/39)</f>
        <v>0.61495726495726499</v>
      </c>
      <c r="X408" s="336" t="s">
        <v>486</v>
      </c>
      <c r="Y408" s="352" t="s">
        <v>100</v>
      </c>
      <c r="Z408" s="105">
        <v>6654</v>
      </c>
      <c r="AA408" s="107">
        <v>6649.3791666666666</v>
      </c>
      <c r="AB408" s="105" t="s">
        <v>472</v>
      </c>
    </row>
    <row r="409" spans="1:28">
      <c r="A409" s="105">
        <f t="shared" si="6"/>
        <v>408</v>
      </c>
      <c r="B409" s="107">
        <f>YEAR(Table6[[#This Row],[Date]])+IF(MONTH(Table6[[#This Row],[Date]])&gt;=4,1,0)</f>
        <v>2026</v>
      </c>
      <c r="C409" s="105">
        <f>YEAR(Table6[[#This Row],[Date]])</f>
        <v>2025</v>
      </c>
      <c r="D409" s="105" t="s">
        <v>465</v>
      </c>
      <c r="E409" s="119">
        <f>Table6[[#This Row],[Date]]-DAY(Table6[[#This Row],[Date]])+1</f>
        <v>45748</v>
      </c>
      <c r="F409" s="118">
        <v>45775</v>
      </c>
      <c r="G409" s="105" t="s">
        <v>77</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466</v>
      </c>
      <c r="L409" s="39" t="str">
        <f>IFERROR(VLOOKUP(Table6[[#This Row],[Error Code]],'Basic Data'!$T:$U,2,0),"")</f>
        <v>Manual Stop - Safety Related</v>
      </c>
      <c r="M409" s="346" t="s">
        <v>467</v>
      </c>
      <c r="N409" s="39" t="s">
        <v>189</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506</v>
      </c>
      <c r="V409" s="351" t="s">
        <v>476</v>
      </c>
      <c r="W409" s="338">
        <f>Table6[[#This Row],[Breakdown Time]]*(1/39)</f>
        <v>8.6752136752136749E-2</v>
      </c>
      <c r="X409" s="336" t="s">
        <v>486</v>
      </c>
      <c r="Y409" s="352" t="s">
        <v>76</v>
      </c>
      <c r="Z409" s="105">
        <v>8051</v>
      </c>
      <c r="AA409" s="107">
        <v>1134.9673611111111</v>
      </c>
      <c r="AB409" s="105" t="s">
        <v>472</v>
      </c>
    </row>
    <row r="410" spans="1:28">
      <c r="A410" s="105">
        <f t="shared" si="6"/>
        <v>409</v>
      </c>
      <c r="B410" s="107">
        <f>YEAR(Table6[[#This Row],[Date]])+IF(MONTH(Table6[[#This Row],[Date]])&gt;=4,1,0)</f>
        <v>2026</v>
      </c>
      <c r="C410" s="105">
        <f>YEAR(Table6[[#This Row],[Date]])</f>
        <v>2025</v>
      </c>
      <c r="D410" s="105" t="s">
        <v>465</v>
      </c>
      <c r="E410" s="119">
        <f>Table6[[#This Row],[Date]]-DAY(Table6[[#This Row],[Date]])+1</f>
        <v>45748</v>
      </c>
      <c r="F410" s="118">
        <v>45775</v>
      </c>
      <c r="G410" s="105" t="s">
        <v>93</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473</v>
      </c>
      <c r="N410" s="39" t="s">
        <v>474</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559</v>
      </c>
      <c r="V410" s="351" t="s">
        <v>476</v>
      </c>
      <c r="W410" s="338">
        <f>Table6[[#This Row],[Breakdown Time]]*(1/39)</f>
        <v>9.1880341880341887E-2</v>
      </c>
      <c r="X410" s="336" t="s">
        <v>477</v>
      </c>
      <c r="Y410" s="352" t="s">
        <v>92</v>
      </c>
      <c r="Z410" s="105">
        <v>7853</v>
      </c>
      <c r="AA410" s="107">
        <v>1172.4965277777778</v>
      </c>
      <c r="AB410" s="105" t="s">
        <v>472</v>
      </c>
    </row>
    <row r="411" spans="1:28">
      <c r="A411" s="105">
        <f t="shared" si="6"/>
        <v>410</v>
      </c>
      <c r="B411" s="107">
        <f>YEAR(Table6[[#This Row],[Date]])+IF(MONTH(Table6[[#This Row],[Date]])&gt;=4,1,0)</f>
        <v>2026</v>
      </c>
      <c r="C411" s="105">
        <f>YEAR(Table6[[#This Row],[Date]])</f>
        <v>2025</v>
      </c>
      <c r="D411" s="105" t="s">
        <v>465</v>
      </c>
      <c r="E411" s="119">
        <f>Table6[[#This Row],[Date]]-DAY(Table6[[#This Row],[Date]])+1</f>
        <v>45748</v>
      </c>
      <c r="F411" s="118">
        <v>45775</v>
      </c>
      <c r="G411" s="105" t="s">
        <v>102</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552</v>
      </c>
      <c r="L411" s="39" t="str">
        <f>IFERROR(VLOOKUP(Table6[[#This Row],[Error Code]],'Basic Data'!$T:$U,2,0),"")</f>
        <v>Manual Stop - Preventive Maintenance Activity</v>
      </c>
      <c r="M411" s="346" t="s">
        <v>553</v>
      </c>
      <c r="N411" s="39" t="s">
        <v>189</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558</v>
      </c>
      <c r="V411" s="351" t="s">
        <v>476</v>
      </c>
      <c r="W411" s="338">
        <f>Table6[[#This Row],[Breakdown Time]]*(1/39)</f>
        <v>0.1495726495726496</v>
      </c>
      <c r="X411" s="336" t="s">
        <v>555</v>
      </c>
      <c r="Y411" s="352" t="s">
        <v>100</v>
      </c>
      <c r="Z411" s="105">
        <v>6654</v>
      </c>
      <c r="AA411" s="107">
        <v>1617.2916666666667</v>
      </c>
      <c r="AB411" s="105" t="s">
        <v>472</v>
      </c>
    </row>
    <row r="412" spans="1:28">
      <c r="A412" s="105">
        <f t="shared" si="6"/>
        <v>411</v>
      </c>
      <c r="B412" s="107">
        <f>YEAR(Table6[[#This Row],[Date]])+IF(MONTH(Table6[[#This Row],[Date]])&gt;=4,1,0)</f>
        <v>2026</v>
      </c>
      <c r="C412" s="105">
        <f>YEAR(Table6[[#This Row],[Date]])</f>
        <v>2025</v>
      </c>
      <c r="D412" s="105" t="s">
        <v>465</v>
      </c>
      <c r="E412" s="119">
        <f>Table6[[#This Row],[Date]]-DAY(Table6[[#This Row],[Date]])+1</f>
        <v>45748</v>
      </c>
      <c r="F412" s="118">
        <v>45775</v>
      </c>
      <c r="G412" s="105" t="s">
        <v>108</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473</v>
      </c>
      <c r="N412" s="39" t="s">
        <v>474</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475</v>
      </c>
      <c r="V412" s="351" t="s">
        <v>476</v>
      </c>
      <c r="W412" s="338">
        <f>Table6[[#This Row],[Breakdown Time]]*(1/39)</f>
        <v>1.6239316239316251E-2</v>
      </c>
      <c r="X412" s="336" t="s">
        <v>477</v>
      </c>
      <c r="Y412" s="352" t="s">
        <v>107</v>
      </c>
      <c r="Z412" s="105">
        <v>7062</v>
      </c>
      <c r="AA412" s="107">
        <v>186.35833333333346</v>
      </c>
      <c r="AB412" s="105" t="s">
        <v>472</v>
      </c>
    </row>
    <row r="413" spans="1:28">
      <c r="A413" s="105">
        <f t="shared" si="6"/>
        <v>412</v>
      </c>
      <c r="B413" s="107">
        <f>YEAR(Table6[[#This Row],[Date]])+IF(MONTH(Table6[[#This Row],[Date]])&gt;=4,1,0)</f>
        <v>2026</v>
      </c>
      <c r="C413" s="105">
        <f>YEAR(Table6[[#This Row],[Date]])</f>
        <v>2025</v>
      </c>
      <c r="D413" s="105" t="s">
        <v>465</v>
      </c>
      <c r="E413" s="119">
        <f>Table6[[#This Row],[Date]]-DAY(Table6[[#This Row],[Date]])+1</f>
        <v>45748</v>
      </c>
      <c r="F413" s="118">
        <v>45776</v>
      </c>
      <c r="G413" s="105" t="s">
        <v>103</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466</v>
      </c>
      <c r="L413" s="39" t="str">
        <f>IFERROR(VLOOKUP(Table6[[#This Row],[Error Code]],'Basic Data'!$T:$U,2,0),"")</f>
        <v>Manual Stop - Safety Related</v>
      </c>
      <c r="M413" s="346" t="s">
        <v>467</v>
      </c>
      <c r="N413" s="39" t="s">
        <v>468</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469</v>
      </c>
      <c r="V413" s="351" t="s">
        <v>470</v>
      </c>
      <c r="W413" s="338">
        <f>Table6[[#This Row],[Breakdown Time]]*(1/39)</f>
        <v>0.61495726495726499</v>
      </c>
      <c r="X413" s="336" t="s">
        <v>486</v>
      </c>
      <c r="Y413" s="352" t="s">
        <v>100</v>
      </c>
      <c r="Z413" s="105">
        <v>5567</v>
      </c>
      <c r="AA413" s="107">
        <v>5563.1340277777781</v>
      </c>
      <c r="AB413" s="105" t="s">
        <v>472</v>
      </c>
    </row>
    <row r="414" spans="1:28">
      <c r="A414" s="105">
        <f t="shared" si="6"/>
        <v>413</v>
      </c>
      <c r="B414" s="107">
        <f>YEAR(Table6[[#This Row],[Date]])+IF(MONTH(Table6[[#This Row],[Date]])&gt;=4,1,0)</f>
        <v>2026</v>
      </c>
      <c r="C414" s="105">
        <f>YEAR(Table6[[#This Row],[Date]])</f>
        <v>2025</v>
      </c>
      <c r="D414" s="105" t="s">
        <v>465</v>
      </c>
      <c r="E414" s="119">
        <f>Table6[[#This Row],[Date]]-DAY(Table6[[#This Row],[Date]])+1</f>
        <v>45748</v>
      </c>
      <c r="F414" s="118">
        <v>45776</v>
      </c>
      <c r="G414" s="105" t="s">
        <v>101</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466</v>
      </c>
      <c r="L414" s="39" t="str">
        <f>IFERROR(VLOOKUP(Table6[[#This Row],[Error Code]],'Basic Data'!$T:$U,2,0),"")</f>
        <v>Manual Stop - Safety Related</v>
      </c>
      <c r="M414" s="346" t="s">
        <v>467</v>
      </c>
      <c r="N414" s="39" t="s">
        <v>468</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469</v>
      </c>
      <c r="V414" s="351" t="s">
        <v>470</v>
      </c>
      <c r="W414" s="338">
        <f>Table6[[#This Row],[Breakdown Time]]*(1/39)</f>
        <v>0.61495726495726499</v>
      </c>
      <c r="X414" s="336" t="s">
        <v>486</v>
      </c>
      <c r="Y414" s="352" t="s">
        <v>100</v>
      </c>
      <c r="Z414" s="105">
        <v>5567</v>
      </c>
      <c r="AA414" s="107">
        <v>5563.1340277777781</v>
      </c>
      <c r="AB414" s="105" t="s">
        <v>472</v>
      </c>
    </row>
    <row r="415" spans="1:28">
      <c r="A415" s="105">
        <f t="shared" si="6"/>
        <v>414</v>
      </c>
      <c r="B415" s="107">
        <f>YEAR(Table6[[#This Row],[Date]])+IF(MONTH(Table6[[#This Row],[Date]])&gt;=4,1,0)</f>
        <v>2026</v>
      </c>
      <c r="C415" s="105">
        <f>YEAR(Table6[[#This Row],[Date]])</f>
        <v>2025</v>
      </c>
      <c r="D415" s="105" t="s">
        <v>465</v>
      </c>
      <c r="E415" s="119">
        <f>Table6[[#This Row],[Date]]-DAY(Table6[[#This Row],[Date]])+1</f>
        <v>45748</v>
      </c>
      <c r="F415" s="118">
        <v>45776</v>
      </c>
      <c r="G415" s="105" t="s">
        <v>80</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473</v>
      </c>
      <c r="N415" s="39" t="s">
        <v>474</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560</v>
      </c>
      <c r="V415" s="351" t="s">
        <v>476</v>
      </c>
      <c r="W415" s="338">
        <f>Table6[[#This Row],[Breakdown Time]]*(1/39)</f>
        <v>2.9914529914529944E-2</v>
      </c>
      <c r="X415" s="336" t="s">
        <v>477</v>
      </c>
      <c r="Y415" s="352" t="s">
        <v>74</v>
      </c>
      <c r="Z415" s="105">
        <v>6459</v>
      </c>
      <c r="AA415" s="107">
        <v>313.97916666666697</v>
      </c>
      <c r="AB415" s="105" t="s">
        <v>472</v>
      </c>
    </row>
    <row r="416" spans="1:28">
      <c r="A416" s="105">
        <f t="shared" si="6"/>
        <v>415</v>
      </c>
      <c r="B416" s="107">
        <f>YEAR(Table6[[#This Row],[Date]])+IF(MONTH(Table6[[#This Row],[Date]])&gt;=4,1,0)</f>
        <v>2026</v>
      </c>
      <c r="C416" s="105">
        <f>YEAR(Table6[[#This Row],[Date]])</f>
        <v>2025</v>
      </c>
      <c r="D416" s="105" t="s">
        <v>465</v>
      </c>
      <c r="E416" s="119">
        <f>Table6[[#This Row],[Date]]-DAY(Table6[[#This Row],[Date]])+1</f>
        <v>45748</v>
      </c>
      <c r="F416" s="118">
        <v>45776</v>
      </c>
      <c r="G416" s="105" t="s">
        <v>95</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473</v>
      </c>
      <c r="N416" s="39" t="s">
        <v>474</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561</v>
      </c>
      <c r="V416" s="351" t="s">
        <v>476</v>
      </c>
      <c r="W416" s="338">
        <f>Table6[[#This Row],[Breakdown Time]]*(1/39)</f>
        <v>0.20470085470085472</v>
      </c>
      <c r="X416" s="336" t="s">
        <v>477</v>
      </c>
      <c r="Y416" s="352" t="s">
        <v>78</v>
      </c>
      <c r="Z416" s="105">
        <v>6742</v>
      </c>
      <c r="AA416" s="107">
        <v>2242.6513888888894</v>
      </c>
      <c r="AB416" s="105" t="s">
        <v>472</v>
      </c>
    </row>
    <row r="417" spans="1:28">
      <c r="A417" s="105">
        <f t="shared" si="6"/>
        <v>416</v>
      </c>
      <c r="B417" s="107">
        <f>YEAR(Table6[[#This Row],[Date]])+IF(MONTH(Table6[[#This Row],[Date]])&gt;=4,1,0)</f>
        <v>2026</v>
      </c>
      <c r="C417" s="105">
        <f>YEAR(Table6[[#This Row],[Date]])</f>
        <v>2025</v>
      </c>
      <c r="D417" s="105" t="s">
        <v>465</v>
      </c>
      <c r="E417" s="119">
        <f>Table6[[#This Row],[Date]]-DAY(Table6[[#This Row],[Date]])+1</f>
        <v>45748</v>
      </c>
      <c r="F417" s="118">
        <v>45776</v>
      </c>
      <c r="G417" s="105" t="s">
        <v>100</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552</v>
      </c>
      <c r="L417" s="39" t="str">
        <f>IFERROR(VLOOKUP(Table6[[#This Row],[Error Code]],'Basic Data'!$T:$U,2,0),"")</f>
        <v>Manual Stop - Preventive Maintenance Activity</v>
      </c>
      <c r="M417" s="346" t="s">
        <v>553</v>
      </c>
      <c r="N417" s="39" t="s">
        <v>189</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558</v>
      </c>
      <c r="V417" s="351" t="s">
        <v>476</v>
      </c>
      <c r="W417" s="338">
        <f>Table6[[#This Row],[Breakdown Time]]*(1/39)</f>
        <v>0.16794871794871796</v>
      </c>
      <c r="X417" s="336" t="s">
        <v>555</v>
      </c>
      <c r="Y417" s="352" t="s">
        <v>102</v>
      </c>
      <c r="Z417" s="105">
        <v>6792</v>
      </c>
      <c r="AA417" s="107">
        <v>1853.65</v>
      </c>
      <c r="AB417" s="105" t="s">
        <v>472</v>
      </c>
    </row>
    <row r="418" spans="1:28">
      <c r="A418" s="105">
        <f t="shared" si="6"/>
        <v>417</v>
      </c>
      <c r="B418" s="107">
        <f>YEAR(Table6[[#This Row],[Date]])+IF(MONTH(Table6[[#This Row],[Date]])&gt;=4,1,0)</f>
        <v>2026</v>
      </c>
      <c r="C418" s="105">
        <f>YEAR(Table6[[#This Row],[Date]])</f>
        <v>2025</v>
      </c>
      <c r="D418" s="105" t="s">
        <v>465</v>
      </c>
      <c r="E418" s="119">
        <f>Table6[[#This Row],[Date]]-DAY(Table6[[#This Row],[Date]])+1</f>
        <v>45748</v>
      </c>
      <c r="F418" s="118">
        <v>45777</v>
      </c>
      <c r="G418" s="105" t="s">
        <v>103</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466</v>
      </c>
      <c r="L418" s="39" t="str">
        <f>IFERROR(VLOOKUP(Table6[[#This Row],[Error Code]],'Basic Data'!$T:$U,2,0),"")</f>
        <v>Manual Stop - Safety Related</v>
      </c>
      <c r="M418" s="346" t="s">
        <v>467</v>
      </c>
      <c r="N418" s="39" t="s">
        <v>468</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469</v>
      </c>
      <c r="V418" s="351" t="s">
        <v>470</v>
      </c>
      <c r="W418" s="338">
        <f>Table6[[#This Row],[Breakdown Time]]*(1/39)</f>
        <v>0.61495726495726499</v>
      </c>
      <c r="X418" s="336" t="s">
        <v>486</v>
      </c>
      <c r="Y418" s="352" t="s">
        <v>100</v>
      </c>
      <c r="Z418" s="105">
        <v>12782</v>
      </c>
      <c r="AA418" s="107">
        <v>12773.123611111112</v>
      </c>
      <c r="AB418" s="105" t="s">
        <v>472</v>
      </c>
    </row>
    <row r="419" spans="1:28">
      <c r="A419" s="105">
        <f t="shared" si="6"/>
        <v>418</v>
      </c>
      <c r="B419" s="107">
        <f>YEAR(Table6[[#This Row],[Date]])+IF(MONTH(Table6[[#This Row],[Date]])&gt;=4,1,0)</f>
        <v>2026</v>
      </c>
      <c r="C419" s="105">
        <f>YEAR(Table6[[#This Row],[Date]])</f>
        <v>2025</v>
      </c>
      <c r="D419" s="105" t="s">
        <v>465</v>
      </c>
      <c r="E419" s="119">
        <f>Table6[[#This Row],[Date]]-DAY(Table6[[#This Row],[Date]])+1</f>
        <v>45748</v>
      </c>
      <c r="F419" s="118">
        <v>45777</v>
      </c>
      <c r="G419" s="105" t="s">
        <v>101</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466</v>
      </c>
      <c r="L419" s="39" t="str">
        <f>IFERROR(VLOOKUP(Table6[[#This Row],[Error Code]],'Basic Data'!$T:$U,2,0),"")</f>
        <v>Manual Stop - Safety Related</v>
      </c>
      <c r="M419" s="346" t="s">
        <v>467</v>
      </c>
      <c r="N419" s="39" t="s">
        <v>468</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469</v>
      </c>
      <c r="V419" s="351" t="s">
        <v>470</v>
      </c>
      <c r="W419" s="338">
        <f>Table6[[#This Row],[Breakdown Time]]*(1/39)</f>
        <v>0.61495726495726499</v>
      </c>
      <c r="X419" s="336" t="s">
        <v>486</v>
      </c>
      <c r="Y419" s="352" t="s">
        <v>100</v>
      </c>
      <c r="Z419" s="105">
        <v>12782</v>
      </c>
      <c r="AA419" s="107">
        <v>12773.123611111112</v>
      </c>
      <c r="AB419" s="105" t="s">
        <v>472</v>
      </c>
    </row>
    <row r="420" spans="1:28">
      <c r="A420" s="105">
        <f t="shared" si="6"/>
        <v>419</v>
      </c>
      <c r="B420" s="107">
        <f>YEAR(Table6[[#This Row],[Date]])+IF(MONTH(Table6[[#This Row],[Date]])&gt;=4,1,0)</f>
        <v>2026</v>
      </c>
      <c r="C420" s="105">
        <f>YEAR(Table6[[#This Row],[Date]])</f>
        <v>2025</v>
      </c>
      <c r="D420" s="105" t="s">
        <v>465</v>
      </c>
      <c r="E420" s="119">
        <f>Table6[[#This Row],[Date]]-DAY(Table6[[#This Row],[Date]])+1</f>
        <v>45748</v>
      </c>
      <c r="F420" s="118">
        <v>45777</v>
      </c>
      <c r="G420" s="105" t="s">
        <v>77</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473</v>
      </c>
      <c r="N420" s="39" t="s">
        <v>474</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562</v>
      </c>
      <c r="V420" s="351" t="s">
        <v>476</v>
      </c>
      <c r="W420" s="338">
        <f>Table6[[#This Row],[Breakdown Time]]*(1/39)</f>
        <v>0.23547008547008547</v>
      </c>
      <c r="X420" s="336" t="s">
        <v>477</v>
      </c>
      <c r="Y420" s="352" t="s">
        <v>76</v>
      </c>
      <c r="Z420" s="105">
        <v>16042</v>
      </c>
      <c r="AA420" s="107">
        <v>6138.2930555555549</v>
      </c>
      <c r="AB420" s="105" t="s">
        <v>472</v>
      </c>
    </row>
    <row r="421" spans="1:28">
      <c r="A421" s="105">
        <f t="shared" si="6"/>
        <v>420</v>
      </c>
      <c r="B421" s="107">
        <f>YEAR(Table6[[#This Row],[Date]])+IF(MONTH(Table6[[#This Row],[Date]])&gt;=4,1,0)</f>
        <v>2026</v>
      </c>
      <c r="C421" s="105">
        <f>YEAR(Table6[[#This Row],[Date]])</f>
        <v>2025</v>
      </c>
      <c r="D421" s="105" t="s">
        <v>465</v>
      </c>
      <c r="E421" s="119">
        <f>Table6[[#This Row],[Date]]-DAY(Table6[[#This Row],[Date]])+1</f>
        <v>45748</v>
      </c>
      <c r="F421" s="118">
        <v>45777</v>
      </c>
      <c r="G421" s="105" t="s">
        <v>84</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473</v>
      </c>
      <c r="N421" s="39" t="s">
        <v>474</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484</v>
      </c>
      <c r="V421" s="351" t="s">
        <v>476</v>
      </c>
      <c r="W421" s="338">
        <f>Table6[[#This Row],[Breakdown Time]]*(1/39)</f>
        <v>2.6923076923076928E-2</v>
      </c>
      <c r="X421" s="336" t="s">
        <v>477</v>
      </c>
      <c r="Y421" s="352" t="s">
        <v>83</v>
      </c>
      <c r="Z421" s="105">
        <v>16079</v>
      </c>
      <c r="AA421" s="107">
        <v>703.45625000000018</v>
      </c>
      <c r="AB421" s="105" t="s">
        <v>472</v>
      </c>
    </row>
    <row r="422" spans="1:28">
      <c r="A422" s="105">
        <f t="shared" si="6"/>
        <v>421</v>
      </c>
      <c r="B422" s="107">
        <f>YEAR(Table6[[#This Row],[Date]])+IF(MONTH(Table6[[#This Row],[Date]])&gt;=4,1,0)</f>
        <v>2026</v>
      </c>
      <c r="C422" s="105">
        <f>YEAR(Table6[[#This Row],[Date]])</f>
        <v>2025</v>
      </c>
      <c r="D422" s="105" t="s">
        <v>465</v>
      </c>
      <c r="E422" s="119">
        <f>Table6[[#This Row],[Date]]-DAY(Table6[[#This Row],[Date]])+1</f>
        <v>45748</v>
      </c>
      <c r="F422" s="118">
        <v>45777</v>
      </c>
      <c r="G422" s="105" t="s">
        <v>95</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473</v>
      </c>
      <c r="N422" s="39" t="s">
        <v>474</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484</v>
      </c>
      <c r="V422" s="351" t="s">
        <v>476</v>
      </c>
      <c r="W422" s="338">
        <f>Table6[[#This Row],[Breakdown Time]]*(1/39)</f>
        <v>9.8290598290598274E-2</v>
      </c>
      <c r="X422" s="336" t="s">
        <v>477</v>
      </c>
      <c r="Y422" s="352" t="s">
        <v>78</v>
      </c>
      <c r="Z422" s="105">
        <v>15425</v>
      </c>
      <c r="AA422" s="107">
        <v>2463.7152777777778</v>
      </c>
      <c r="AB422" s="105" t="s">
        <v>472</v>
      </c>
    </row>
    <row r="423" spans="1:28">
      <c r="A423" s="105">
        <f t="shared" si="6"/>
        <v>422</v>
      </c>
      <c r="B423" s="107">
        <f>YEAR(Table6[[#This Row],[Date]])+IF(MONTH(Table6[[#This Row],[Date]])&gt;=4,1,0)</f>
        <v>2026</v>
      </c>
      <c r="C423" s="105">
        <f>YEAR(Table6[[#This Row],[Date]])</f>
        <v>2025</v>
      </c>
      <c r="D423" s="105" t="s">
        <v>465</v>
      </c>
      <c r="E423" s="119">
        <f>Table6[[#This Row],[Date]]-DAY(Table6[[#This Row],[Date]])+1</f>
        <v>45748</v>
      </c>
      <c r="F423" s="118">
        <v>45777</v>
      </c>
      <c r="G423" s="105" t="s">
        <v>95</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473</v>
      </c>
      <c r="N423" s="39" t="s">
        <v>474</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563</v>
      </c>
      <c r="V423" s="351" t="s">
        <v>476</v>
      </c>
      <c r="W423" s="338">
        <f>Table6[[#This Row],[Breakdown Time]]*(1/39)</f>
        <v>3.03418803418803E-2</v>
      </c>
      <c r="X423" s="336" t="s">
        <v>477</v>
      </c>
      <c r="Y423" s="352" t="s">
        <v>78</v>
      </c>
      <c r="Z423" s="105">
        <v>15425</v>
      </c>
      <c r="AA423" s="107">
        <v>760.53819444444355</v>
      </c>
      <c r="AB423" s="105" t="s">
        <v>472</v>
      </c>
    </row>
    <row r="424" spans="1:28">
      <c r="A424" s="105">
        <f t="shared" si="6"/>
        <v>423</v>
      </c>
      <c r="B424" s="107">
        <f>YEAR(Table6[[#This Row],[Date]])+IF(MONTH(Table6[[#This Row],[Date]])&gt;=4,1,0)</f>
        <v>2026</v>
      </c>
      <c r="C424" s="105">
        <f>YEAR(Table6[[#This Row],[Date]])</f>
        <v>2025</v>
      </c>
      <c r="D424" s="105" t="s">
        <v>465</v>
      </c>
      <c r="E424" s="119">
        <f>Table6[[#This Row],[Date]]-DAY(Table6[[#This Row],[Date]])+1</f>
        <v>45748</v>
      </c>
      <c r="F424" s="118">
        <v>45777</v>
      </c>
      <c r="G424" s="105" t="s">
        <v>96</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473</v>
      </c>
      <c r="N424" s="39" t="s">
        <v>474</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484</v>
      </c>
      <c r="V424" s="351" t="s">
        <v>476</v>
      </c>
      <c r="W424" s="338">
        <f>Table6[[#This Row],[Breakdown Time]]*(1/39)</f>
        <v>4.2735042735042715E-2</v>
      </c>
      <c r="X424" s="336" t="s">
        <v>477</v>
      </c>
      <c r="Y424" s="352" t="s">
        <v>78</v>
      </c>
      <c r="Z424" s="105">
        <v>15425</v>
      </c>
      <c r="AA424" s="107">
        <v>1071.1805555555552</v>
      </c>
      <c r="AB424" s="105" t="s">
        <v>472</v>
      </c>
    </row>
    <row r="425" spans="1:28">
      <c r="A425" s="105">
        <f t="shared" si="6"/>
        <v>424</v>
      </c>
      <c r="B425" s="107">
        <f>YEAR(Table6[[#This Row],[Date]])+IF(MONTH(Table6[[#This Row],[Date]])&gt;=4,1,0)</f>
        <v>2026</v>
      </c>
      <c r="C425" s="105">
        <f>YEAR(Table6[[#This Row],[Date]])</f>
        <v>2025</v>
      </c>
      <c r="D425" s="105" t="s">
        <v>465</v>
      </c>
      <c r="E425" s="119">
        <f>Table6[[#This Row],[Date]]-DAY(Table6[[#This Row],[Date]])+1</f>
        <v>45748</v>
      </c>
      <c r="F425" s="118">
        <v>45777</v>
      </c>
      <c r="G425" s="105" t="s">
        <v>100</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473</v>
      </c>
      <c r="N425" s="39" t="s">
        <v>474</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564</v>
      </c>
      <c r="V425" s="351" t="s">
        <v>476</v>
      </c>
      <c r="W425" s="338">
        <f>Table6[[#This Row],[Breakdown Time]]*(1/39)</f>
        <v>0.15042735042735045</v>
      </c>
      <c r="X425" s="336" t="s">
        <v>477</v>
      </c>
      <c r="Y425" s="352" t="s">
        <v>102</v>
      </c>
      <c r="Z425" s="105">
        <v>15469</v>
      </c>
      <c r="AA425" s="107">
        <v>3781.3111111111111</v>
      </c>
      <c r="AB425" s="105" t="s">
        <v>472</v>
      </c>
    </row>
    <row r="426" spans="1:28">
      <c r="A426" s="105">
        <f t="shared" si="6"/>
        <v>425</v>
      </c>
      <c r="B426" s="107">
        <f>YEAR(Table6[[#This Row],[Date]])+IF(MONTH(Table6[[#This Row],[Date]])&gt;=4,1,0)</f>
        <v>2026</v>
      </c>
      <c r="C426" s="105">
        <f>YEAR(Table6[[#This Row],[Date]])</f>
        <v>2025</v>
      </c>
      <c r="D426" s="105" t="s">
        <v>465</v>
      </c>
      <c r="E426" s="119">
        <f>Table6[[#This Row],[Date]]-DAY(Table6[[#This Row],[Date]])+1</f>
        <v>45748</v>
      </c>
      <c r="F426" s="118">
        <v>45777</v>
      </c>
      <c r="G426" s="105" t="s">
        <v>106</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552</v>
      </c>
      <c r="L426" s="39" t="str">
        <f>IFERROR(VLOOKUP(Table6[[#This Row],[Error Code]],'Basic Data'!$T:$U,2,0),"")</f>
        <v>Manual Stop - Preventive Maintenance Activity</v>
      </c>
      <c r="M426" s="346" t="s">
        <v>553</v>
      </c>
      <c r="N426" s="39" t="s">
        <v>189</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558</v>
      </c>
      <c r="V426" s="351" t="s">
        <v>476</v>
      </c>
      <c r="W426" s="338">
        <f>Table6[[#This Row],[Breakdown Time]]*(1/39)</f>
        <v>0.1495726495726496</v>
      </c>
      <c r="X426" s="336" t="s">
        <v>555</v>
      </c>
      <c r="Y426" s="352" t="s">
        <v>105</v>
      </c>
      <c r="Z426" s="105">
        <v>15954</v>
      </c>
      <c r="AA426" s="107">
        <v>3877.7083333333339</v>
      </c>
      <c r="AB426" s="105" t="s">
        <v>472</v>
      </c>
    </row>
    <row r="427" spans="1:28">
      <c r="A427" s="105">
        <f t="shared" si="6"/>
        <v>426</v>
      </c>
      <c r="B427" s="107">
        <f>YEAR(Table6[[#This Row],[Date]])+IF(MONTH(Table6[[#This Row],[Date]])&gt;=4,1,0)</f>
        <v>2026</v>
      </c>
      <c r="C427" s="105">
        <f>YEAR(Table6[[#This Row],[Date]])</f>
        <v>2025</v>
      </c>
      <c r="D427" s="105" t="s">
        <v>465</v>
      </c>
      <c r="E427" s="119">
        <f>Table6[[#This Row],[Date]]-DAY(Table6[[#This Row],[Date]])+1</f>
        <v>45778</v>
      </c>
      <c r="F427" s="118">
        <v>45778</v>
      </c>
      <c r="G427" s="105" t="s">
        <v>103</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466</v>
      </c>
      <c r="L427" s="39" t="str">
        <f>IFERROR(VLOOKUP(Table6[[#This Row],[Error Code]],'Basic Data'!$T:$U,2,0),"")</f>
        <v>Manual Stop - Safety Related</v>
      </c>
      <c r="M427" s="346" t="s">
        <v>467</v>
      </c>
      <c r="N427" s="39" t="s">
        <v>468</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469</v>
      </c>
      <c r="V427" s="351" t="s">
        <v>470</v>
      </c>
      <c r="W427" s="338">
        <f>Table6[[#This Row],[Breakdown Time]]*(1/39)</f>
        <v>0.61495726495726499</v>
      </c>
      <c r="X427" s="336" t="s">
        <v>486</v>
      </c>
      <c r="Y427" s="352" t="s">
        <v>100</v>
      </c>
      <c r="Z427" s="105">
        <v>15526</v>
      </c>
      <c r="AA427" s="107">
        <v>15515.218055555555</v>
      </c>
      <c r="AB427" s="105" t="s">
        <v>472</v>
      </c>
    </row>
    <row r="428" spans="1:28">
      <c r="A428" s="105">
        <f t="shared" si="6"/>
        <v>427</v>
      </c>
      <c r="B428" s="107">
        <f>YEAR(Table6[[#This Row],[Date]])+IF(MONTH(Table6[[#This Row],[Date]])&gt;=4,1,0)</f>
        <v>2026</v>
      </c>
      <c r="C428" s="105">
        <f>YEAR(Table6[[#This Row],[Date]])</f>
        <v>2025</v>
      </c>
      <c r="D428" s="105" t="s">
        <v>465</v>
      </c>
      <c r="E428" s="119">
        <f>Table6[[#This Row],[Date]]-DAY(Table6[[#This Row],[Date]])+1</f>
        <v>45778</v>
      </c>
      <c r="F428" s="118">
        <v>45778</v>
      </c>
      <c r="G428" s="105" t="s">
        <v>101</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466</v>
      </c>
      <c r="L428" s="39" t="str">
        <f>IFERROR(VLOOKUP(Table6[[#This Row],[Error Code]],'Basic Data'!$T:$U,2,0),"")</f>
        <v>Manual Stop - Safety Related</v>
      </c>
      <c r="M428" s="346" t="s">
        <v>467</v>
      </c>
      <c r="N428" s="39" t="s">
        <v>468</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469</v>
      </c>
      <c r="V428" s="351" t="s">
        <v>470</v>
      </c>
      <c r="W428" s="338">
        <f>Table6[[#This Row],[Breakdown Time]]*(1/39)</f>
        <v>0.61495726495726499</v>
      </c>
      <c r="X428" s="336" t="s">
        <v>486</v>
      </c>
      <c r="Y428" s="352" t="s">
        <v>100</v>
      </c>
      <c r="Z428" s="105">
        <v>15526</v>
      </c>
      <c r="AA428" s="107">
        <v>15515.218055555555</v>
      </c>
      <c r="AB428" s="105" t="s">
        <v>472</v>
      </c>
    </row>
    <row r="429" spans="1:28">
      <c r="A429" s="105">
        <f t="shared" si="6"/>
        <v>428</v>
      </c>
      <c r="B429" s="107">
        <f>YEAR(Table6[[#This Row],[Date]])+IF(MONTH(Table6[[#This Row],[Date]])&gt;=4,1,0)</f>
        <v>2026</v>
      </c>
      <c r="C429" s="105">
        <f>YEAR(Table6[[#This Row],[Date]])</f>
        <v>2025</v>
      </c>
      <c r="D429" s="105" t="s">
        <v>465</v>
      </c>
      <c r="E429" s="119">
        <f>Table6[[#This Row],[Date]]-DAY(Table6[[#This Row],[Date]])+1</f>
        <v>45778</v>
      </c>
      <c r="F429" s="118">
        <v>45778</v>
      </c>
      <c r="G429" s="105" t="s">
        <v>89</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473</v>
      </c>
      <c r="N429" s="39" t="s">
        <v>474</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475</v>
      </c>
      <c r="V429" s="351" t="s">
        <v>476</v>
      </c>
      <c r="W429" s="338">
        <f>Table6[[#This Row],[Breakdown Time]]*(1/39)</f>
        <v>2.3931623931623947E-2</v>
      </c>
      <c r="X429" s="336" t="s">
        <v>477</v>
      </c>
      <c r="Y429" s="352" t="s">
        <v>90</v>
      </c>
      <c r="Z429" s="105">
        <v>16529</v>
      </c>
      <c r="AA429" s="107">
        <v>642.79444444444493</v>
      </c>
      <c r="AB429" s="105" t="s">
        <v>472</v>
      </c>
    </row>
    <row r="430" spans="1:28">
      <c r="A430" s="105">
        <f t="shared" si="6"/>
        <v>429</v>
      </c>
      <c r="B430" s="107">
        <f>YEAR(Table6[[#This Row],[Date]])+IF(MONTH(Table6[[#This Row],[Date]])&gt;=4,1,0)</f>
        <v>2026</v>
      </c>
      <c r="C430" s="105">
        <f>YEAR(Table6[[#This Row],[Date]])</f>
        <v>2025</v>
      </c>
      <c r="D430" s="105" t="s">
        <v>465</v>
      </c>
      <c r="E430" s="119">
        <f>Table6[[#This Row],[Date]]-DAY(Table6[[#This Row],[Date]])+1</f>
        <v>45778</v>
      </c>
      <c r="F430" s="118">
        <v>45778</v>
      </c>
      <c r="G430" s="105" t="s">
        <v>95</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473</v>
      </c>
      <c r="N430" s="39" t="s">
        <v>474</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565</v>
      </c>
      <c r="V430" s="351" t="s">
        <v>476</v>
      </c>
      <c r="W430" s="338">
        <f>Table6[[#This Row],[Breakdown Time]]*(1/39)</f>
        <v>0.10598290598290597</v>
      </c>
      <c r="X430" s="336" t="s">
        <v>477</v>
      </c>
      <c r="Y430" s="352" t="s">
        <v>78</v>
      </c>
      <c r="Z430" s="105">
        <v>15121</v>
      </c>
      <c r="AA430" s="107">
        <v>2604.172222222222</v>
      </c>
      <c r="AB430" s="105" t="s">
        <v>472</v>
      </c>
    </row>
    <row r="431" spans="1:28">
      <c r="A431" s="105">
        <f t="shared" si="6"/>
        <v>430</v>
      </c>
      <c r="B431" s="107">
        <f>YEAR(Table6[[#This Row],[Date]])+IF(MONTH(Table6[[#This Row],[Date]])&gt;=4,1,0)</f>
        <v>2026</v>
      </c>
      <c r="C431" s="105">
        <f>YEAR(Table6[[#This Row],[Date]])</f>
        <v>2025</v>
      </c>
      <c r="D431" s="105" t="s">
        <v>465</v>
      </c>
      <c r="E431" s="119">
        <f>Table6[[#This Row],[Date]]-DAY(Table6[[#This Row],[Date]])+1</f>
        <v>45778</v>
      </c>
      <c r="F431" s="118">
        <v>45778</v>
      </c>
      <c r="G431" s="105" t="s">
        <v>95</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473</v>
      </c>
      <c r="N431" s="39" t="s">
        <v>474</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566</v>
      </c>
      <c r="V431" s="351" t="s">
        <v>476</v>
      </c>
      <c r="W431" s="338">
        <f>Table6[[#This Row],[Breakdown Time]]*(1/39)</f>
        <v>2.9914529914529874E-2</v>
      </c>
      <c r="X431" s="336" t="s">
        <v>477</v>
      </c>
      <c r="Y431" s="352" t="s">
        <v>78</v>
      </c>
      <c r="Z431" s="105">
        <v>15121</v>
      </c>
      <c r="AA431" s="107">
        <v>735.04861111111018</v>
      </c>
      <c r="AB431" s="105" t="s">
        <v>472</v>
      </c>
    </row>
    <row r="432" spans="1:28">
      <c r="A432" s="105">
        <f t="shared" si="6"/>
        <v>431</v>
      </c>
      <c r="B432" s="107">
        <f>YEAR(Table6[[#This Row],[Date]])+IF(MONTH(Table6[[#This Row],[Date]])&gt;=4,1,0)</f>
        <v>2026</v>
      </c>
      <c r="C432" s="105">
        <f>YEAR(Table6[[#This Row],[Date]])</f>
        <v>2025</v>
      </c>
      <c r="D432" s="105" t="s">
        <v>465</v>
      </c>
      <c r="E432" s="119">
        <f>Table6[[#This Row],[Date]]-DAY(Table6[[#This Row],[Date]])+1</f>
        <v>45778</v>
      </c>
      <c r="F432" s="118">
        <v>45778</v>
      </c>
      <c r="G432" s="105" t="s">
        <v>95</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473</v>
      </c>
      <c r="N432" s="39" t="s">
        <v>474</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567</v>
      </c>
      <c r="V432" s="351" t="s">
        <v>476</v>
      </c>
      <c r="W432" s="338">
        <f>Table6[[#This Row],[Breakdown Time]]*(1/39)</f>
        <v>2.2649572649572635E-2</v>
      </c>
      <c r="X432" s="336" t="s">
        <v>477</v>
      </c>
      <c r="Y432" s="352" t="s">
        <v>78</v>
      </c>
      <c r="Z432" s="105">
        <v>15121</v>
      </c>
      <c r="AA432" s="107">
        <v>556.53680555555525</v>
      </c>
      <c r="AB432" s="105" t="s">
        <v>472</v>
      </c>
    </row>
    <row r="433" spans="1:28">
      <c r="A433" s="105">
        <f t="shared" si="6"/>
        <v>432</v>
      </c>
      <c r="B433" s="107">
        <f>YEAR(Table6[[#This Row],[Date]])+IF(MONTH(Table6[[#This Row],[Date]])&gt;=4,1,0)</f>
        <v>2026</v>
      </c>
      <c r="C433" s="105">
        <f>YEAR(Table6[[#This Row],[Date]])</f>
        <v>2025</v>
      </c>
      <c r="D433" s="105" t="s">
        <v>465</v>
      </c>
      <c r="E433" s="119">
        <f>Table6[[#This Row],[Date]]-DAY(Table6[[#This Row],[Date]])+1</f>
        <v>45778</v>
      </c>
      <c r="F433" s="118">
        <v>45778</v>
      </c>
      <c r="G433" s="105" t="s">
        <v>102</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466</v>
      </c>
      <c r="L433" s="39" t="str">
        <f>IFERROR(VLOOKUP(Table6[[#This Row],[Error Code]],'Basic Data'!$T:$U,2,0),"")</f>
        <v>Manual Stop - Safety Related</v>
      </c>
      <c r="M433" s="346" t="s">
        <v>467</v>
      </c>
      <c r="N433" s="39" t="s">
        <v>189</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506</v>
      </c>
      <c r="V433" s="351" t="s">
        <v>476</v>
      </c>
      <c r="W433" s="338">
        <f>Table6[[#This Row],[Breakdown Time]]*(1/39)</f>
        <v>6.9230769230769262E-2</v>
      </c>
      <c r="X433" s="336" t="s">
        <v>486</v>
      </c>
      <c r="Y433" s="352" t="s">
        <v>100</v>
      </c>
      <c r="Z433" s="105">
        <v>15526</v>
      </c>
      <c r="AA433" s="107">
        <v>1746.6750000000006</v>
      </c>
      <c r="AB433" s="105" t="s">
        <v>472</v>
      </c>
    </row>
    <row r="434" spans="1:28">
      <c r="A434" s="105">
        <f t="shared" si="6"/>
        <v>433</v>
      </c>
      <c r="B434" s="107">
        <f>YEAR(Table6[[#This Row],[Date]])+IF(MONTH(Table6[[#This Row],[Date]])&gt;=4,1,0)</f>
        <v>2026</v>
      </c>
      <c r="C434" s="105">
        <f>YEAR(Table6[[#This Row],[Date]])</f>
        <v>2025</v>
      </c>
      <c r="D434" s="105" t="s">
        <v>465</v>
      </c>
      <c r="E434" s="119">
        <f>Table6[[#This Row],[Date]]-DAY(Table6[[#This Row],[Date]])+1</f>
        <v>45778</v>
      </c>
      <c r="F434" s="118">
        <v>45778</v>
      </c>
      <c r="G434" s="105" t="s">
        <v>105</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552</v>
      </c>
      <c r="L434" s="39" t="str">
        <f>IFERROR(VLOOKUP(Table6[[#This Row],[Error Code]],'Basic Data'!$T:$U,2,0),"")</f>
        <v>Manual Stop - Preventive Maintenance Activity</v>
      </c>
      <c r="M434" s="346" t="s">
        <v>553</v>
      </c>
      <c r="N434" s="39" t="s">
        <v>189</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558</v>
      </c>
      <c r="V434" s="351" t="s">
        <v>476</v>
      </c>
      <c r="W434" s="338">
        <f>Table6[[#This Row],[Breakdown Time]]*(1/39)</f>
        <v>0.15555555555555553</v>
      </c>
      <c r="X434" s="336" t="s">
        <v>555</v>
      </c>
      <c r="Y434" s="352" t="s">
        <v>106</v>
      </c>
      <c r="Z434" s="105">
        <v>15535</v>
      </c>
      <c r="AA434" s="107">
        <v>3926.9027777777774</v>
      </c>
      <c r="AB434" s="105" t="s">
        <v>472</v>
      </c>
    </row>
    <row r="435" spans="1:28">
      <c r="A435" s="105">
        <f t="shared" si="6"/>
        <v>434</v>
      </c>
      <c r="B435" s="107">
        <f>YEAR(Table6[[#This Row],[Date]])+IF(MONTH(Table6[[#This Row],[Date]])&gt;=4,1,0)</f>
        <v>2026</v>
      </c>
      <c r="C435" s="105">
        <f>YEAR(Table6[[#This Row],[Date]])</f>
        <v>2025</v>
      </c>
      <c r="D435" s="105" t="s">
        <v>465</v>
      </c>
      <c r="E435" s="119">
        <f>Table6[[#This Row],[Date]]-DAY(Table6[[#This Row],[Date]])+1</f>
        <v>45778</v>
      </c>
      <c r="F435" s="118">
        <v>45778</v>
      </c>
      <c r="G435" s="105" t="s">
        <v>80</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517</v>
      </c>
      <c r="L435" s="39" t="str">
        <f>IFERROR(VLOOKUP(Table6[[#This Row],[Error Code]],'Basic Data'!$T:$U,2,0),"")</f>
        <v>General Work Stoppage</v>
      </c>
      <c r="M435" s="346" t="s">
        <v>499</v>
      </c>
      <c r="N435" s="39" t="s">
        <v>189</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568</v>
      </c>
      <c r="V435" s="351" t="s">
        <v>476</v>
      </c>
      <c r="W435" s="338">
        <f>Table6[[#This Row],[Breakdown Time]]*(1/39)</f>
        <v>0.13290598290598291</v>
      </c>
      <c r="X435" s="336" t="s">
        <v>501</v>
      </c>
      <c r="Y435" s="352" t="s">
        <v>74</v>
      </c>
      <c r="Z435" s="105">
        <v>16821</v>
      </c>
      <c r="AA435" s="107">
        <v>3632.8687500000001</v>
      </c>
      <c r="AB435" s="105" t="s">
        <v>472</v>
      </c>
    </row>
    <row r="436" spans="1:28">
      <c r="A436" s="105">
        <f t="shared" si="6"/>
        <v>435</v>
      </c>
      <c r="B436" s="107">
        <f>YEAR(Table6[[#This Row],[Date]])+IF(MONTH(Table6[[#This Row],[Date]])&gt;=4,1,0)</f>
        <v>2026</v>
      </c>
      <c r="C436" s="105">
        <f>YEAR(Table6[[#This Row],[Date]])</f>
        <v>2025</v>
      </c>
      <c r="D436" s="105" t="s">
        <v>465</v>
      </c>
      <c r="E436" s="119">
        <f>Table6[[#This Row],[Date]]-DAY(Table6[[#This Row],[Date]])+1</f>
        <v>45778</v>
      </c>
      <c r="F436" s="118">
        <v>45779</v>
      </c>
      <c r="G436" s="105" t="s">
        <v>103</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466</v>
      </c>
      <c r="L436" s="39" t="str">
        <f>IFERROR(VLOOKUP(Table6[[#This Row],[Error Code]],'Basic Data'!$T:$U,2,0),"")</f>
        <v>Manual Stop - Safety Related</v>
      </c>
      <c r="M436" s="346" t="s">
        <v>467</v>
      </c>
      <c r="N436" s="39" t="s">
        <v>468</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469</v>
      </c>
      <c r="V436" s="351" t="s">
        <v>470</v>
      </c>
      <c r="W436" s="338">
        <f>Table6[[#This Row],[Breakdown Time]]*(1/39)</f>
        <v>0.61495726495726499</v>
      </c>
      <c r="X436" s="336" t="s">
        <v>486</v>
      </c>
      <c r="Y436" s="352" t="s">
        <v>100</v>
      </c>
      <c r="Z436" s="105">
        <v>12844</v>
      </c>
      <c r="AA436" s="107">
        <v>12835.080555555554</v>
      </c>
      <c r="AB436" s="105" t="s">
        <v>472</v>
      </c>
    </row>
    <row r="437" spans="1:28">
      <c r="A437" s="105">
        <f t="shared" si="6"/>
        <v>436</v>
      </c>
      <c r="B437" s="107">
        <f>YEAR(Table6[[#This Row],[Date]])+IF(MONTH(Table6[[#This Row],[Date]])&gt;=4,1,0)</f>
        <v>2026</v>
      </c>
      <c r="C437" s="105">
        <f>YEAR(Table6[[#This Row],[Date]])</f>
        <v>2025</v>
      </c>
      <c r="D437" s="105" t="s">
        <v>465</v>
      </c>
      <c r="E437" s="119">
        <f>Table6[[#This Row],[Date]]-DAY(Table6[[#This Row],[Date]])+1</f>
        <v>45778</v>
      </c>
      <c r="F437" s="118">
        <v>45779</v>
      </c>
      <c r="G437" s="105" t="s">
        <v>101</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466</v>
      </c>
      <c r="L437" s="39" t="str">
        <f>IFERROR(VLOOKUP(Table6[[#This Row],[Error Code]],'Basic Data'!$T:$U,2,0),"")</f>
        <v>Manual Stop - Safety Related</v>
      </c>
      <c r="M437" s="346" t="s">
        <v>467</v>
      </c>
      <c r="N437" s="39" t="s">
        <v>468</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469</v>
      </c>
      <c r="V437" s="351" t="s">
        <v>470</v>
      </c>
      <c r="W437" s="338">
        <f>Table6[[#This Row],[Breakdown Time]]*(1/39)</f>
        <v>0.61495726495726499</v>
      </c>
      <c r="X437" s="336" t="s">
        <v>486</v>
      </c>
      <c r="Y437" s="352" t="s">
        <v>100</v>
      </c>
      <c r="Z437" s="105">
        <v>12844</v>
      </c>
      <c r="AA437" s="107">
        <v>12835.080555555554</v>
      </c>
      <c r="AB437" s="105" t="s">
        <v>472</v>
      </c>
    </row>
    <row r="438" spans="1:28">
      <c r="A438" s="105">
        <f t="shared" si="6"/>
        <v>437</v>
      </c>
      <c r="B438" s="107">
        <f>YEAR(Table6[[#This Row],[Date]])+IF(MONTH(Table6[[#This Row],[Date]])&gt;=4,1,0)</f>
        <v>2026</v>
      </c>
      <c r="C438" s="105">
        <f>YEAR(Table6[[#This Row],[Date]])</f>
        <v>2025</v>
      </c>
      <c r="D438" s="105" t="s">
        <v>465</v>
      </c>
      <c r="E438" s="119">
        <f>Table6[[#This Row],[Date]]-DAY(Table6[[#This Row],[Date]])+1</f>
        <v>45778</v>
      </c>
      <c r="F438" s="118">
        <v>45779</v>
      </c>
      <c r="G438" s="105" t="s">
        <v>80</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473</v>
      </c>
      <c r="N438" s="39" t="s">
        <v>474</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569</v>
      </c>
      <c r="V438" s="351" t="s">
        <v>476</v>
      </c>
      <c r="W438" s="338">
        <f>Table6[[#This Row],[Breakdown Time]]*(1/39)</f>
        <v>0.27008547008547007</v>
      </c>
      <c r="X438" s="336" t="s">
        <v>501</v>
      </c>
      <c r="Y438" s="352" t="s">
        <v>74</v>
      </c>
      <c r="Z438" s="105">
        <v>14789</v>
      </c>
      <c r="AA438" s="107">
        <v>5956.6805555555566</v>
      </c>
      <c r="AB438" s="105" t="s">
        <v>472</v>
      </c>
    </row>
    <row r="439" spans="1:28">
      <c r="A439" s="105">
        <f t="shared" si="6"/>
        <v>438</v>
      </c>
      <c r="B439" s="107">
        <f>YEAR(Table6[[#This Row],[Date]])+IF(MONTH(Table6[[#This Row],[Date]])&gt;=4,1,0)</f>
        <v>2026</v>
      </c>
      <c r="C439" s="105">
        <f>YEAR(Table6[[#This Row],[Date]])</f>
        <v>2025</v>
      </c>
      <c r="D439" s="105" t="s">
        <v>465</v>
      </c>
      <c r="E439" s="119">
        <f>Table6[[#This Row],[Date]]-DAY(Table6[[#This Row],[Date]])+1</f>
        <v>45778</v>
      </c>
      <c r="F439" s="118">
        <v>45779</v>
      </c>
      <c r="G439" s="105" t="s">
        <v>91</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473</v>
      </c>
      <c r="N439" s="39" t="s">
        <v>474</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570</v>
      </c>
      <c r="V439" s="351" t="s">
        <v>476</v>
      </c>
      <c r="W439" s="338">
        <f>Table6[[#This Row],[Breakdown Time]]*(1/39)</f>
        <v>0.15854700854700851</v>
      </c>
      <c r="X439" s="336" t="s">
        <v>477</v>
      </c>
      <c r="Y439" s="352" t="s">
        <v>92</v>
      </c>
      <c r="Z439" s="105">
        <v>14789</v>
      </c>
      <c r="AA439" s="107">
        <v>3810.2215277777777</v>
      </c>
      <c r="AB439" s="105" t="s">
        <v>472</v>
      </c>
    </row>
    <row r="440" spans="1:28">
      <c r="A440" s="105">
        <f t="shared" si="6"/>
        <v>439</v>
      </c>
      <c r="B440" s="107">
        <f>YEAR(Table6[[#This Row],[Date]])+IF(MONTH(Table6[[#This Row],[Date]])&gt;=4,1,0)</f>
        <v>2026</v>
      </c>
      <c r="C440" s="105">
        <f>YEAR(Table6[[#This Row],[Date]])</f>
        <v>2025</v>
      </c>
      <c r="D440" s="105" t="s">
        <v>465</v>
      </c>
      <c r="E440" s="119">
        <f>Table6[[#This Row],[Date]]-DAY(Table6[[#This Row],[Date]])+1</f>
        <v>45778</v>
      </c>
      <c r="F440" s="118">
        <v>45779</v>
      </c>
      <c r="G440" s="105" t="s">
        <v>95</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473</v>
      </c>
      <c r="N440" s="39" t="s">
        <v>474</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478</v>
      </c>
      <c r="V440" s="351" t="s">
        <v>476</v>
      </c>
      <c r="W440" s="338">
        <f>Table6[[#This Row],[Breakdown Time]]*(1/39)</f>
        <v>2.1367521367521972E-3</v>
      </c>
      <c r="X440" s="336" t="s">
        <v>477</v>
      </c>
      <c r="Y440" s="352" t="s">
        <v>78</v>
      </c>
      <c r="Z440" s="105">
        <v>14538</v>
      </c>
      <c r="AA440" s="107">
        <v>50.4791666666681</v>
      </c>
      <c r="AB440" s="105" t="s">
        <v>472</v>
      </c>
    </row>
    <row r="441" spans="1:28">
      <c r="A441" s="105">
        <f t="shared" si="6"/>
        <v>440</v>
      </c>
      <c r="B441" s="107">
        <f>YEAR(Table6[[#This Row],[Date]])+IF(MONTH(Table6[[#This Row],[Date]])&gt;=4,1,0)</f>
        <v>2026</v>
      </c>
      <c r="C441" s="105">
        <f>YEAR(Table6[[#This Row],[Date]])</f>
        <v>2025</v>
      </c>
      <c r="D441" s="105" t="s">
        <v>465</v>
      </c>
      <c r="E441" s="119">
        <f>Table6[[#This Row],[Date]]-DAY(Table6[[#This Row],[Date]])+1</f>
        <v>45778</v>
      </c>
      <c r="F441" s="118">
        <v>45779</v>
      </c>
      <c r="G441" s="105" t="s">
        <v>99</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466</v>
      </c>
      <c r="L441" s="39" t="str">
        <f>IFERROR(VLOOKUP(Table6[[#This Row],[Error Code]],'Basic Data'!$T:$U,2,0),"")</f>
        <v>Manual Stop - Safety Related</v>
      </c>
      <c r="M441" s="346" t="s">
        <v>467</v>
      </c>
      <c r="N441" s="39" t="s">
        <v>189</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506</v>
      </c>
      <c r="V441" s="351" t="s">
        <v>476</v>
      </c>
      <c r="W441" s="338">
        <f>Table6[[#This Row],[Breakdown Time]]*(1/39)</f>
        <v>8.9743589743589758E-2</v>
      </c>
      <c r="X441" s="336" t="s">
        <v>477</v>
      </c>
      <c r="Y441" s="352" t="s">
        <v>97</v>
      </c>
      <c r="Z441" s="105">
        <v>12889</v>
      </c>
      <c r="AA441" s="107">
        <v>1879.6458333333337</v>
      </c>
      <c r="AB441" s="105" t="s">
        <v>472</v>
      </c>
    </row>
    <row r="442" spans="1:28">
      <c r="A442" s="105">
        <f t="shared" si="6"/>
        <v>441</v>
      </c>
      <c r="B442" s="107">
        <f>YEAR(Table6[[#This Row],[Date]])+IF(MONTH(Table6[[#This Row],[Date]])&gt;=4,1,0)</f>
        <v>2026</v>
      </c>
      <c r="C442" s="105">
        <f>YEAR(Table6[[#This Row],[Date]])</f>
        <v>2025</v>
      </c>
      <c r="D442" s="105" t="s">
        <v>465</v>
      </c>
      <c r="E442" s="119">
        <f>Table6[[#This Row],[Date]]-DAY(Table6[[#This Row],[Date]])+1</f>
        <v>45778</v>
      </c>
      <c r="F442" s="118">
        <v>45779</v>
      </c>
      <c r="G442" s="105" t="s">
        <v>104</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473</v>
      </c>
      <c r="N442" s="39" t="s">
        <v>474</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484</v>
      </c>
      <c r="V442" s="351" t="s">
        <v>476</v>
      </c>
      <c r="W442" s="338">
        <f>Table6[[#This Row],[Breakdown Time]]*(1/39)</f>
        <v>1.7521367521367529E-2</v>
      </c>
      <c r="X442" s="336" t="s">
        <v>477</v>
      </c>
      <c r="Y442" s="352" t="s">
        <v>98</v>
      </c>
      <c r="Z442" s="105">
        <v>11834</v>
      </c>
      <c r="AA442" s="107">
        <v>336.94027777777791</v>
      </c>
      <c r="AB442" s="105" t="s">
        <v>472</v>
      </c>
    </row>
    <row r="443" spans="1:28">
      <c r="A443" s="105">
        <f t="shared" si="6"/>
        <v>442</v>
      </c>
      <c r="B443" s="107">
        <f>YEAR(Table6[[#This Row],[Date]])+IF(MONTH(Table6[[#This Row],[Date]])&gt;=4,1,0)</f>
        <v>2026</v>
      </c>
      <c r="C443" s="105">
        <f>YEAR(Table6[[#This Row],[Date]])</f>
        <v>2025</v>
      </c>
      <c r="D443" s="105" t="s">
        <v>465</v>
      </c>
      <c r="E443" s="119">
        <f>Table6[[#This Row],[Date]]-DAY(Table6[[#This Row],[Date]])+1</f>
        <v>45778</v>
      </c>
      <c r="F443" s="118">
        <v>45780</v>
      </c>
      <c r="G443" s="105" t="s">
        <v>103</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466</v>
      </c>
      <c r="L443" s="39" t="str">
        <f>IFERROR(VLOOKUP(Table6[[#This Row],[Error Code]],'Basic Data'!$T:$U,2,0),"")</f>
        <v>Manual Stop - Safety Related</v>
      </c>
      <c r="M443" s="346" t="s">
        <v>467</v>
      </c>
      <c r="N443" s="39" t="s">
        <v>468</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469</v>
      </c>
      <c r="V443" s="351" t="s">
        <v>470</v>
      </c>
      <c r="W443" s="338">
        <f>Table6[[#This Row],[Breakdown Time]]*(1/39)</f>
        <v>0.61495726495726499</v>
      </c>
      <c r="X443" s="336" t="s">
        <v>486</v>
      </c>
      <c r="Y443" s="352" t="s">
        <v>100</v>
      </c>
      <c r="Z443" s="105">
        <v>16562</v>
      </c>
      <c r="AA443" s="107">
        <v>16550.498611111114</v>
      </c>
      <c r="AB443" s="105" t="s">
        <v>472</v>
      </c>
    </row>
    <row r="444" spans="1:28">
      <c r="A444" s="105">
        <f t="shared" si="6"/>
        <v>443</v>
      </c>
      <c r="B444" s="107">
        <f>YEAR(Table6[[#This Row],[Date]])+IF(MONTH(Table6[[#This Row],[Date]])&gt;=4,1,0)</f>
        <v>2026</v>
      </c>
      <c r="C444" s="105">
        <f>YEAR(Table6[[#This Row],[Date]])</f>
        <v>2025</v>
      </c>
      <c r="D444" s="105" t="s">
        <v>465</v>
      </c>
      <c r="E444" s="119">
        <f>Table6[[#This Row],[Date]]-DAY(Table6[[#This Row],[Date]])+1</f>
        <v>45778</v>
      </c>
      <c r="F444" s="118">
        <v>45780</v>
      </c>
      <c r="G444" s="105" t="s">
        <v>101</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466</v>
      </c>
      <c r="L444" s="39" t="str">
        <f>IFERROR(VLOOKUP(Table6[[#This Row],[Error Code]],'Basic Data'!$T:$U,2,0),"")</f>
        <v>Manual Stop - Safety Related</v>
      </c>
      <c r="M444" s="346" t="s">
        <v>467</v>
      </c>
      <c r="N444" s="39" t="s">
        <v>468</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469</v>
      </c>
      <c r="V444" s="351" t="s">
        <v>470</v>
      </c>
      <c r="W444" s="338">
        <f>Table6[[#This Row],[Breakdown Time]]*(1/39)</f>
        <v>0.61495726495726499</v>
      </c>
      <c r="X444" s="336" t="s">
        <v>486</v>
      </c>
      <c r="Y444" s="352" t="s">
        <v>100</v>
      </c>
      <c r="Z444" s="105">
        <v>16562</v>
      </c>
      <c r="AA444" s="107">
        <v>16550.498611111114</v>
      </c>
      <c r="AB444" s="105" t="s">
        <v>472</v>
      </c>
    </row>
    <row r="445" spans="1:28">
      <c r="A445" s="105">
        <f t="shared" si="6"/>
        <v>444</v>
      </c>
      <c r="B445" s="107">
        <f>YEAR(Table6[[#This Row],[Date]])+IF(MONTH(Table6[[#This Row],[Date]])&gt;=4,1,0)</f>
        <v>2026</v>
      </c>
      <c r="C445" s="105">
        <f>YEAR(Table6[[#This Row],[Date]])</f>
        <v>2025</v>
      </c>
      <c r="D445" s="105" t="s">
        <v>465</v>
      </c>
      <c r="E445" s="119">
        <f>Table6[[#This Row],[Date]]-DAY(Table6[[#This Row],[Date]])+1</f>
        <v>45778</v>
      </c>
      <c r="F445" s="118">
        <v>45780</v>
      </c>
      <c r="G445" s="105" t="s">
        <v>82</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473</v>
      </c>
      <c r="N445" s="39" t="s">
        <v>474</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475</v>
      </c>
      <c r="V445" s="351" t="s">
        <v>476</v>
      </c>
      <c r="W445" s="338">
        <f>Table6[[#This Row],[Breakdown Time]]*(1/39)</f>
        <v>1.1111111111111139E-2</v>
      </c>
      <c r="X445" s="336" t="s">
        <v>477</v>
      </c>
      <c r="Y445" s="352" t="s">
        <v>85</v>
      </c>
      <c r="Z445" s="105">
        <v>17727</v>
      </c>
      <c r="AA445" s="107">
        <v>320.07083333333418</v>
      </c>
      <c r="AB445" s="105" t="s">
        <v>472</v>
      </c>
    </row>
    <row r="446" spans="1:28">
      <c r="A446" s="105">
        <f t="shared" si="6"/>
        <v>445</v>
      </c>
      <c r="B446" s="107">
        <f>YEAR(Table6[[#This Row],[Date]])+IF(MONTH(Table6[[#This Row],[Date]])&gt;=4,1,0)</f>
        <v>2026</v>
      </c>
      <c r="C446" s="105">
        <f>YEAR(Table6[[#This Row],[Date]])</f>
        <v>2025</v>
      </c>
      <c r="D446" s="105" t="s">
        <v>465</v>
      </c>
      <c r="E446" s="119">
        <f>Table6[[#This Row],[Date]]-DAY(Table6[[#This Row],[Date]])+1</f>
        <v>45778</v>
      </c>
      <c r="F446" s="118">
        <v>45780</v>
      </c>
      <c r="G446" s="105" t="s">
        <v>85</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473</v>
      </c>
      <c r="N446" s="39" t="s">
        <v>474</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475</v>
      </c>
      <c r="V446" s="351" t="s">
        <v>476</v>
      </c>
      <c r="W446" s="338">
        <f>Table6[[#This Row],[Breakdown Time]]*(1/39)</f>
        <v>8.9743589743589425E-3</v>
      </c>
      <c r="X446" s="336" t="s">
        <v>477</v>
      </c>
      <c r="Y446" s="352" t="s">
        <v>86</v>
      </c>
      <c r="Z446" s="105">
        <v>18239</v>
      </c>
      <c r="AA446" s="107">
        <v>265.98541666666574</v>
      </c>
      <c r="AB446" s="105" t="s">
        <v>472</v>
      </c>
    </row>
    <row r="447" spans="1:28">
      <c r="A447" s="105">
        <f t="shared" si="6"/>
        <v>446</v>
      </c>
      <c r="B447" s="107">
        <f>YEAR(Table6[[#This Row],[Date]])+IF(MONTH(Table6[[#This Row],[Date]])&gt;=4,1,0)</f>
        <v>2026</v>
      </c>
      <c r="C447" s="105">
        <f>YEAR(Table6[[#This Row],[Date]])</f>
        <v>2025</v>
      </c>
      <c r="D447" s="105" t="s">
        <v>465</v>
      </c>
      <c r="E447" s="119">
        <f>Table6[[#This Row],[Date]]-DAY(Table6[[#This Row],[Date]])+1</f>
        <v>45778</v>
      </c>
      <c r="F447" s="118">
        <v>45780</v>
      </c>
      <c r="G447" s="105" t="s">
        <v>92</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526</v>
      </c>
      <c r="L447" s="39" t="str">
        <f>IFERROR(VLOOKUP(Table6[[#This Row],[Error Code]],'Basic Data'!$T:$U,2,0),"")</f>
        <v>Manual Stop</v>
      </c>
      <c r="M447" s="346" t="s">
        <v>499</v>
      </c>
      <c r="N447" s="39" t="s">
        <v>189</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571</v>
      </c>
      <c r="V447" s="351" t="s">
        <v>476</v>
      </c>
      <c r="W447" s="338">
        <f>Table6[[#This Row],[Breakdown Time]]*(1/39)</f>
        <v>0.12435897435897435</v>
      </c>
      <c r="X447" s="336" t="s">
        <v>501</v>
      </c>
      <c r="Y447" s="352" t="s">
        <v>91</v>
      </c>
      <c r="Z447" s="105">
        <v>18234</v>
      </c>
      <c r="AA447" s="107">
        <v>3684.7874999999999</v>
      </c>
      <c r="AB447" s="105" t="s">
        <v>472</v>
      </c>
    </row>
    <row r="448" spans="1:28">
      <c r="A448" s="105">
        <f t="shared" si="6"/>
        <v>447</v>
      </c>
      <c r="B448" s="107">
        <f>YEAR(Table6[[#This Row],[Date]])+IF(MONTH(Table6[[#This Row],[Date]])&gt;=4,1,0)</f>
        <v>2026</v>
      </c>
      <c r="C448" s="105">
        <f>YEAR(Table6[[#This Row],[Date]])</f>
        <v>2025</v>
      </c>
      <c r="D448" s="105" t="s">
        <v>465</v>
      </c>
      <c r="E448" s="119">
        <f>Table6[[#This Row],[Date]]-DAY(Table6[[#This Row],[Date]])+1</f>
        <v>45778</v>
      </c>
      <c r="F448" s="118">
        <v>45780</v>
      </c>
      <c r="G448" s="105" t="s">
        <v>104</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473</v>
      </c>
      <c r="N448" s="39" t="s">
        <v>474</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475</v>
      </c>
      <c r="V448" s="351" t="s">
        <v>476</v>
      </c>
      <c r="W448" s="338">
        <f>Table6[[#This Row],[Breakdown Time]]*(1/39)</f>
        <v>1.5384615384615398E-2</v>
      </c>
      <c r="X448" s="336" t="s">
        <v>477</v>
      </c>
      <c r="Y448" s="352" t="s">
        <v>98</v>
      </c>
      <c r="Z448" s="105">
        <v>14845</v>
      </c>
      <c r="AA448" s="107">
        <v>371.12500000000028</v>
      </c>
      <c r="AB448" s="105" t="s">
        <v>472</v>
      </c>
    </row>
    <row r="449" spans="1:28">
      <c r="A449" s="105">
        <f t="shared" si="6"/>
        <v>448</v>
      </c>
      <c r="B449" s="107">
        <f>YEAR(Table6[[#This Row],[Date]])+IF(MONTH(Table6[[#This Row],[Date]])&gt;=4,1,0)</f>
        <v>2026</v>
      </c>
      <c r="C449" s="105">
        <f>YEAR(Table6[[#This Row],[Date]])</f>
        <v>2025</v>
      </c>
      <c r="D449" s="105" t="s">
        <v>465</v>
      </c>
      <c r="E449" s="119">
        <f>Table6[[#This Row],[Date]]-DAY(Table6[[#This Row],[Date]])+1</f>
        <v>45778</v>
      </c>
      <c r="F449" s="118">
        <v>45780</v>
      </c>
      <c r="G449" s="105" t="s">
        <v>107</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552</v>
      </c>
      <c r="L449" s="39" t="str">
        <f>IFERROR(VLOOKUP(Table6[[#This Row],[Error Code]],'Basic Data'!$T:$U,2,0),"")</f>
        <v>Manual Stop - Preventive Maintenance Activity</v>
      </c>
      <c r="M449" s="346" t="s">
        <v>553</v>
      </c>
      <c r="N449" s="39" t="s">
        <v>189</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572</v>
      </c>
      <c r="V449" s="351" t="s">
        <v>476</v>
      </c>
      <c r="W449" s="338">
        <f>Table6[[#This Row],[Breakdown Time]]*(1/39)</f>
        <v>0.15555555555555553</v>
      </c>
      <c r="X449" s="336" t="s">
        <v>555</v>
      </c>
      <c r="Y449" s="352" t="s">
        <v>108</v>
      </c>
      <c r="Z449" s="105">
        <v>14847</v>
      </c>
      <c r="AA449" s="107">
        <v>3752.9916666666663</v>
      </c>
      <c r="AB449" s="105" t="s">
        <v>472</v>
      </c>
    </row>
    <row r="450" spans="1:28">
      <c r="A450" s="105">
        <f t="shared" si="6"/>
        <v>449</v>
      </c>
      <c r="B450" s="107">
        <f>YEAR(Table6[[#This Row],[Date]])+IF(MONTH(Table6[[#This Row],[Date]])&gt;=4,1,0)</f>
        <v>2026</v>
      </c>
      <c r="C450" s="105">
        <f>YEAR(Table6[[#This Row],[Date]])</f>
        <v>2025</v>
      </c>
      <c r="D450" s="105" t="s">
        <v>465</v>
      </c>
      <c r="E450" s="119">
        <f>Table6[[#This Row],[Date]]-DAY(Table6[[#This Row],[Date]])+1</f>
        <v>45778</v>
      </c>
      <c r="F450" s="118">
        <v>45780</v>
      </c>
      <c r="G450" s="105" t="s">
        <v>109</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473</v>
      </c>
      <c r="N450" s="39" t="s">
        <v>474</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484</v>
      </c>
      <c r="V450" s="351" t="s">
        <v>476</v>
      </c>
      <c r="W450" s="338">
        <f>Table6[[#This Row],[Breakdown Time]]*(1/39)</f>
        <v>3.1623931623931581E-2</v>
      </c>
      <c r="X450" s="336" t="s">
        <v>477</v>
      </c>
      <c r="Y450" s="352" t="s">
        <v>108</v>
      </c>
      <c r="Z450" s="105">
        <v>14847</v>
      </c>
      <c r="AA450" s="107">
        <v>762.97083333333228</v>
      </c>
      <c r="AB450" s="105" t="s">
        <v>472</v>
      </c>
    </row>
    <row r="451" spans="1:28">
      <c r="A451" s="105">
        <f t="shared" si="6"/>
        <v>450</v>
      </c>
      <c r="B451" s="107">
        <f>YEAR(Table6[[#This Row],[Date]])+IF(MONTH(Table6[[#This Row],[Date]])&gt;=4,1,0)</f>
        <v>2026</v>
      </c>
      <c r="C451" s="105">
        <f>YEAR(Table6[[#This Row],[Date]])</f>
        <v>2025</v>
      </c>
      <c r="D451" s="105" t="s">
        <v>465</v>
      </c>
      <c r="E451" s="119">
        <f>Table6[[#This Row],[Date]]-DAY(Table6[[#This Row],[Date]])+1</f>
        <v>45778</v>
      </c>
      <c r="F451" s="118">
        <v>45781</v>
      </c>
      <c r="G451" s="105" t="s">
        <v>103</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466</v>
      </c>
      <c r="L451" s="39" t="str">
        <f>IFERROR(VLOOKUP(Table6[[#This Row],[Error Code]],'Basic Data'!$T:$U,2,0),"")</f>
        <v>Manual Stop - Safety Related</v>
      </c>
      <c r="M451" s="346" t="s">
        <v>467</v>
      </c>
      <c r="N451" s="39" t="s">
        <v>468</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469</v>
      </c>
      <c r="V451" s="351" t="s">
        <v>470</v>
      </c>
      <c r="W451" s="338">
        <f>Table6[[#This Row],[Breakdown Time]]*(1/39)</f>
        <v>0.61495726495726499</v>
      </c>
      <c r="X451" s="336" t="s">
        <v>486</v>
      </c>
      <c r="Y451" s="352" t="s">
        <v>100</v>
      </c>
      <c r="Z451" s="105">
        <v>11152</v>
      </c>
      <c r="AA451" s="107">
        <v>11144.255555555557</v>
      </c>
      <c r="AB451" s="105" t="s">
        <v>472</v>
      </c>
    </row>
    <row r="452" spans="1:28">
      <c r="A452" s="105">
        <f t="shared" ref="A452:A515" si="7">A451+1</f>
        <v>451</v>
      </c>
      <c r="B452" s="107">
        <f>YEAR(Table6[[#This Row],[Date]])+IF(MONTH(Table6[[#This Row],[Date]])&gt;=4,1,0)</f>
        <v>2026</v>
      </c>
      <c r="C452" s="105">
        <f>YEAR(Table6[[#This Row],[Date]])</f>
        <v>2025</v>
      </c>
      <c r="D452" s="105" t="s">
        <v>465</v>
      </c>
      <c r="E452" s="119">
        <f>Table6[[#This Row],[Date]]-DAY(Table6[[#This Row],[Date]])+1</f>
        <v>45778</v>
      </c>
      <c r="F452" s="118">
        <v>45781</v>
      </c>
      <c r="G452" s="105" t="s">
        <v>101</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466</v>
      </c>
      <c r="L452" s="39" t="str">
        <f>IFERROR(VLOOKUP(Table6[[#This Row],[Error Code]],'Basic Data'!$T:$U,2,0),"")</f>
        <v>Manual Stop - Safety Related</v>
      </c>
      <c r="M452" s="346" t="s">
        <v>467</v>
      </c>
      <c r="N452" s="39" t="s">
        <v>468</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469</v>
      </c>
      <c r="V452" s="351" t="s">
        <v>470</v>
      </c>
      <c r="W452" s="338">
        <f>Table6[[#This Row],[Breakdown Time]]*(1/39)</f>
        <v>0.61495726495726499</v>
      </c>
      <c r="X452" s="336" t="s">
        <v>486</v>
      </c>
      <c r="Y452" s="352" t="s">
        <v>100</v>
      </c>
      <c r="Z452" s="105">
        <v>11152</v>
      </c>
      <c r="AA452" s="107">
        <v>11144.255555555557</v>
      </c>
      <c r="AB452" s="105" t="s">
        <v>472</v>
      </c>
    </row>
    <row r="453" spans="1:28">
      <c r="A453" s="105">
        <f t="shared" si="7"/>
        <v>452</v>
      </c>
      <c r="B453" s="107">
        <f>YEAR(Table6[[#This Row],[Date]])+IF(MONTH(Table6[[#This Row],[Date]])&gt;=4,1,0)</f>
        <v>2026</v>
      </c>
      <c r="C453" s="105">
        <f>YEAR(Table6[[#This Row],[Date]])</f>
        <v>2025</v>
      </c>
      <c r="D453" s="105" t="s">
        <v>465</v>
      </c>
      <c r="E453" s="119">
        <f>Table6[[#This Row],[Date]]-DAY(Table6[[#This Row],[Date]])+1</f>
        <v>45778</v>
      </c>
      <c r="F453" s="118">
        <v>45781</v>
      </c>
      <c r="G453" s="105" t="s">
        <v>85</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473</v>
      </c>
      <c r="N453" s="39" t="s">
        <v>474</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475</v>
      </c>
      <c r="V453" s="351" t="s">
        <v>476</v>
      </c>
      <c r="W453" s="338">
        <f>Table6[[#This Row],[Breakdown Time]]*(1/39)</f>
        <v>1.0683760683760646E-2</v>
      </c>
      <c r="X453" s="336" t="s">
        <v>477</v>
      </c>
      <c r="Y453" s="352" t="s">
        <v>86</v>
      </c>
      <c r="Z453" s="105">
        <v>13578</v>
      </c>
      <c r="AA453" s="107">
        <v>235.72916666666583</v>
      </c>
      <c r="AB453" s="105" t="s">
        <v>472</v>
      </c>
    </row>
    <row r="454" spans="1:28">
      <c r="A454" s="105">
        <f t="shared" si="7"/>
        <v>453</v>
      </c>
      <c r="B454" s="107">
        <f>YEAR(Table6[[#This Row],[Date]])+IF(MONTH(Table6[[#This Row],[Date]])&gt;=4,1,0)</f>
        <v>2026</v>
      </c>
      <c r="C454" s="105">
        <f>YEAR(Table6[[#This Row],[Date]])</f>
        <v>2025</v>
      </c>
      <c r="D454" s="105" t="s">
        <v>465</v>
      </c>
      <c r="E454" s="119">
        <f>Table6[[#This Row],[Date]]-DAY(Table6[[#This Row],[Date]])+1</f>
        <v>45778</v>
      </c>
      <c r="F454" s="118">
        <v>45781</v>
      </c>
      <c r="G454" s="105" t="s">
        <v>95</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473</v>
      </c>
      <c r="N454" s="39" t="s">
        <v>474</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475</v>
      </c>
      <c r="V454" s="351" t="s">
        <v>476</v>
      </c>
      <c r="W454" s="338">
        <f>Table6[[#This Row],[Breakdown Time]]*(1/39)</f>
        <v>1.6239316239316251E-2</v>
      </c>
      <c r="X454" s="336" t="s">
        <v>477</v>
      </c>
      <c r="Y454" s="352" t="s">
        <v>78</v>
      </c>
      <c r="Z454" s="105">
        <v>11167</v>
      </c>
      <c r="AA454" s="107">
        <v>294.68472222222243</v>
      </c>
      <c r="AB454" s="105" t="s">
        <v>472</v>
      </c>
    </row>
    <row r="455" spans="1:28">
      <c r="A455" s="105">
        <f t="shared" si="7"/>
        <v>454</v>
      </c>
      <c r="B455" s="107">
        <f>YEAR(Table6[[#This Row],[Date]])+IF(MONTH(Table6[[#This Row],[Date]])&gt;=4,1,0)</f>
        <v>2026</v>
      </c>
      <c r="C455" s="105">
        <f>YEAR(Table6[[#This Row],[Date]])</f>
        <v>2025</v>
      </c>
      <c r="D455" s="105" t="s">
        <v>465</v>
      </c>
      <c r="E455" s="119">
        <f>Table6[[#This Row],[Date]]-DAY(Table6[[#This Row],[Date]])+1</f>
        <v>45778</v>
      </c>
      <c r="F455" s="118">
        <v>45781</v>
      </c>
      <c r="G455" s="105" t="s">
        <v>98</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526</v>
      </c>
      <c r="L455" s="39" t="str">
        <f>IFERROR(VLOOKUP(Table6[[#This Row],[Error Code]],'Basic Data'!$T:$U,2,0),"")</f>
        <v>Manual Stop</v>
      </c>
      <c r="M455" s="346" t="s">
        <v>499</v>
      </c>
      <c r="N455" s="39" t="s">
        <v>189</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573</v>
      </c>
      <c r="V455" s="351" t="s">
        <v>470</v>
      </c>
      <c r="W455" s="338">
        <f>Table6[[#This Row],[Breakdown Time]]*(1/39)</f>
        <v>0.33931623931623933</v>
      </c>
      <c r="X455" s="336" t="s">
        <v>501</v>
      </c>
      <c r="Y455" s="352" t="s">
        <v>104</v>
      </c>
      <c r="Z455" s="105">
        <v>8752</v>
      </c>
      <c r="AA455" s="107">
        <v>4825.7555555555564</v>
      </c>
      <c r="AB455" s="105" t="s">
        <v>472</v>
      </c>
    </row>
    <row r="456" spans="1:28">
      <c r="A456" s="105">
        <f t="shared" si="7"/>
        <v>455</v>
      </c>
      <c r="B456" s="107">
        <f>YEAR(Table6[[#This Row],[Date]])+IF(MONTH(Table6[[#This Row],[Date]])&gt;=4,1,0)</f>
        <v>2026</v>
      </c>
      <c r="C456" s="105">
        <f>YEAR(Table6[[#This Row],[Date]])</f>
        <v>2025</v>
      </c>
      <c r="D456" s="105" t="s">
        <v>465</v>
      </c>
      <c r="E456" s="119">
        <f>Table6[[#This Row],[Date]]-DAY(Table6[[#This Row],[Date]])+1</f>
        <v>45778</v>
      </c>
      <c r="F456" s="118">
        <v>45781</v>
      </c>
      <c r="G456" s="105" t="s">
        <v>108</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552</v>
      </c>
      <c r="L456" s="39" t="str">
        <f>IFERROR(VLOOKUP(Table6[[#This Row],[Error Code]],'Basic Data'!$T:$U,2,0),"")</f>
        <v>Manual Stop - Preventive Maintenance Activity</v>
      </c>
      <c r="M456" s="346" t="s">
        <v>553</v>
      </c>
      <c r="N456" s="39" t="s">
        <v>189</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574</v>
      </c>
      <c r="V456" s="351" t="s">
        <v>476</v>
      </c>
      <c r="W456" s="338">
        <f>Table6[[#This Row],[Breakdown Time]]*(1/39)</f>
        <v>0.16880341880341881</v>
      </c>
      <c r="X456" s="336" t="s">
        <v>555</v>
      </c>
      <c r="Y456" s="352" t="s">
        <v>109</v>
      </c>
      <c r="Z456" s="105">
        <v>8759</v>
      </c>
      <c r="AA456" s="107">
        <v>2402.6423611111113</v>
      </c>
      <c r="AB456" s="105" t="s">
        <v>472</v>
      </c>
    </row>
    <row r="457" spans="1:28">
      <c r="A457" s="105">
        <f t="shared" si="7"/>
        <v>456</v>
      </c>
      <c r="B457" s="107">
        <f>YEAR(Table6[[#This Row],[Date]])+IF(MONTH(Table6[[#This Row],[Date]])&gt;=4,1,0)</f>
        <v>2026</v>
      </c>
      <c r="C457" s="105">
        <f>YEAR(Table6[[#This Row],[Date]])</f>
        <v>2025</v>
      </c>
      <c r="D457" s="105" t="s">
        <v>465</v>
      </c>
      <c r="E457" s="119">
        <f>Table6[[#This Row],[Date]]-DAY(Table6[[#This Row],[Date]])+1</f>
        <v>45778</v>
      </c>
      <c r="F457" s="118">
        <v>45782</v>
      </c>
      <c r="G457" s="105" t="s">
        <v>103</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466</v>
      </c>
      <c r="L457" s="39" t="str">
        <f>IFERROR(VLOOKUP(Table6[[#This Row],[Error Code]],'Basic Data'!$T:$U,2,0),"")</f>
        <v>Manual Stop - Safety Related</v>
      </c>
      <c r="M457" s="346" t="s">
        <v>467</v>
      </c>
      <c r="N457" s="39" t="s">
        <v>468</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469</v>
      </c>
      <c r="V457" s="351" t="s">
        <v>470</v>
      </c>
      <c r="W457" s="338">
        <f>Table6[[#This Row],[Breakdown Time]]*(1/39)</f>
        <v>0.61495726495726499</v>
      </c>
      <c r="X457" s="336" t="s">
        <v>486</v>
      </c>
      <c r="Y457" s="352" t="s">
        <v>100</v>
      </c>
      <c r="Z457" s="105">
        <v>7756</v>
      </c>
      <c r="AA457" s="107">
        <v>7750.61388888889</v>
      </c>
      <c r="AB457" s="105" t="s">
        <v>472</v>
      </c>
    </row>
    <row r="458" spans="1:28">
      <c r="A458" s="105">
        <f t="shared" si="7"/>
        <v>457</v>
      </c>
      <c r="B458" s="107">
        <f>YEAR(Table6[[#This Row],[Date]])+IF(MONTH(Table6[[#This Row],[Date]])&gt;=4,1,0)</f>
        <v>2026</v>
      </c>
      <c r="C458" s="105">
        <f>YEAR(Table6[[#This Row],[Date]])</f>
        <v>2025</v>
      </c>
      <c r="D458" s="105" t="s">
        <v>465</v>
      </c>
      <c r="E458" s="119">
        <f>Table6[[#This Row],[Date]]-DAY(Table6[[#This Row],[Date]])+1</f>
        <v>45778</v>
      </c>
      <c r="F458" s="118">
        <v>45782</v>
      </c>
      <c r="G458" s="105" t="s">
        <v>101</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466</v>
      </c>
      <c r="L458" s="39" t="str">
        <f>IFERROR(VLOOKUP(Table6[[#This Row],[Error Code]],'Basic Data'!$T:$U,2,0),"")</f>
        <v>Manual Stop - Safety Related</v>
      </c>
      <c r="M458" s="346" t="s">
        <v>467</v>
      </c>
      <c r="N458" s="39" t="s">
        <v>468</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469</v>
      </c>
      <c r="V458" s="351" t="s">
        <v>470</v>
      </c>
      <c r="W458" s="338">
        <f>Table6[[#This Row],[Breakdown Time]]*(1/39)</f>
        <v>0.61495726495726499</v>
      </c>
      <c r="X458" s="336" t="s">
        <v>486</v>
      </c>
      <c r="Y458" s="352" t="s">
        <v>100</v>
      </c>
      <c r="Z458" s="105">
        <v>7756</v>
      </c>
      <c r="AA458" s="107">
        <v>7750.61388888889</v>
      </c>
      <c r="AB458" s="105" t="s">
        <v>472</v>
      </c>
    </row>
    <row r="459" spans="1:28">
      <c r="A459" s="105">
        <f t="shared" si="7"/>
        <v>458</v>
      </c>
      <c r="B459" s="107">
        <f>YEAR(Table6[[#This Row],[Date]])+IF(MONTH(Table6[[#This Row],[Date]])&gt;=4,1,0)</f>
        <v>2026</v>
      </c>
      <c r="C459" s="105">
        <f>YEAR(Table6[[#This Row],[Date]])</f>
        <v>2025</v>
      </c>
      <c r="D459" s="105" t="s">
        <v>465</v>
      </c>
      <c r="E459" s="119">
        <f>Table6[[#This Row],[Date]]-DAY(Table6[[#This Row],[Date]])+1</f>
        <v>45778</v>
      </c>
      <c r="F459" s="118">
        <v>45782</v>
      </c>
      <c r="G459" s="105" t="s">
        <v>74</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526</v>
      </c>
      <c r="L459" s="39" t="str">
        <f>IFERROR(VLOOKUP(Table6[[#This Row],[Error Code]],'Basic Data'!$T:$U,2,0),"")</f>
        <v>Manual Stop</v>
      </c>
      <c r="M459" s="346" t="s">
        <v>499</v>
      </c>
      <c r="N459" s="39" t="s">
        <v>189</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575</v>
      </c>
      <c r="V459" s="351" t="s">
        <v>476</v>
      </c>
      <c r="W459" s="338">
        <f>Table6[[#This Row],[Breakdown Time]]*(1/39)</f>
        <v>0.19102564102564101</v>
      </c>
      <c r="X459" s="336" t="s">
        <v>501</v>
      </c>
      <c r="Y459" s="352" t="s">
        <v>80</v>
      </c>
      <c r="Z459" s="105">
        <v>8346</v>
      </c>
      <c r="AA459" s="107">
        <v>2590.7375000000002</v>
      </c>
      <c r="AB459" s="105" t="s">
        <v>472</v>
      </c>
    </row>
    <row r="460" spans="1:28">
      <c r="A460" s="105">
        <f t="shared" si="7"/>
        <v>459</v>
      </c>
      <c r="B460" s="107">
        <f>YEAR(Table6[[#This Row],[Date]])+IF(MONTH(Table6[[#This Row],[Date]])&gt;=4,1,0)</f>
        <v>2026</v>
      </c>
      <c r="C460" s="105">
        <f>YEAR(Table6[[#This Row],[Date]])</f>
        <v>2025</v>
      </c>
      <c r="D460" s="105" t="s">
        <v>465</v>
      </c>
      <c r="E460" s="119">
        <f>Table6[[#This Row],[Date]]-DAY(Table6[[#This Row],[Date]])+1</f>
        <v>45778</v>
      </c>
      <c r="F460" s="118">
        <v>45782</v>
      </c>
      <c r="G460" s="105" t="s">
        <v>78</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526</v>
      </c>
      <c r="L460" s="39" t="str">
        <f>IFERROR(VLOOKUP(Table6[[#This Row],[Error Code]],'Basic Data'!$T:$U,2,0),"")</f>
        <v>Manual Stop</v>
      </c>
      <c r="M460" s="346" t="s">
        <v>576</v>
      </c>
      <c r="N460" s="39" t="s">
        <v>189</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577</v>
      </c>
      <c r="V460" s="351" t="s">
        <v>476</v>
      </c>
      <c r="W460" s="338">
        <f>Table6[[#This Row],[Breakdown Time]]*(1/39)</f>
        <v>2.7350427350427319E-2</v>
      </c>
      <c r="X460" s="336" t="s">
        <v>501</v>
      </c>
      <c r="Y460" s="352" t="s">
        <v>95</v>
      </c>
      <c r="Z460" s="105">
        <v>6524</v>
      </c>
      <c r="AA460" s="107">
        <v>289.95555555555524</v>
      </c>
      <c r="AB460" s="105" t="s">
        <v>472</v>
      </c>
    </row>
    <row r="461" spans="1:28">
      <c r="A461" s="105">
        <f t="shared" si="7"/>
        <v>460</v>
      </c>
      <c r="B461" s="107">
        <f>YEAR(Table6[[#This Row],[Date]])+IF(MONTH(Table6[[#This Row],[Date]])&gt;=4,1,0)</f>
        <v>2026</v>
      </c>
      <c r="C461" s="105">
        <f>YEAR(Table6[[#This Row],[Date]])</f>
        <v>2025</v>
      </c>
      <c r="D461" s="105" t="s">
        <v>465</v>
      </c>
      <c r="E461" s="119">
        <f>Table6[[#This Row],[Date]]-DAY(Table6[[#This Row],[Date]])+1</f>
        <v>45778</v>
      </c>
      <c r="F461" s="118">
        <v>45782</v>
      </c>
      <c r="G461" s="105" t="s">
        <v>85</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473</v>
      </c>
      <c r="N461" s="39" t="s">
        <v>474</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475</v>
      </c>
      <c r="V461" s="351" t="s">
        <v>476</v>
      </c>
      <c r="W461" s="338">
        <f>Table6[[#This Row],[Breakdown Time]]*(1/39)</f>
        <v>1.410256410256412E-2</v>
      </c>
      <c r="X461" s="336" t="s">
        <v>477</v>
      </c>
      <c r="Y461" s="352" t="s">
        <v>82</v>
      </c>
      <c r="Z461" s="105">
        <v>8289</v>
      </c>
      <c r="AA461" s="107">
        <v>189.95625000000024</v>
      </c>
      <c r="AB461" s="105" t="s">
        <v>472</v>
      </c>
    </row>
    <row r="462" spans="1:28">
      <c r="A462" s="105">
        <f t="shared" si="7"/>
        <v>461</v>
      </c>
      <c r="B462" s="107">
        <f>YEAR(Table6[[#This Row],[Date]])+IF(MONTH(Table6[[#This Row],[Date]])&gt;=4,1,0)</f>
        <v>2026</v>
      </c>
      <c r="C462" s="105">
        <f>YEAR(Table6[[#This Row],[Date]])</f>
        <v>2025</v>
      </c>
      <c r="D462" s="105" t="s">
        <v>465</v>
      </c>
      <c r="E462" s="119">
        <f>Table6[[#This Row],[Date]]-DAY(Table6[[#This Row],[Date]])+1</f>
        <v>45778</v>
      </c>
      <c r="F462" s="118">
        <v>45782</v>
      </c>
      <c r="G462" s="105" t="s">
        <v>87</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473</v>
      </c>
      <c r="N462" s="39" t="s">
        <v>474</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475</v>
      </c>
      <c r="V462" s="351" t="s">
        <v>476</v>
      </c>
      <c r="W462" s="338">
        <f>Table6[[#This Row],[Breakdown Time]]*(1/39)</f>
        <v>1.1111111111111072E-2</v>
      </c>
      <c r="X462" s="336" t="s">
        <v>477</v>
      </c>
      <c r="Y462" s="352" t="s">
        <v>88</v>
      </c>
      <c r="Z462" s="105">
        <v>8256</v>
      </c>
      <c r="AA462" s="107">
        <v>149.06666666666615</v>
      </c>
      <c r="AB462" s="105" t="s">
        <v>472</v>
      </c>
    </row>
    <row r="463" spans="1:28">
      <c r="A463" s="105">
        <f t="shared" si="7"/>
        <v>462</v>
      </c>
      <c r="B463" s="107">
        <f>YEAR(Table6[[#This Row],[Date]])+IF(MONTH(Table6[[#This Row],[Date]])&gt;=4,1,0)</f>
        <v>2026</v>
      </c>
      <c r="C463" s="105">
        <f>YEAR(Table6[[#This Row],[Date]])</f>
        <v>2025</v>
      </c>
      <c r="D463" s="105" t="s">
        <v>465</v>
      </c>
      <c r="E463" s="119">
        <f>Table6[[#This Row],[Date]]-DAY(Table6[[#This Row],[Date]])+1</f>
        <v>45778</v>
      </c>
      <c r="F463" s="118">
        <v>45782</v>
      </c>
      <c r="G463" s="105" t="s">
        <v>94</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526</v>
      </c>
      <c r="L463" s="39" t="str">
        <f>IFERROR(VLOOKUP(Table6[[#This Row],[Error Code]],'Basic Data'!$T:$U,2,0),"")</f>
        <v>Manual Stop</v>
      </c>
      <c r="M463" s="346" t="s">
        <v>576</v>
      </c>
      <c r="N463" s="39" t="s">
        <v>189</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577</v>
      </c>
      <c r="V463" s="351" t="s">
        <v>476</v>
      </c>
      <c r="W463" s="338">
        <f>Table6[[#This Row],[Breakdown Time]]*(1/39)</f>
        <v>1.0256410256410288E-2</v>
      </c>
      <c r="X463" s="336" t="s">
        <v>501</v>
      </c>
      <c r="Y463" s="352" t="s">
        <v>95</v>
      </c>
      <c r="Z463" s="105">
        <v>6524</v>
      </c>
      <c r="AA463" s="107">
        <v>108.73333333333366</v>
      </c>
      <c r="AB463" s="105" t="s">
        <v>472</v>
      </c>
    </row>
    <row r="464" spans="1:28">
      <c r="A464" s="105">
        <f t="shared" si="7"/>
        <v>463</v>
      </c>
      <c r="B464" s="107">
        <f>YEAR(Table6[[#This Row],[Date]])+IF(MONTH(Table6[[#This Row],[Date]])&gt;=4,1,0)</f>
        <v>2026</v>
      </c>
      <c r="C464" s="105">
        <f>YEAR(Table6[[#This Row],[Date]])</f>
        <v>2025</v>
      </c>
      <c r="D464" s="105" t="s">
        <v>465</v>
      </c>
      <c r="E464" s="119">
        <f>Table6[[#This Row],[Date]]-DAY(Table6[[#This Row],[Date]])+1</f>
        <v>45778</v>
      </c>
      <c r="F464" s="118">
        <v>45782</v>
      </c>
      <c r="G464" s="105" t="s">
        <v>95</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526</v>
      </c>
      <c r="L464" s="39" t="str">
        <f>IFERROR(VLOOKUP(Table6[[#This Row],[Error Code]],'Basic Data'!$T:$U,2,0),"")</f>
        <v>Manual Stop</v>
      </c>
      <c r="M464" s="346" t="s">
        <v>576</v>
      </c>
      <c r="N464" s="39" t="s">
        <v>189</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577</v>
      </c>
      <c r="V464" s="351" t="s">
        <v>476</v>
      </c>
      <c r="W464" s="338">
        <f>Table6[[#This Row],[Breakdown Time]]*(1/39)</f>
        <v>1.837606837606838E-2</v>
      </c>
      <c r="X464" s="336" t="s">
        <v>501</v>
      </c>
      <c r="Y464" s="352" t="s">
        <v>78</v>
      </c>
      <c r="Z464" s="105">
        <v>6500</v>
      </c>
      <c r="AA464" s="107">
        <v>194.09722222222223</v>
      </c>
      <c r="AB464" s="105" t="s">
        <v>472</v>
      </c>
    </row>
    <row r="465" spans="1:28">
      <c r="A465" s="105">
        <f t="shared" si="7"/>
        <v>464</v>
      </c>
      <c r="B465" s="107">
        <f>YEAR(Table6[[#This Row],[Date]])+IF(MONTH(Table6[[#This Row],[Date]])&gt;=4,1,0)</f>
        <v>2026</v>
      </c>
      <c r="C465" s="105">
        <f>YEAR(Table6[[#This Row],[Date]])</f>
        <v>2025</v>
      </c>
      <c r="D465" s="105" t="s">
        <v>465</v>
      </c>
      <c r="E465" s="119">
        <f>Table6[[#This Row],[Date]]-DAY(Table6[[#This Row],[Date]])+1</f>
        <v>45778</v>
      </c>
      <c r="F465" s="118">
        <v>45782</v>
      </c>
      <c r="G465" s="105" t="s">
        <v>98</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526</v>
      </c>
      <c r="L465" s="39" t="str">
        <f>IFERROR(VLOOKUP(Table6[[#This Row],[Error Code]],'Basic Data'!$T:$U,2,0),"")</f>
        <v>Manual Stop</v>
      </c>
      <c r="M465" s="346" t="s">
        <v>499</v>
      </c>
      <c r="N465" s="39" t="s">
        <v>189</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573</v>
      </c>
      <c r="V465" s="351" t="s">
        <v>470</v>
      </c>
      <c r="W465" s="338">
        <f>Table6[[#This Row],[Breakdown Time]]*(1/39)</f>
        <v>0.61495726495726499</v>
      </c>
      <c r="X465" s="336" t="s">
        <v>477</v>
      </c>
      <c r="Y465" s="352" t="s">
        <v>104</v>
      </c>
      <c r="Z465" s="105">
        <v>5832</v>
      </c>
      <c r="AA465" s="107">
        <v>5827.95</v>
      </c>
      <c r="AB465" s="105" t="s">
        <v>472</v>
      </c>
    </row>
    <row r="466" spans="1:28">
      <c r="A466" s="105">
        <f t="shared" si="7"/>
        <v>465</v>
      </c>
      <c r="B466" s="107">
        <f>YEAR(Table6[[#This Row],[Date]])+IF(MONTH(Table6[[#This Row],[Date]])&gt;=4,1,0)</f>
        <v>2026</v>
      </c>
      <c r="C466" s="105">
        <f>YEAR(Table6[[#This Row],[Date]])</f>
        <v>2025</v>
      </c>
      <c r="D466" s="105" t="s">
        <v>465</v>
      </c>
      <c r="E466" s="119">
        <f>Table6[[#This Row],[Date]]-DAY(Table6[[#This Row],[Date]])+1</f>
        <v>45778</v>
      </c>
      <c r="F466" s="118">
        <v>45782</v>
      </c>
      <c r="G466" s="105" t="s">
        <v>100</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466</v>
      </c>
      <c r="L466" s="39" t="str">
        <f>IFERROR(VLOOKUP(Table6[[#This Row],[Error Code]],'Basic Data'!$T:$U,2,0),"")</f>
        <v>Manual Stop - Safety Related</v>
      </c>
      <c r="M466" s="346" t="s">
        <v>467</v>
      </c>
      <c r="N466" s="39" t="s">
        <v>189</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506</v>
      </c>
      <c r="V466" s="351" t="s">
        <v>476</v>
      </c>
      <c r="W466" s="338">
        <f>Table6[[#This Row],[Breakdown Time]]*(1/39)</f>
        <v>7.1367521367521322E-2</v>
      </c>
      <c r="X466" s="336" t="s">
        <v>486</v>
      </c>
      <c r="Y466" s="352" t="s">
        <v>102</v>
      </c>
      <c r="Z466" s="105">
        <v>7741</v>
      </c>
      <c r="AA466" s="107">
        <v>897.74097222222167</v>
      </c>
      <c r="AB466" s="105" t="s">
        <v>472</v>
      </c>
    </row>
    <row r="467" spans="1:28">
      <c r="A467" s="105">
        <f t="shared" si="7"/>
        <v>466</v>
      </c>
      <c r="B467" s="107">
        <f>YEAR(Table6[[#This Row],[Date]])+IF(MONTH(Table6[[#This Row],[Date]])&gt;=4,1,0)</f>
        <v>2026</v>
      </c>
      <c r="C467" s="105">
        <f>YEAR(Table6[[#This Row],[Date]])</f>
        <v>2025</v>
      </c>
      <c r="D467" s="105" t="s">
        <v>465</v>
      </c>
      <c r="E467" s="119">
        <f>Table6[[#This Row],[Date]]-DAY(Table6[[#This Row],[Date]])+1</f>
        <v>45778</v>
      </c>
      <c r="F467" s="118">
        <v>45783</v>
      </c>
      <c r="G467" s="105" t="s">
        <v>103</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466</v>
      </c>
      <c r="L467" s="39" t="str">
        <f>IFERROR(VLOOKUP(Table6[[#This Row],[Error Code]],'Basic Data'!$T:$U,2,0),"")</f>
        <v>Manual Stop - Safety Related</v>
      </c>
      <c r="M467" s="346" t="s">
        <v>467</v>
      </c>
      <c r="N467" s="39" t="s">
        <v>468</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469</v>
      </c>
      <c r="V467" s="351" t="s">
        <v>470</v>
      </c>
      <c r="W467" s="338">
        <f>Table6[[#This Row],[Breakdown Time]]*(1/39)</f>
        <v>0.61495726495726499</v>
      </c>
      <c r="X467" s="336" t="s">
        <v>486</v>
      </c>
      <c r="Y467" s="352" t="s">
        <v>100</v>
      </c>
      <c r="Z467" s="105">
        <v>8376</v>
      </c>
      <c r="AA467" s="107">
        <v>8370.1833333333343</v>
      </c>
      <c r="AB467" s="105" t="s">
        <v>472</v>
      </c>
    </row>
    <row r="468" spans="1:28">
      <c r="A468" s="105">
        <f t="shared" si="7"/>
        <v>467</v>
      </c>
      <c r="B468" s="107">
        <f>YEAR(Table6[[#This Row],[Date]])+IF(MONTH(Table6[[#This Row],[Date]])&gt;=4,1,0)</f>
        <v>2026</v>
      </c>
      <c r="C468" s="105">
        <f>YEAR(Table6[[#This Row],[Date]])</f>
        <v>2025</v>
      </c>
      <c r="D468" s="105" t="s">
        <v>465</v>
      </c>
      <c r="E468" s="119">
        <f>Table6[[#This Row],[Date]]-DAY(Table6[[#This Row],[Date]])+1</f>
        <v>45778</v>
      </c>
      <c r="F468" s="118">
        <v>45783</v>
      </c>
      <c r="G468" s="105" t="s">
        <v>101</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466</v>
      </c>
      <c r="L468" s="39" t="str">
        <f>IFERROR(VLOOKUP(Table6[[#This Row],[Error Code]],'Basic Data'!$T:$U,2,0),"")</f>
        <v>Manual Stop - Safety Related</v>
      </c>
      <c r="M468" s="346" t="s">
        <v>467</v>
      </c>
      <c r="N468" s="39" t="s">
        <v>468</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469</v>
      </c>
      <c r="V468" s="351" t="s">
        <v>470</v>
      </c>
      <c r="W468" s="338">
        <f>Table6[[#This Row],[Breakdown Time]]*(1/39)</f>
        <v>0.61495726495726499</v>
      </c>
      <c r="X468" s="336" t="s">
        <v>486</v>
      </c>
      <c r="Y468" s="352" t="s">
        <v>100</v>
      </c>
      <c r="Z468" s="105">
        <v>8376</v>
      </c>
      <c r="AA468" s="107">
        <v>8370.1833333333343</v>
      </c>
      <c r="AB468" s="105" t="s">
        <v>472</v>
      </c>
    </row>
    <row r="469" spans="1:28">
      <c r="A469" s="105">
        <f t="shared" si="7"/>
        <v>468</v>
      </c>
      <c r="B469" s="107">
        <f>YEAR(Table6[[#This Row],[Date]])+IF(MONTH(Table6[[#This Row],[Date]])&gt;=4,1,0)</f>
        <v>2026</v>
      </c>
      <c r="C469" s="105">
        <f>YEAR(Table6[[#This Row],[Date]])</f>
        <v>2025</v>
      </c>
      <c r="D469" s="105" t="s">
        <v>465</v>
      </c>
      <c r="E469" s="119">
        <f>Table6[[#This Row],[Date]]-DAY(Table6[[#This Row],[Date]])+1</f>
        <v>45778</v>
      </c>
      <c r="F469" s="118">
        <v>45783</v>
      </c>
      <c r="G469" s="105" t="s">
        <v>89</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473</v>
      </c>
      <c r="N469" s="39" t="s">
        <v>474</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475</v>
      </c>
      <c r="V469" s="351" t="s">
        <v>476</v>
      </c>
      <c r="W469" s="338">
        <f>Table6[[#This Row],[Breakdown Time]]*(1/39)</f>
        <v>1.5384615384615398E-2</v>
      </c>
      <c r="X469" s="336" t="s">
        <v>477</v>
      </c>
      <c r="Y469" s="352" t="s">
        <v>90</v>
      </c>
      <c r="Z469" s="105">
        <v>9644</v>
      </c>
      <c r="AA469" s="107">
        <v>241.10000000000019</v>
      </c>
      <c r="AB469" s="105" t="s">
        <v>472</v>
      </c>
    </row>
    <row r="470" spans="1:28">
      <c r="A470" s="105">
        <f t="shared" si="7"/>
        <v>469</v>
      </c>
      <c r="B470" s="107">
        <f>YEAR(Table6[[#This Row],[Date]])+IF(MONTH(Table6[[#This Row],[Date]])&gt;=4,1,0)</f>
        <v>2026</v>
      </c>
      <c r="C470" s="105">
        <f>YEAR(Table6[[#This Row],[Date]])</f>
        <v>2025</v>
      </c>
      <c r="D470" s="105" t="s">
        <v>465</v>
      </c>
      <c r="E470" s="119">
        <f>Table6[[#This Row],[Date]]-DAY(Table6[[#This Row],[Date]])+1</f>
        <v>45778</v>
      </c>
      <c r="F470" s="118">
        <v>45783</v>
      </c>
      <c r="G470" s="105" t="s">
        <v>92</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473</v>
      </c>
      <c r="N470" s="39" t="s">
        <v>474</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578</v>
      </c>
      <c r="V470" s="351" t="s">
        <v>476</v>
      </c>
      <c r="W470" s="338">
        <f>Table6[[#This Row],[Breakdown Time]]*(1/39)</f>
        <v>4.2735042735042715E-2</v>
      </c>
      <c r="X470" s="336" t="s">
        <v>477</v>
      </c>
      <c r="Y470" s="352" t="s">
        <v>91</v>
      </c>
      <c r="Z470" s="105">
        <v>9640</v>
      </c>
      <c r="AA470" s="107">
        <v>669.44444444444423</v>
      </c>
      <c r="AB470" s="105" t="s">
        <v>472</v>
      </c>
    </row>
    <row r="471" spans="1:28">
      <c r="A471" s="105">
        <f t="shared" si="7"/>
        <v>470</v>
      </c>
      <c r="B471" s="107">
        <f>YEAR(Table6[[#This Row],[Date]])+IF(MONTH(Table6[[#This Row],[Date]])&gt;=4,1,0)</f>
        <v>2026</v>
      </c>
      <c r="C471" s="105">
        <f>YEAR(Table6[[#This Row],[Date]])</f>
        <v>2025</v>
      </c>
      <c r="D471" s="105" t="s">
        <v>465</v>
      </c>
      <c r="E471" s="119">
        <f>Table6[[#This Row],[Date]]-DAY(Table6[[#This Row],[Date]])+1</f>
        <v>45778</v>
      </c>
      <c r="F471" s="118">
        <v>45783</v>
      </c>
      <c r="G471" s="105" t="s">
        <v>95</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473</v>
      </c>
      <c r="N471" s="39" t="s">
        <v>474</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475</v>
      </c>
      <c r="V471" s="351" t="s">
        <v>476</v>
      </c>
      <c r="W471" s="338">
        <f>Table6[[#This Row],[Breakdown Time]]*(1/39)</f>
        <v>2.0512820512820575E-2</v>
      </c>
      <c r="X471" s="336" t="s">
        <v>477</v>
      </c>
      <c r="Y471" s="352" t="s">
        <v>78</v>
      </c>
      <c r="Z471" s="105">
        <v>8301</v>
      </c>
      <c r="AA471" s="107">
        <v>276.70000000000084</v>
      </c>
      <c r="AB471" s="105" t="s">
        <v>472</v>
      </c>
    </row>
    <row r="472" spans="1:28">
      <c r="A472" s="105">
        <f t="shared" si="7"/>
        <v>471</v>
      </c>
      <c r="B472" s="107">
        <f>YEAR(Table6[[#This Row],[Date]])+IF(MONTH(Table6[[#This Row],[Date]])&gt;=4,1,0)</f>
        <v>2026</v>
      </c>
      <c r="C472" s="105">
        <f>YEAR(Table6[[#This Row],[Date]])</f>
        <v>2025</v>
      </c>
      <c r="D472" s="105" t="s">
        <v>465</v>
      </c>
      <c r="E472" s="119">
        <f>Table6[[#This Row],[Date]]-DAY(Table6[[#This Row],[Date]])+1</f>
        <v>45778</v>
      </c>
      <c r="F472" s="118">
        <v>45783</v>
      </c>
      <c r="G472" s="105" t="s">
        <v>96</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473</v>
      </c>
      <c r="N472" s="39" t="s">
        <v>474</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484</v>
      </c>
      <c r="V472" s="351" t="s">
        <v>476</v>
      </c>
      <c r="W472" s="338">
        <f>Table6[[#This Row],[Breakdown Time]]*(1/39)</f>
        <v>1.8803418803418806E-2</v>
      </c>
      <c r="X472" s="336" t="s">
        <v>477</v>
      </c>
      <c r="Y472" s="352" t="s">
        <v>78</v>
      </c>
      <c r="Z472" s="105">
        <v>8301</v>
      </c>
      <c r="AA472" s="107">
        <v>253.64166666666668</v>
      </c>
      <c r="AB472" s="105" t="s">
        <v>472</v>
      </c>
    </row>
    <row r="473" spans="1:28">
      <c r="A473" s="105">
        <f t="shared" si="7"/>
        <v>472</v>
      </c>
      <c r="B473" s="107">
        <f>YEAR(Table6[[#This Row],[Date]])+IF(MONTH(Table6[[#This Row],[Date]])&gt;=4,1,0)</f>
        <v>2026</v>
      </c>
      <c r="C473" s="105">
        <f>YEAR(Table6[[#This Row],[Date]])</f>
        <v>2025</v>
      </c>
      <c r="D473" s="105" t="s">
        <v>465</v>
      </c>
      <c r="E473" s="119">
        <f>Table6[[#This Row],[Date]]-DAY(Table6[[#This Row],[Date]])+1</f>
        <v>45778</v>
      </c>
      <c r="F473" s="118">
        <v>45783</v>
      </c>
      <c r="G473" s="105" t="s">
        <v>98</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526</v>
      </c>
      <c r="L473" s="39" t="str">
        <f>IFERROR(VLOOKUP(Table6[[#This Row],[Error Code]],'Basic Data'!$T:$U,2,0),"")</f>
        <v>Manual Stop</v>
      </c>
      <c r="M473" s="346" t="s">
        <v>499</v>
      </c>
      <c r="N473" s="39" t="s">
        <v>189</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579</v>
      </c>
      <c r="V473" s="351" t="s">
        <v>476</v>
      </c>
      <c r="W473" s="338">
        <f>Table6[[#This Row],[Breakdown Time]]*(1/39)</f>
        <v>0.402991452991453</v>
      </c>
      <c r="X473" s="336" t="s">
        <v>501</v>
      </c>
      <c r="Y473" s="352" t="s">
        <v>104</v>
      </c>
      <c r="Z473" s="105">
        <v>6972</v>
      </c>
      <c r="AA473" s="107">
        <v>4565.6916666666666</v>
      </c>
      <c r="AB473" s="105" t="s">
        <v>472</v>
      </c>
    </row>
    <row r="474" spans="1:28">
      <c r="A474" s="105">
        <f t="shared" si="7"/>
        <v>473</v>
      </c>
      <c r="B474" s="107">
        <f>YEAR(Table6[[#This Row],[Date]])+IF(MONTH(Table6[[#This Row],[Date]])&gt;=4,1,0)</f>
        <v>2026</v>
      </c>
      <c r="C474" s="105">
        <f>YEAR(Table6[[#This Row],[Date]])</f>
        <v>2025</v>
      </c>
      <c r="D474" s="105" t="s">
        <v>465</v>
      </c>
      <c r="E474" s="119">
        <f>Table6[[#This Row],[Date]]-DAY(Table6[[#This Row],[Date]])+1</f>
        <v>45778</v>
      </c>
      <c r="F474" s="118">
        <v>45783</v>
      </c>
      <c r="G474" s="105" t="s">
        <v>109</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552</v>
      </c>
      <c r="L474" s="39" t="str">
        <f>IFERROR(VLOOKUP(Table6[[#This Row],[Error Code]],'Basic Data'!$T:$U,2,0),"")</f>
        <v>Manual Stop - Preventive Maintenance Activity</v>
      </c>
      <c r="M474" s="346" t="s">
        <v>553</v>
      </c>
      <c r="N474" s="39" t="s">
        <v>189</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572</v>
      </c>
      <c r="V474" s="351" t="s">
        <v>476</v>
      </c>
      <c r="W474" s="338">
        <f>Table6[[#This Row],[Breakdown Time]]*(1/39)</f>
        <v>0.17905982905982903</v>
      </c>
      <c r="X474" s="336" t="s">
        <v>555</v>
      </c>
      <c r="Y474" s="352" t="s">
        <v>108</v>
      </c>
      <c r="Z474" s="105">
        <v>6953</v>
      </c>
      <c r="AA474" s="107">
        <v>2023.1298611111108</v>
      </c>
      <c r="AB474" s="105" t="s">
        <v>472</v>
      </c>
    </row>
    <row r="475" spans="1:28">
      <c r="A475" s="105">
        <f t="shared" si="7"/>
        <v>474</v>
      </c>
      <c r="B475" s="107">
        <f>YEAR(Table6[[#This Row],[Date]])+IF(MONTH(Table6[[#This Row],[Date]])&gt;=4,1,0)</f>
        <v>2026</v>
      </c>
      <c r="C475" s="105">
        <f>YEAR(Table6[[#This Row],[Date]])</f>
        <v>2025</v>
      </c>
      <c r="D475" s="105" t="s">
        <v>465</v>
      </c>
      <c r="E475" s="119">
        <f>Table6[[#This Row],[Date]]-DAY(Table6[[#This Row],[Date]])+1</f>
        <v>45778</v>
      </c>
      <c r="F475" s="118">
        <v>45784</v>
      </c>
      <c r="G475" s="105" t="s">
        <v>103</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466</v>
      </c>
      <c r="L475" s="39" t="str">
        <f>IFERROR(VLOOKUP(Table6[[#This Row],[Error Code]],'Basic Data'!$T:$U,2,0),"")</f>
        <v>Manual Stop - Safety Related</v>
      </c>
      <c r="M475" s="346" t="s">
        <v>467</v>
      </c>
      <c r="N475" s="39" t="s">
        <v>468</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469</v>
      </c>
      <c r="V475" s="351" t="s">
        <v>470</v>
      </c>
      <c r="W475" s="338">
        <f>Table6[[#This Row],[Breakdown Time]]*(1/39)</f>
        <v>0.61495726495726499</v>
      </c>
      <c r="X475" s="336" t="s">
        <v>486</v>
      </c>
      <c r="Y475" s="352" t="s">
        <v>100</v>
      </c>
      <c r="Z475" s="105">
        <v>9453</v>
      </c>
      <c r="AA475" s="107">
        <v>9446.4354166666672</v>
      </c>
      <c r="AB475" s="105" t="s">
        <v>472</v>
      </c>
    </row>
    <row r="476" spans="1:28">
      <c r="A476" s="105">
        <f t="shared" si="7"/>
        <v>475</v>
      </c>
      <c r="B476" s="107">
        <f>YEAR(Table6[[#This Row],[Date]])+IF(MONTH(Table6[[#This Row],[Date]])&gt;=4,1,0)</f>
        <v>2026</v>
      </c>
      <c r="C476" s="105">
        <f>YEAR(Table6[[#This Row],[Date]])</f>
        <v>2025</v>
      </c>
      <c r="D476" s="105" t="s">
        <v>465</v>
      </c>
      <c r="E476" s="119">
        <f>Table6[[#This Row],[Date]]-DAY(Table6[[#This Row],[Date]])+1</f>
        <v>45778</v>
      </c>
      <c r="F476" s="118">
        <v>45784</v>
      </c>
      <c r="G476" s="105" t="s">
        <v>101</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466</v>
      </c>
      <c r="L476" s="39" t="str">
        <f>IFERROR(VLOOKUP(Table6[[#This Row],[Error Code]],'Basic Data'!$T:$U,2,0),"")</f>
        <v>Manual Stop - Safety Related</v>
      </c>
      <c r="M476" s="346" t="s">
        <v>467</v>
      </c>
      <c r="N476" s="39" t="s">
        <v>468</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469</v>
      </c>
      <c r="V476" s="351" t="s">
        <v>470</v>
      </c>
      <c r="W476" s="338">
        <f>Table6[[#This Row],[Breakdown Time]]*(1/39)</f>
        <v>0.61495726495726499</v>
      </c>
      <c r="X476" s="336" t="s">
        <v>486</v>
      </c>
      <c r="Y476" s="352" t="s">
        <v>100</v>
      </c>
      <c r="Z476" s="105">
        <v>9453</v>
      </c>
      <c r="AA476" s="107">
        <v>9446.4354166666672</v>
      </c>
      <c r="AB476" s="105" t="s">
        <v>472</v>
      </c>
    </row>
    <row r="477" spans="1:28">
      <c r="A477" s="105">
        <f t="shared" si="7"/>
        <v>476</v>
      </c>
      <c r="B477" s="107">
        <f>YEAR(Table6[[#This Row],[Date]])+IF(MONTH(Table6[[#This Row],[Date]])&gt;=4,1,0)</f>
        <v>2026</v>
      </c>
      <c r="C477" s="105">
        <f>YEAR(Table6[[#This Row],[Date]])</f>
        <v>2025</v>
      </c>
      <c r="D477" s="105" t="s">
        <v>465</v>
      </c>
      <c r="E477" s="119">
        <f>Table6[[#This Row],[Date]]-DAY(Table6[[#This Row],[Date]])+1</f>
        <v>45778</v>
      </c>
      <c r="F477" s="118">
        <v>45784</v>
      </c>
      <c r="G477" s="105" t="s">
        <v>74</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473</v>
      </c>
      <c r="N477" s="39" t="s">
        <v>474</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484</v>
      </c>
      <c r="V477" s="351" t="s">
        <v>476</v>
      </c>
      <c r="W477" s="338">
        <f>Table6[[#This Row],[Breakdown Time]]*(1/39)</f>
        <v>1.8803418803418806E-2</v>
      </c>
      <c r="X477" s="336" t="s">
        <v>477</v>
      </c>
      <c r="Y477" s="352" t="s">
        <v>80</v>
      </c>
      <c r="Z477" s="105">
        <v>10989</v>
      </c>
      <c r="AA477" s="107">
        <v>335.77500000000003</v>
      </c>
      <c r="AB477" s="105" t="s">
        <v>472</v>
      </c>
    </row>
    <row r="478" spans="1:28">
      <c r="A478" s="105">
        <f t="shared" si="7"/>
        <v>477</v>
      </c>
      <c r="B478" s="107">
        <f>YEAR(Table6[[#This Row],[Date]])+IF(MONTH(Table6[[#This Row],[Date]])&gt;=4,1,0)</f>
        <v>2026</v>
      </c>
      <c r="C478" s="105">
        <f>YEAR(Table6[[#This Row],[Date]])</f>
        <v>2025</v>
      </c>
      <c r="D478" s="105" t="s">
        <v>465</v>
      </c>
      <c r="E478" s="119">
        <f>Table6[[#This Row],[Date]]-DAY(Table6[[#This Row],[Date]])+1</f>
        <v>45778</v>
      </c>
      <c r="F478" s="118">
        <v>45784</v>
      </c>
      <c r="G478" s="105" t="s">
        <v>79</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473</v>
      </c>
      <c r="N478" s="39" t="s">
        <v>474</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484</v>
      </c>
      <c r="V478" s="351" t="s">
        <v>476</v>
      </c>
      <c r="W478" s="338">
        <f>Table6[[#This Row],[Breakdown Time]]*(1/39)</f>
        <v>1.6666666666666677E-2</v>
      </c>
      <c r="X478" s="336" t="s">
        <v>477</v>
      </c>
      <c r="Y478" s="352" t="s">
        <v>76</v>
      </c>
      <c r="Z478" s="105">
        <v>12694</v>
      </c>
      <c r="AA478" s="107">
        <v>343.79583333333352</v>
      </c>
      <c r="AB478" s="105" t="s">
        <v>472</v>
      </c>
    </row>
    <row r="479" spans="1:28">
      <c r="A479" s="105">
        <f t="shared" si="7"/>
        <v>478</v>
      </c>
      <c r="B479" s="107">
        <f>YEAR(Table6[[#This Row],[Date]])+IF(MONTH(Table6[[#This Row],[Date]])&gt;=4,1,0)</f>
        <v>2026</v>
      </c>
      <c r="C479" s="105">
        <f>YEAR(Table6[[#This Row],[Date]])</f>
        <v>2025</v>
      </c>
      <c r="D479" s="105" t="s">
        <v>465</v>
      </c>
      <c r="E479" s="119">
        <f>Table6[[#This Row],[Date]]-DAY(Table6[[#This Row],[Date]])+1</f>
        <v>45778</v>
      </c>
      <c r="F479" s="118">
        <v>45784</v>
      </c>
      <c r="G479" s="105" t="s">
        <v>80</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473</v>
      </c>
      <c r="N479" s="39" t="s">
        <v>474</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484</v>
      </c>
      <c r="V479" s="351" t="s">
        <v>476</v>
      </c>
      <c r="W479" s="338">
        <f>Table6[[#This Row],[Breakdown Time]]*(1/39)</f>
        <v>2.2649572649572635E-2</v>
      </c>
      <c r="X479" s="336" t="s">
        <v>477</v>
      </c>
      <c r="Y479" s="352" t="s">
        <v>74</v>
      </c>
      <c r="Z479" s="105">
        <v>10973</v>
      </c>
      <c r="AA479" s="107">
        <v>403.86736111111088</v>
      </c>
      <c r="AB479" s="105" t="s">
        <v>472</v>
      </c>
    </row>
    <row r="480" spans="1:28">
      <c r="A480" s="105">
        <f t="shared" si="7"/>
        <v>479</v>
      </c>
      <c r="B480" s="107">
        <f>YEAR(Table6[[#This Row],[Date]])+IF(MONTH(Table6[[#This Row],[Date]])&gt;=4,1,0)</f>
        <v>2026</v>
      </c>
      <c r="C480" s="105">
        <f>YEAR(Table6[[#This Row],[Date]])</f>
        <v>2025</v>
      </c>
      <c r="D480" s="105" t="s">
        <v>465</v>
      </c>
      <c r="E480" s="119">
        <f>Table6[[#This Row],[Date]]-DAY(Table6[[#This Row],[Date]])+1</f>
        <v>45778</v>
      </c>
      <c r="F480" s="118">
        <v>45784</v>
      </c>
      <c r="G480" s="105" t="s">
        <v>89</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473</v>
      </c>
      <c r="N480" s="39" t="s">
        <v>474</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484</v>
      </c>
      <c r="V480" s="351" t="s">
        <v>476</v>
      </c>
      <c r="W480" s="338">
        <f>Table6[[#This Row],[Breakdown Time]]*(1/39)</f>
        <v>9.8290598290598618E-3</v>
      </c>
      <c r="X480" s="336" t="s">
        <v>477</v>
      </c>
      <c r="Y480" s="352" t="s">
        <v>90</v>
      </c>
      <c r="Z480" s="105">
        <v>14472</v>
      </c>
      <c r="AA480" s="107">
        <v>231.15000000000077</v>
      </c>
      <c r="AB480" s="105" t="s">
        <v>472</v>
      </c>
    </row>
    <row r="481" spans="1:28">
      <c r="A481" s="105">
        <f t="shared" si="7"/>
        <v>480</v>
      </c>
      <c r="B481" s="107">
        <f>YEAR(Table6[[#This Row],[Date]])+IF(MONTH(Table6[[#This Row],[Date]])&gt;=4,1,0)</f>
        <v>2026</v>
      </c>
      <c r="C481" s="105">
        <f>YEAR(Table6[[#This Row],[Date]])</f>
        <v>2025</v>
      </c>
      <c r="D481" s="105" t="s">
        <v>465</v>
      </c>
      <c r="E481" s="119">
        <f>Table6[[#This Row],[Date]]-DAY(Table6[[#This Row],[Date]])+1</f>
        <v>45778</v>
      </c>
      <c r="F481" s="118">
        <v>45784</v>
      </c>
      <c r="G481" s="105" t="s">
        <v>91</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473</v>
      </c>
      <c r="N481" s="39" t="s">
        <v>474</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484</v>
      </c>
      <c r="V481" s="351" t="s">
        <v>476</v>
      </c>
      <c r="W481" s="338">
        <f>Table6[[#This Row],[Breakdown Time]]*(1/39)</f>
        <v>2.0940170940170932E-2</v>
      </c>
      <c r="X481" s="336" t="s">
        <v>477</v>
      </c>
      <c r="Y481" s="352" t="s">
        <v>92</v>
      </c>
      <c r="Z481" s="105">
        <v>14535</v>
      </c>
      <c r="AA481" s="107">
        <v>494.59374999999983</v>
      </c>
      <c r="AB481" s="105" t="s">
        <v>472</v>
      </c>
    </row>
    <row r="482" spans="1:28">
      <c r="A482" s="105">
        <f t="shared" si="7"/>
        <v>481</v>
      </c>
      <c r="B482" s="107">
        <f>YEAR(Table6[[#This Row],[Date]])+IF(MONTH(Table6[[#This Row],[Date]])&gt;=4,1,0)</f>
        <v>2026</v>
      </c>
      <c r="C482" s="105">
        <f>YEAR(Table6[[#This Row],[Date]])</f>
        <v>2025</v>
      </c>
      <c r="D482" s="105" t="s">
        <v>465</v>
      </c>
      <c r="E482" s="119">
        <f>Table6[[#This Row],[Date]]-DAY(Table6[[#This Row],[Date]])+1</f>
        <v>45778</v>
      </c>
      <c r="F482" s="118">
        <v>45784</v>
      </c>
      <c r="G482" s="105" t="s">
        <v>94</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473</v>
      </c>
      <c r="N482" s="39" t="s">
        <v>474</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484</v>
      </c>
      <c r="V482" s="351" t="s">
        <v>476</v>
      </c>
      <c r="W482" s="338">
        <f>Table6[[#This Row],[Breakdown Time]]*(1/39)</f>
        <v>5.8974358974358966E-2</v>
      </c>
      <c r="X482" s="336" t="s">
        <v>477</v>
      </c>
      <c r="Y482" s="352" t="s">
        <v>95</v>
      </c>
      <c r="Z482" s="105">
        <v>4538</v>
      </c>
      <c r="AA482" s="107">
        <v>434.89166666666665</v>
      </c>
      <c r="AB482" s="105" t="s">
        <v>472</v>
      </c>
    </row>
    <row r="483" spans="1:28">
      <c r="A483" s="105">
        <f t="shared" si="7"/>
        <v>482</v>
      </c>
      <c r="B483" s="107">
        <f>YEAR(Table6[[#This Row],[Date]])+IF(MONTH(Table6[[#This Row],[Date]])&gt;=4,1,0)</f>
        <v>2026</v>
      </c>
      <c r="C483" s="105">
        <f>YEAR(Table6[[#This Row],[Date]])</f>
        <v>2025</v>
      </c>
      <c r="D483" s="105" t="s">
        <v>465</v>
      </c>
      <c r="E483" s="119">
        <f>Table6[[#This Row],[Date]]-DAY(Table6[[#This Row],[Date]])+1</f>
        <v>45778</v>
      </c>
      <c r="F483" s="118">
        <v>45784</v>
      </c>
      <c r="G483" s="105" t="s">
        <v>95</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473</v>
      </c>
      <c r="N483" s="39" t="s">
        <v>474</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580</v>
      </c>
      <c r="V483" s="351" t="s">
        <v>476</v>
      </c>
      <c r="W483" s="338">
        <f>Table6[[#This Row],[Breakdown Time]]*(1/39)</f>
        <v>9.4871794871794868E-2</v>
      </c>
      <c r="X483" s="336" t="s">
        <v>477</v>
      </c>
      <c r="Y483" s="352" t="s">
        <v>78</v>
      </c>
      <c r="Z483" s="105">
        <v>8461</v>
      </c>
      <c r="AA483" s="107">
        <v>1304.4041666666667</v>
      </c>
      <c r="AB483" s="105" t="s">
        <v>472</v>
      </c>
    </row>
    <row r="484" spans="1:28">
      <c r="A484" s="105">
        <f t="shared" si="7"/>
        <v>483</v>
      </c>
      <c r="B484" s="107">
        <f>YEAR(Table6[[#This Row],[Date]])+IF(MONTH(Table6[[#This Row],[Date]])&gt;=4,1,0)</f>
        <v>2026</v>
      </c>
      <c r="C484" s="105">
        <f>YEAR(Table6[[#This Row],[Date]])</f>
        <v>2025</v>
      </c>
      <c r="D484" s="105" t="s">
        <v>465</v>
      </c>
      <c r="E484" s="119">
        <f>Table6[[#This Row],[Date]]-DAY(Table6[[#This Row],[Date]])+1</f>
        <v>45778</v>
      </c>
      <c r="F484" s="118">
        <v>45784</v>
      </c>
      <c r="G484" s="105" t="s">
        <v>96</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473</v>
      </c>
      <c r="N484" s="39" t="s">
        <v>474</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484</v>
      </c>
      <c r="V484" s="351" t="s">
        <v>476</v>
      </c>
      <c r="W484" s="338">
        <f>Table6[[#This Row],[Breakdown Time]]*(1/39)</f>
        <v>8.1623931623931598E-2</v>
      </c>
      <c r="X484" s="336" t="s">
        <v>477</v>
      </c>
      <c r="Y484" s="352" t="s">
        <v>78</v>
      </c>
      <c r="Z484" s="105">
        <v>8461</v>
      </c>
      <c r="AA484" s="107">
        <v>1122.2576388888888</v>
      </c>
      <c r="AB484" s="105" t="s">
        <v>472</v>
      </c>
    </row>
    <row r="485" spans="1:28">
      <c r="A485" s="105">
        <f t="shared" si="7"/>
        <v>484</v>
      </c>
      <c r="B485" s="107">
        <f>YEAR(Table6[[#This Row],[Date]])+IF(MONTH(Table6[[#This Row],[Date]])&gt;=4,1,0)</f>
        <v>2026</v>
      </c>
      <c r="C485" s="105">
        <f>YEAR(Table6[[#This Row],[Date]])</f>
        <v>2025</v>
      </c>
      <c r="D485" s="105" t="s">
        <v>465</v>
      </c>
      <c r="E485" s="119">
        <f>Table6[[#This Row],[Date]]-DAY(Table6[[#This Row],[Date]])+1</f>
        <v>45778</v>
      </c>
      <c r="F485" s="118">
        <v>45784</v>
      </c>
      <c r="G485" s="105" t="s">
        <v>97</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466</v>
      </c>
      <c r="L485" s="39" t="str">
        <f>IFERROR(VLOOKUP(Table6[[#This Row],[Error Code]],'Basic Data'!$T:$U,2,0),"")</f>
        <v>Manual Stop - Safety Related</v>
      </c>
      <c r="M485" s="346" t="s">
        <v>467</v>
      </c>
      <c r="N485" s="39" t="s">
        <v>189</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506</v>
      </c>
      <c r="V485" s="351" t="s">
        <v>476</v>
      </c>
      <c r="W485" s="338">
        <f>Table6[[#This Row],[Breakdown Time]]*(1/39)</f>
        <v>8.4188034188034194E-2</v>
      </c>
      <c r="X485" s="336" t="s">
        <v>486</v>
      </c>
      <c r="Y485" s="352" t="s">
        <v>99</v>
      </c>
      <c r="Z485" s="105">
        <v>9472</v>
      </c>
      <c r="AA485" s="107">
        <v>1295.8222222222223</v>
      </c>
      <c r="AB485" s="105" t="s">
        <v>472</v>
      </c>
    </row>
    <row r="486" spans="1:28">
      <c r="A486" s="105">
        <f t="shared" si="7"/>
        <v>485</v>
      </c>
      <c r="B486" s="107">
        <f>YEAR(Table6[[#This Row],[Date]])+IF(MONTH(Table6[[#This Row],[Date]])&gt;=4,1,0)</f>
        <v>2026</v>
      </c>
      <c r="C486" s="105">
        <f>YEAR(Table6[[#This Row],[Date]])</f>
        <v>2025</v>
      </c>
      <c r="D486" s="105" t="s">
        <v>465</v>
      </c>
      <c r="E486" s="119">
        <f>Table6[[#This Row],[Date]]-DAY(Table6[[#This Row],[Date]])+1</f>
        <v>45778</v>
      </c>
      <c r="F486" s="118">
        <v>45784</v>
      </c>
      <c r="G486" s="105" t="s">
        <v>102</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473</v>
      </c>
      <c r="N486" s="39" t="s">
        <v>474</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484</v>
      </c>
      <c r="V486" s="351" t="s">
        <v>476</v>
      </c>
      <c r="W486" s="338">
        <f>Table6[[#This Row],[Breakdown Time]]*(1/39)</f>
        <v>5.0000000000000024E-2</v>
      </c>
      <c r="X486" s="336" t="s">
        <v>477</v>
      </c>
      <c r="Y486" s="352" t="s">
        <v>100</v>
      </c>
      <c r="Z486" s="105">
        <v>9453</v>
      </c>
      <c r="AA486" s="107">
        <v>768.05625000000043</v>
      </c>
      <c r="AB486" s="105" t="s">
        <v>472</v>
      </c>
    </row>
    <row r="487" spans="1:28">
      <c r="A487" s="105">
        <f t="shared" si="7"/>
        <v>486</v>
      </c>
      <c r="B487" s="107">
        <f>YEAR(Table6[[#This Row],[Date]])+IF(MONTH(Table6[[#This Row],[Date]])&gt;=4,1,0)</f>
        <v>2026</v>
      </c>
      <c r="C487" s="105">
        <f>YEAR(Table6[[#This Row],[Date]])</f>
        <v>2025</v>
      </c>
      <c r="D487" s="105" t="s">
        <v>465</v>
      </c>
      <c r="E487" s="119">
        <f>Table6[[#This Row],[Date]]-DAY(Table6[[#This Row],[Date]])+1</f>
        <v>45778</v>
      </c>
      <c r="F487" s="118">
        <v>45784</v>
      </c>
      <c r="G487" s="105" t="s">
        <v>106</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473</v>
      </c>
      <c r="N487" s="39" t="s">
        <v>474</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484</v>
      </c>
      <c r="V487" s="351" t="s">
        <v>476</v>
      </c>
      <c r="W487" s="338">
        <f>Table6[[#This Row],[Breakdown Time]]*(1/39)</f>
        <v>5.2991452991452935E-2</v>
      </c>
      <c r="X487" s="336" t="s">
        <v>477</v>
      </c>
      <c r="Y487" s="352" t="s">
        <v>105</v>
      </c>
      <c r="Z487" s="105">
        <v>4790</v>
      </c>
      <c r="AA487" s="107">
        <v>412.47222222222183</v>
      </c>
      <c r="AB487" s="105" t="s">
        <v>472</v>
      </c>
    </row>
    <row r="488" spans="1:28">
      <c r="A488" s="105">
        <f t="shared" si="7"/>
        <v>487</v>
      </c>
      <c r="B488" s="107">
        <f>YEAR(Table6[[#This Row],[Date]])+IF(MONTH(Table6[[#This Row],[Date]])&gt;=4,1,0)</f>
        <v>2026</v>
      </c>
      <c r="C488" s="105">
        <f>YEAR(Table6[[#This Row],[Date]])</f>
        <v>2025</v>
      </c>
      <c r="D488" s="105" t="s">
        <v>465</v>
      </c>
      <c r="E488" s="119">
        <f>Table6[[#This Row],[Date]]-DAY(Table6[[#This Row],[Date]])+1</f>
        <v>45778</v>
      </c>
      <c r="F488" s="118">
        <v>45784</v>
      </c>
      <c r="G488" s="105" t="s">
        <v>109</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473</v>
      </c>
      <c r="N488" s="39" t="s">
        <v>474</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475</v>
      </c>
      <c r="V488" s="351" t="s">
        <v>476</v>
      </c>
      <c r="W488" s="338">
        <f>Table6[[#This Row],[Breakdown Time]]*(1/39)</f>
        <v>7.6495726495726502E-2</v>
      </c>
      <c r="X488" s="336" t="s">
        <v>477</v>
      </c>
      <c r="Y488" s="352" t="s">
        <v>108</v>
      </c>
      <c r="Z488" s="105">
        <v>4762</v>
      </c>
      <c r="AA488" s="107">
        <v>591.94305555555559</v>
      </c>
      <c r="AB488" s="105" t="s">
        <v>472</v>
      </c>
    </row>
    <row r="489" spans="1:28">
      <c r="A489" s="105">
        <f t="shared" si="7"/>
        <v>488</v>
      </c>
      <c r="B489" s="107">
        <f>YEAR(Table6[[#This Row],[Date]])+IF(MONTH(Table6[[#This Row],[Date]])&gt;=4,1,0)</f>
        <v>2026</v>
      </c>
      <c r="C489" s="105">
        <f>YEAR(Table6[[#This Row],[Date]])</f>
        <v>2025</v>
      </c>
      <c r="D489" s="105" t="s">
        <v>465</v>
      </c>
      <c r="E489" s="119">
        <f>Table6[[#This Row],[Date]]-DAY(Table6[[#This Row],[Date]])+1</f>
        <v>45778</v>
      </c>
      <c r="F489" s="118">
        <v>45784</v>
      </c>
      <c r="G489" s="105" t="s">
        <v>110</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552</v>
      </c>
      <c r="L489" s="39" t="str">
        <f>IFERROR(VLOOKUP(Table6[[#This Row],[Error Code]],'Basic Data'!$T:$U,2,0),"")</f>
        <v>Manual Stop - Preventive Maintenance Activity</v>
      </c>
      <c r="M489" s="346" t="s">
        <v>553</v>
      </c>
      <c r="N489" s="39" t="s">
        <v>189</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558</v>
      </c>
      <c r="V489" s="351" t="s">
        <v>476</v>
      </c>
      <c r="W489" s="338">
        <f>Table6[[#This Row],[Breakdown Time]]*(1/39)</f>
        <v>0.16153846153846155</v>
      </c>
      <c r="X489" s="336" t="s">
        <v>555</v>
      </c>
      <c r="Y489" s="352" t="s">
        <v>111</v>
      </c>
      <c r="Z489" s="105">
        <v>6794</v>
      </c>
      <c r="AA489" s="107">
        <v>1783.4250000000002</v>
      </c>
      <c r="AB489" s="105" t="s">
        <v>472</v>
      </c>
    </row>
    <row r="490" spans="1:28">
      <c r="A490" s="105">
        <f t="shared" si="7"/>
        <v>489</v>
      </c>
      <c r="B490" s="107">
        <f>YEAR(Table6[[#This Row],[Date]])+IF(MONTH(Table6[[#This Row],[Date]])&gt;=4,1,0)</f>
        <v>2026</v>
      </c>
      <c r="C490" s="105">
        <f>YEAR(Table6[[#This Row],[Date]])</f>
        <v>2025</v>
      </c>
      <c r="D490" s="105" t="s">
        <v>465</v>
      </c>
      <c r="E490" s="119">
        <f>Table6[[#This Row],[Date]]-DAY(Table6[[#This Row],[Date]])+1</f>
        <v>45778</v>
      </c>
      <c r="F490" s="118">
        <v>45785</v>
      </c>
      <c r="G490" s="105" t="s">
        <v>103</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466</v>
      </c>
      <c r="L490" s="39" t="str">
        <f>IFERROR(VLOOKUP(Table6[[#This Row],[Error Code]],'Basic Data'!$T:$U,2,0),"")</f>
        <v>Manual Stop - Safety Related</v>
      </c>
      <c r="M490" s="346" t="s">
        <v>467</v>
      </c>
      <c r="N490" s="39" t="s">
        <v>468</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469</v>
      </c>
      <c r="V490" s="351" t="s">
        <v>470</v>
      </c>
      <c r="W490" s="338">
        <f>Table6[[#This Row],[Breakdown Time]]*(1/39)</f>
        <v>0.61495726495726499</v>
      </c>
      <c r="X490" s="336" t="s">
        <v>486</v>
      </c>
      <c r="Y490" s="352" t="s">
        <v>100</v>
      </c>
      <c r="Z490" s="105">
        <v>7369</v>
      </c>
      <c r="AA490" s="107">
        <v>7363.8826388888892</v>
      </c>
      <c r="AB490" s="105" t="s">
        <v>472</v>
      </c>
    </row>
    <row r="491" spans="1:28">
      <c r="A491" s="105">
        <f t="shared" si="7"/>
        <v>490</v>
      </c>
      <c r="B491" s="107">
        <f>YEAR(Table6[[#This Row],[Date]])+IF(MONTH(Table6[[#This Row],[Date]])&gt;=4,1,0)</f>
        <v>2026</v>
      </c>
      <c r="C491" s="105">
        <f>YEAR(Table6[[#This Row],[Date]])</f>
        <v>2025</v>
      </c>
      <c r="D491" s="105" t="s">
        <v>465</v>
      </c>
      <c r="E491" s="119">
        <f>Table6[[#This Row],[Date]]-DAY(Table6[[#This Row],[Date]])+1</f>
        <v>45778</v>
      </c>
      <c r="F491" s="118">
        <v>45785</v>
      </c>
      <c r="G491" s="105" t="s">
        <v>101</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466</v>
      </c>
      <c r="L491" s="39" t="str">
        <f>IFERROR(VLOOKUP(Table6[[#This Row],[Error Code]],'Basic Data'!$T:$U,2,0),"")</f>
        <v>Manual Stop - Safety Related</v>
      </c>
      <c r="M491" s="346" t="s">
        <v>467</v>
      </c>
      <c r="N491" s="39" t="s">
        <v>468</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469</v>
      </c>
      <c r="V491" s="351" t="s">
        <v>470</v>
      </c>
      <c r="W491" s="338">
        <f>Table6[[#This Row],[Breakdown Time]]*(1/39)</f>
        <v>0.61495726495726499</v>
      </c>
      <c r="X491" s="336" t="s">
        <v>486</v>
      </c>
      <c r="Y491" s="352" t="s">
        <v>100</v>
      </c>
      <c r="Z491" s="105">
        <v>7369</v>
      </c>
      <c r="AA491" s="107">
        <v>7363.8826388888892</v>
      </c>
      <c r="AB491" s="105" t="s">
        <v>472</v>
      </c>
    </row>
    <row r="492" spans="1:28">
      <c r="A492" s="105">
        <f t="shared" si="7"/>
        <v>491</v>
      </c>
      <c r="B492" s="107">
        <f>YEAR(Table6[[#This Row],[Date]])+IF(MONTH(Table6[[#This Row],[Date]])&gt;=4,1,0)</f>
        <v>2026</v>
      </c>
      <c r="C492" s="105">
        <f>YEAR(Table6[[#This Row],[Date]])</f>
        <v>2025</v>
      </c>
      <c r="D492" s="105" t="s">
        <v>465</v>
      </c>
      <c r="E492" s="119">
        <f>Table6[[#This Row],[Date]]-DAY(Table6[[#This Row],[Date]])+1</f>
        <v>45778</v>
      </c>
      <c r="F492" s="118">
        <v>45785</v>
      </c>
      <c r="G492" s="105" t="s">
        <v>76</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473</v>
      </c>
      <c r="N492" s="39" t="s">
        <v>474</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484</v>
      </c>
      <c r="V492" s="351" t="s">
        <v>476</v>
      </c>
      <c r="W492" s="338">
        <f>Table6[[#This Row],[Breakdown Time]]*(1/39)</f>
        <v>6.4102564102564152E-2</v>
      </c>
      <c r="X492" s="336" t="s">
        <v>477</v>
      </c>
      <c r="Y492" s="352" t="s">
        <v>77</v>
      </c>
      <c r="Z492" s="105">
        <v>8849</v>
      </c>
      <c r="AA492" s="107">
        <v>921.77083333333394</v>
      </c>
      <c r="AB492" s="105" t="s">
        <v>472</v>
      </c>
    </row>
    <row r="493" spans="1:28">
      <c r="A493" s="105">
        <f t="shared" si="7"/>
        <v>492</v>
      </c>
      <c r="B493" s="107">
        <f>YEAR(Table6[[#This Row],[Date]])+IF(MONTH(Table6[[#This Row],[Date]])&gt;=4,1,0)</f>
        <v>2026</v>
      </c>
      <c r="C493" s="105">
        <f>YEAR(Table6[[#This Row],[Date]])</f>
        <v>2025</v>
      </c>
      <c r="D493" s="105" t="s">
        <v>465</v>
      </c>
      <c r="E493" s="119">
        <f>Table6[[#This Row],[Date]]-DAY(Table6[[#This Row],[Date]])+1</f>
        <v>45778</v>
      </c>
      <c r="F493" s="118">
        <v>45785</v>
      </c>
      <c r="G493" s="105" t="s">
        <v>83</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473</v>
      </c>
      <c r="N493" s="39" t="s">
        <v>474</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475</v>
      </c>
      <c r="V493" s="351" t="s">
        <v>476</v>
      </c>
      <c r="W493" s="338">
        <f>Table6[[#This Row],[Breakdown Time]]*(1/39)</f>
        <v>4.6153846153846122E-2</v>
      </c>
      <c r="X493" s="336" t="s">
        <v>477</v>
      </c>
      <c r="Y493" s="352" t="s">
        <v>84</v>
      </c>
      <c r="Z493" s="105">
        <v>8890</v>
      </c>
      <c r="AA493" s="107">
        <v>666.74999999999966</v>
      </c>
      <c r="AB493" s="105" t="s">
        <v>472</v>
      </c>
    </row>
    <row r="494" spans="1:28">
      <c r="A494" s="105">
        <f t="shared" si="7"/>
        <v>493</v>
      </c>
      <c r="B494" s="107">
        <f>YEAR(Table6[[#This Row],[Date]])+IF(MONTH(Table6[[#This Row],[Date]])&gt;=4,1,0)</f>
        <v>2026</v>
      </c>
      <c r="C494" s="105">
        <f>YEAR(Table6[[#This Row],[Date]])</f>
        <v>2025</v>
      </c>
      <c r="D494" s="105" t="s">
        <v>465</v>
      </c>
      <c r="E494" s="119">
        <f>Table6[[#This Row],[Date]]-DAY(Table6[[#This Row],[Date]])+1</f>
        <v>45778</v>
      </c>
      <c r="F494" s="118">
        <v>45785</v>
      </c>
      <c r="G494" s="105" t="s">
        <v>95</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473</v>
      </c>
      <c r="N494" s="39" t="s">
        <v>474</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581</v>
      </c>
      <c r="V494" s="351" t="s">
        <v>476</v>
      </c>
      <c r="W494" s="338">
        <f>Table6[[#This Row],[Breakdown Time]]*(1/39)</f>
        <v>0.11111111111111112</v>
      </c>
      <c r="X494" s="336" t="s">
        <v>477</v>
      </c>
      <c r="Y494" s="352" t="s">
        <v>78</v>
      </c>
      <c r="Z494" s="105">
        <v>7901</v>
      </c>
      <c r="AA494" s="107">
        <v>1426.5694444444446</v>
      </c>
      <c r="AB494" s="105" t="s">
        <v>472</v>
      </c>
    </row>
    <row r="495" spans="1:28">
      <c r="A495" s="105">
        <f t="shared" si="7"/>
        <v>494</v>
      </c>
      <c r="B495" s="107">
        <f>YEAR(Table6[[#This Row],[Date]])+IF(MONTH(Table6[[#This Row],[Date]])&gt;=4,1,0)</f>
        <v>2026</v>
      </c>
      <c r="C495" s="105">
        <f>YEAR(Table6[[#This Row],[Date]])</f>
        <v>2025</v>
      </c>
      <c r="D495" s="105" t="s">
        <v>465</v>
      </c>
      <c r="E495" s="119">
        <f>Table6[[#This Row],[Date]]-DAY(Table6[[#This Row],[Date]])+1</f>
        <v>45778</v>
      </c>
      <c r="F495" s="118">
        <v>45785</v>
      </c>
      <c r="G495" s="105" t="s">
        <v>97</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526</v>
      </c>
      <c r="L495" s="39" t="str">
        <f>IFERROR(VLOOKUP(Table6[[#This Row],[Error Code]],'Basic Data'!$T:$U,2,0),"")</f>
        <v>Manual Stop</v>
      </c>
      <c r="M495" s="346" t="s">
        <v>576</v>
      </c>
      <c r="N495" s="39" t="s">
        <v>189</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577</v>
      </c>
      <c r="V495" s="351" t="s">
        <v>476</v>
      </c>
      <c r="W495" s="338">
        <f>Table6[[#This Row],[Breakdown Time]]*(1/39)</f>
        <v>6.837606837606881E-3</v>
      </c>
      <c r="X495" s="336" t="s">
        <v>501</v>
      </c>
      <c r="Y495" s="352" t="s">
        <v>99</v>
      </c>
      <c r="Z495" s="105">
        <v>7921</v>
      </c>
      <c r="AA495" s="107">
        <v>88.011111111111688</v>
      </c>
      <c r="AB495" s="105" t="s">
        <v>472</v>
      </c>
    </row>
    <row r="496" spans="1:28">
      <c r="A496" s="105">
        <f t="shared" si="7"/>
        <v>495</v>
      </c>
      <c r="B496" s="107">
        <f>YEAR(Table6[[#This Row],[Date]])+IF(MONTH(Table6[[#This Row],[Date]])&gt;=4,1,0)</f>
        <v>2026</v>
      </c>
      <c r="C496" s="105">
        <f>YEAR(Table6[[#This Row],[Date]])</f>
        <v>2025</v>
      </c>
      <c r="D496" s="105" t="s">
        <v>465</v>
      </c>
      <c r="E496" s="119">
        <f>Table6[[#This Row],[Date]]-DAY(Table6[[#This Row],[Date]])+1</f>
        <v>45778</v>
      </c>
      <c r="F496" s="118">
        <v>45785</v>
      </c>
      <c r="G496" s="105" t="s">
        <v>100</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526</v>
      </c>
      <c r="L496" s="39" t="str">
        <f>IFERROR(VLOOKUP(Table6[[#This Row],[Error Code]],'Basic Data'!$T:$U,2,0),"")</f>
        <v>Manual Stop</v>
      </c>
      <c r="M496" s="346" t="s">
        <v>576</v>
      </c>
      <c r="N496" s="39" t="s">
        <v>189</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577</v>
      </c>
      <c r="V496" s="351" t="s">
        <v>476</v>
      </c>
      <c r="W496" s="338">
        <f>Table6[[#This Row],[Breakdown Time]]*(1/39)</f>
        <v>8.1196581196581255E-3</v>
      </c>
      <c r="X496" s="336" t="s">
        <v>501</v>
      </c>
      <c r="Y496" s="352" t="s">
        <v>102</v>
      </c>
      <c r="Z496" s="105">
        <v>7942</v>
      </c>
      <c r="AA496" s="107">
        <v>104.79027777777785</v>
      </c>
      <c r="AB496" s="105" t="s">
        <v>472</v>
      </c>
    </row>
    <row r="497" spans="1:28">
      <c r="A497" s="105">
        <f t="shared" si="7"/>
        <v>496</v>
      </c>
      <c r="B497" s="107">
        <f>YEAR(Table6[[#This Row],[Date]])+IF(MONTH(Table6[[#This Row],[Date]])&gt;=4,1,0)</f>
        <v>2026</v>
      </c>
      <c r="C497" s="105">
        <f>YEAR(Table6[[#This Row],[Date]])</f>
        <v>2025</v>
      </c>
      <c r="D497" s="105" t="s">
        <v>465</v>
      </c>
      <c r="E497" s="119">
        <f>Table6[[#This Row],[Date]]-DAY(Table6[[#This Row],[Date]])+1</f>
        <v>45778</v>
      </c>
      <c r="F497" s="118">
        <v>45785</v>
      </c>
      <c r="G497" s="105" t="s">
        <v>107</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473</v>
      </c>
      <c r="N497" s="39" t="s">
        <v>474</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475</v>
      </c>
      <c r="V497" s="351" t="s">
        <v>476</v>
      </c>
      <c r="W497" s="338">
        <f>Table6[[#This Row],[Breakdown Time]]*(1/39)</f>
        <v>8.5470085470085513E-3</v>
      </c>
      <c r="X497" s="336" t="s">
        <v>477</v>
      </c>
      <c r="Y497" s="352" t="s">
        <v>108</v>
      </c>
      <c r="Z497" s="105">
        <v>6856</v>
      </c>
      <c r="AA497" s="107">
        <v>95.222222222222271</v>
      </c>
      <c r="AB497" s="105" t="s">
        <v>472</v>
      </c>
    </row>
    <row r="498" spans="1:28">
      <c r="A498" s="105">
        <f t="shared" si="7"/>
        <v>497</v>
      </c>
      <c r="B498" s="107">
        <f>YEAR(Table6[[#This Row],[Date]])+IF(MONTH(Table6[[#This Row],[Date]])&gt;=4,1,0)</f>
        <v>2026</v>
      </c>
      <c r="C498" s="105">
        <f>YEAR(Table6[[#This Row],[Date]])</f>
        <v>2025</v>
      </c>
      <c r="D498" s="105" t="s">
        <v>465</v>
      </c>
      <c r="E498" s="119">
        <f>Table6[[#This Row],[Date]]-DAY(Table6[[#This Row],[Date]])+1</f>
        <v>45778</v>
      </c>
      <c r="F498" s="118">
        <v>45785</v>
      </c>
      <c r="G498" s="105" t="s">
        <v>107</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473</v>
      </c>
      <c r="N498" s="39" t="s">
        <v>474</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484</v>
      </c>
      <c r="V498" s="351" t="s">
        <v>476</v>
      </c>
      <c r="W498" s="338">
        <f>Table6[[#This Row],[Breakdown Time]]*(1/39)</f>
        <v>2.5641025641025616E-2</v>
      </c>
      <c r="X498" s="336" t="s">
        <v>477</v>
      </c>
      <c r="Y498" s="352" t="s">
        <v>108</v>
      </c>
      <c r="Z498" s="105">
        <v>6856</v>
      </c>
      <c r="AA498" s="107">
        <v>285.66666666666646</v>
      </c>
      <c r="AB498" s="105" t="s">
        <v>472</v>
      </c>
    </row>
    <row r="499" spans="1:28">
      <c r="A499" s="105">
        <f t="shared" si="7"/>
        <v>498</v>
      </c>
      <c r="B499" s="107">
        <f>YEAR(Table6[[#This Row],[Date]])+IF(MONTH(Table6[[#This Row],[Date]])&gt;=4,1,0)</f>
        <v>2026</v>
      </c>
      <c r="C499" s="105">
        <f>YEAR(Table6[[#This Row],[Date]])</f>
        <v>2025</v>
      </c>
      <c r="D499" s="105" t="s">
        <v>465</v>
      </c>
      <c r="E499" s="119">
        <f>Table6[[#This Row],[Date]]-DAY(Table6[[#This Row],[Date]])+1</f>
        <v>45778</v>
      </c>
      <c r="F499" s="118">
        <v>45785</v>
      </c>
      <c r="G499" s="105" t="s">
        <v>109</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473</v>
      </c>
      <c r="N499" s="39" t="s">
        <v>474</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582</v>
      </c>
      <c r="V499" s="351" t="s">
        <v>476</v>
      </c>
      <c r="W499" s="338">
        <f>Table6[[#This Row],[Breakdown Time]]*(1/39)</f>
        <v>0.1735042735042735</v>
      </c>
      <c r="X499" s="336" t="s">
        <v>477</v>
      </c>
      <c r="Y499" s="352" t="s">
        <v>108</v>
      </c>
      <c r="Z499" s="105">
        <v>6856</v>
      </c>
      <c r="AA499" s="107">
        <v>1933.0111111111112</v>
      </c>
      <c r="AB499" s="105" t="s">
        <v>472</v>
      </c>
    </row>
    <row r="500" spans="1:28">
      <c r="A500" s="105">
        <f t="shared" si="7"/>
        <v>499</v>
      </c>
      <c r="B500" s="107">
        <f>YEAR(Table6[[#This Row],[Date]])+IF(MONTH(Table6[[#This Row],[Date]])&gt;=4,1,0)</f>
        <v>2026</v>
      </c>
      <c r="C500" s="105">
        <f>YEAR(Table6[[#This Row],[Date]])</f>
        <v>2025</v>
      </c>
      <c r="D500" s="105" t="s">
        <v>465</v>
      </c>
      <c r="E500" s="119">
        <f>Table6[[#This Row],[Date]]-DAY(Table6[[#This Row],[Date]])+1</f>
        <v>45778</v>
      </c>
      <c r="F500" s="118">
        <v>45785</v>
      </c>
      <c r="G500" s="105" t="s">
        <v>111</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473</v>
      </c>
      <c r="N500" s="39" t="s">
        <v>474</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475</v>
      </c>
      <c r="V500" s="351" t="s">
        <v>476</v>
      </c>
      <c r="W500" s="338">
        <f>Table6[[#This Row],[Breakdown Time]]*(1/39)</f>
        <v>1.0256410256410253E-2</v>
      </c>
      <c r="X500" s="336" t="s">
        <v>477</v>
      </c>
      <c r="Y500" s="352" t="s">
        <v>112</v>
      </c>
      <c r="Z500" s="105">
        <v>6857</v>
      </c>
      <c r="AA500" s="107">
        <v>114.2833333333333</v>
      </c>
      <c r="AB500" s="105" t="s">
        <v>472</v>
      </c>
    </row>
    <row r="501" spans="1:28">
      <c r="A501" s="105">
        <f t="shared" si="7"/>
        <v>500</v>
      </c>
      <c r="B501" s="107">
        <f>YEAR(Table6[[#This Row],[Date]])+IF(MONTH(Table6[[#This Row],[Date]])&gt;=4,1,0)</f>
        <v>2026</v>
      </c>
      <c r="C501" s="105">
        <f>YEAR(Table6[[#This Row],[Date]])</f>
        <v>2025</v>
      </c>
      <c r="D501" s="105" t="s">
        <v>465</v>
      </c>
      <c r="E501" s="119">
        <f>Table6[[#This Row],[Date]]-DAY(Table6[[#This Row],[Date]])+1</f>
        <v>45778</v>
      </c>
      <c r="F501" s="118">
        <v>45785</v>
      </c>
      <c r="G501" s="105" t="s">
        <v>111</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473</v>
      </c>
      <c r="N501" s="39" t="s">
        <v>474</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484</v>
      </c>
      <c r="V501" s="351" t="s">
        <v>476</v>
      </c>
      <c r="W501" s="338">
        <f>Table6[[#This Row],[Breakdown Time]]*(1/39)</f>
        <v>2.3504273504273556E-2</v>
      </c>
      <c r="X501" s="336" t="s">
        <v>477</v>
      </c>
      <c r="Y501" s="352" t="s">
        <v>112</v>
      </c>
      <c r="Z501" s="105">
        <v>6857</v>
      </c>
      <c r="AA501" s="107">
        <v>261.89930555555611</v>
      </c>
      <c r="AB501" s="105" t="s">
        <v>472</v>
      </c>
    </row>
    <row r="502" spans="1:28">
      <c r="A502" s="105">
        <f t="shared" si="7"/>
        <v>501</v>
      </c>
      <c r="B502" s="107">
        <f>YEAR(Table6[[#This Row],[Date]])+IF(MONTH(Table6[[#This Row],[Date]])&gt;=4,1,0)</f>
        <v>2026</v>
      </c>
      <c r="C502" s="105">
        <f>YEAR(Table6[[#This Row],[Date]])</f>
        <v>2025</v>
      </c>
      <c r="D502" s="105" t="s">
        <v>465</v>
      </c>
      <c r="E502" s="119">
        <f>Table6[[#This Row],[Date]]-DAY(Table6[[#This Row],[Date]])+1</f>
        <v>45778</v>
      </c>
      <c r="F502" s="118">
        <v>45786</v>
      </c>
      <c r="G502" s="105" t="s">
        <v>103</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466</v>
      </c>
      <c r="L502" s="39" t="str">
        <f>IFERROR(VLOOKUP(Table6[[#This Row],[Error Code]],'Basic Data'!$T:$U,2,0),"")</f>
        <v>Manual Stop - Safety Related</v>
      </c>
      <c r="M502" s="346" t="s">
        <v>467</v>
      </c>
      <c r="N502" s="39" t="s">
        <v>468</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469</v>
      </c>
      <c r="V502" s="351" t="s">
        <v>470</v>
      </c>
      <c r="W502" s="338">
        <f>Table6[[#This Row],[Breakdown Time]]*(1/39)</f>
        <v>0.61495726495726499</v>
      </c>
      <c r="X502" s="336" t="s">
        <v>486</v>
      </c>
      <c r="Y502" s="352" t="s">
        <v>100</v>
      </c>
      <c r="Z502" s="105">
        <v>4526</v>
      </c>
      <c r="AA502" s="107">
        <v>4522.8569444444447</v>
      </c>
      <c r="AB502" s="105" t="s">
        <v>472</v>
      </c>
    </row>
    <row r="503" spans="1:28">
      <c r="A503" s="105">
        <f t="shared" si="7"/>
        <v>502</v>
      </c>
      <c r="B503" s="107">
        <f>YEAR(Table6[[#This Row],[Date]])+IF(MONTH(Table6[[#This Row],[Date]])&gt;=4,1,0)</f>
        <v>2026</v>
      </c>
      <c r="C503" s="105">
        <f>YEAR(Table6[[#This Row],[Date]])</f>
        <v>2025</v>
      </c>
      <c r="D503" s="105" t="s">
        <v>465</v>
      </c>
      <c r="E503" s="119">
        <f>Table6[[#This Row],[Date]]-DAY(Table6[[#This Row],[Date]])+1</f>
        <v>45778</v>
      </c>
      <c r="F503" s="118">
        <v>45786</v>
      </c>
      <c r="G503" s="105" t="s">
        <v>101</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466</v>
      </c>
      <c r="L503" s="39" t="str">
        <f>IFERROR(VLOOKUP(Table6[[#This Row],[Error Code]],'Basic Data'!$T:$U,2,0),"")</f>
        <v>Manual Stop - Safety Related</v>
      </c>
      <c r="M503" s="346" t="s">
        <v>467</v>
      </c>
      <c r="N503" s="39" t="s">
        <v>468</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469</v>
      </c>
      <c r="V503" s="351" t="s">
        <v>470</v>
      </c>
      <c r="W503" s="338">
        <f>Table6[[#This Row],[Breakdown Time]]*(1/39)</f>
        <v>0.61495726495726499</v>
      </c>
      <c r="X503" s="336" t="s">
        <v>486</v>
      </c>
      <c r="Y503" s="352" t="s">
        <v>100</v>
      </c>
      <c r="Z503" s="105">
        <v>4526</v>
      </c>
      <c r="AA503" s="107">
        <v>4522.8569444444447</v>
      </c>
      <c r="AB503" s="105" t="s">
        <v>472</v>
      </c>
    </row>
    <row r="504" spans="1:28">
      <c r="A504" s="105">
        <f t="shared" si="7"/>
        <v>503</v>
      </c>
      <c r="B504" s="107">
        <f>YEAR(Table6[[#This Row],[Date]])+IF(MONTH(Table6[[#This Row],[Date]])&gt;=4,1,0)</f>
        <v>2026</v>
      </c>
      <c r="C504" s="105">
        <f>YEAR(Table6[[#This Row],[Date]])</f>
        <v>2025</v>
      </c>
      <c r="D504" s="105" t="s">
        <v>465</v>
      </c>
      <c r="E504" s="119">
        <f>Table6[[#This Row],[Date]]-DAY(Table6[[#This Row],[Date]])+1</f>
        <v>45778</v>
      </c>
      <c r="F504" s="118">
        <v>45786</v>
      </c>
      <c r="G504" s="105" t="s">
        <v>76</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526</v>
      </c>
      <c r="L504" s="39" t="str">
        <f>IFERROR(VLOOKUP(Table6[[#This Row],[Error Code]],'Basic Data'!$T:$U,2,0),"")</f>
        <v>Manual Stop</v>
      </c>
      <c r="M504" s="346" t="s">
        <v>576</v>
      </c>
      <c r="N504" s="39" t="s">
        <v>189</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577</v>
      </c>
      <c r="V504" s="351" t="s">
        <v>476</v>
      </c>
      <c r="W504" s="338">
        <f>Table6[[#This Row],[Breakdown Time]]*(1/39)</f>
        <v>9.8290598290598618E-3</v>
      </c>
      <c r="X504" s="336" t="s">
        <v>501</v>
      </c>
      <c r="Y504" s="352" t="s">
        <v>77</v>
      </c>
      <c r="Z504" s="105">
        <v>3583</v>
      </c>
      <c r="AA504" s="107">
        <v>57.228472222222415</v>
      </c>
      <c r="AB504" s="105" t="s">
        <v>472</v>
      </c>
    </row>
    <row r="505" spans="1:28">
      <c r="A505" s="105">
        <f t="shared" si="7"/>
        <v>504</v>
      </c>
      <c r="B505" s="107">
        <f>YEAR(Table6[[#This Row],[Date]])+IF(MONTH(Table6[[#This Row],[Date]])&gt;=4,1,0)</f>
        <v>2026</v>
      </c>
      <c r="C505" s="105">
        <f>YEAR(Table6[[#This Row],[Date]])</f>
        <v>2025</v>
      </c>
      <c r="D505" s="105" t="s">
        <v>465</v>
      </c>
      <c r="E505" s="119">
        <f>Table6[[#This Row],[Date]]-DAY(Table6[[#This Row],[Date]])+1</f>
        <v>45778</v>
      </c>
      <c r="F505" s="118">
        <v>45786</v>
      </c>
      <c r="G505" s="105" t="s">
        <v>77</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526</v>
      </c>
      <c r="L505" s="39" t="str">
        <f>IFERROR(VLOOKUP(Table6[[#This Row],[Error Code]],'Basic Data'!$T:$U,2,0),"")</f>
        <v>Manual Stop</v>
      </c>
      <c r="M505" s="346" t="s">
        <v>576</v>
      </c>
      <c r="N505" s="39" t="s">
        <v>189</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577</v>
      </c>
      <c r="V505" s="351" t="s">
        <v>476</v>
      </c>
      <c r="W505" s="338">
        <f>Table6[[#This Row],[Breakdown Time]]*(1/39)</f>
        <v>9.8290598290598618E-3</v>
      </c>
      <c r="X505" s="336" t="s">
        <v>501</v>
      </c>
      <c r="Y505" s="352" t="s">
        <v>76</v>
      </c>
      <c r="Z505" s="105">
        <v>3562</v>
      </c>
      <c r="AA505" s="107">
        <v>56.893055555555748</v>
      </c>
      <c r="AB505" s="105" t="s">
        <v>472</v>
      </c>
    </row>
    <row r="506" spans="1:28">
      <c r="A506" s="105">
        <f t="shared" si="7"/>
        <v>505</v>
      </c>
      <c r="B506" s="107">
        <f>YEAR(Table6[[#This Row],[Date]])+IF(MONTH(Table6[[#This Row],[Date]])&gt;=4,1,0)</f>
        <v>2026</v>
      </c>
      <c r="C506" s="105">
        <f>YEAR(Table6[[#This Row],[Date]])</f>
        <v>2025</v>
      </c>
      <c r="D506" s="105" t="s">
        <v>465</v>
      </c>
      <c r="E506" s="119">
        <f>Table6[[#This Row],[Date]]-DAY(Table6[[#This Row],[Date]])+1</f>
        <v>45778</v>
      </c>
      <c r="F506" s="118">
        <v>45786</v>
      </c>
      <c r="G506" s="105" t="s">
        <v>79</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526</v>
      </c>
      <c r="L506" s="39" t="str">
        <f>IFERROR(VLOOKUP(Table6[[#This Row],[Error Code]],'Basic Data'!$T:$U,2,0),"")</f>
        <v>Manual Stop</v>
      </c>
      <c r="M506" s="346" t="s">
        <v>576</v>
      </c>
      <c r="N506" s="39" t="s">
        <v>189</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577</v>
      </c>
      <c r="V506" s="351" t="s">
        <v>476</v>
      </c>
      <c r="W506" s="338">
        <f>Table6[[#This Row],[Breakdown Time]]*(1/39)</f>
        <v>8.1196581196580908E-3</v>
      </c>
      <c r="X506" s="336" t="s">
        <v>501</v>
      </c>
      <c r="Y506" s="352" t="s">
        <v>76</v>
      </c>
      <c r="Z506" s="105">
        <v>3562</v>
      </c>
      <c r="AA506" s="107">
        <v>46.998611111110939</v>
      </c>
      <c r="AB506" s="105" t="s">
        <v>472</v>
      </c>
    </row>
    <row r="507" spans="1:28">
      <c r="A507" s="105">
        <f t="shared" si="7"/>
        <v>506</v>
      </c>
      <c r="B507" s="107">
        <f>YEAR(Table6[[#This Row],[Date]])+IF(MONTH(Table6[[#This Row],[Date]])&gt;=4,1,0)</f>
        <v>2026</v>
      </c>
      <c r="C507" s="105">
        <f>YEAR(Table6[[#This Row],[Date]])</f>
        <v>2025</v>
      </c>
      <c r="D507" s="105" t="s">
        <v>465</v>
      </c>
      <c r="E507" s="119">
        <f>Table6[[#This Row],[Date]]-DAY(Table6[[#This Row],[Date]])+1</f>
        <v>45778</v>
      </c>
      <c r="F507" s="118">
        <v>45786</v>
      </c>
      <c r="G507" s="105" t="s">
        <v>81</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526</v>
      </c>
      <c r="L507" s="39" t="str">
        <f>IFERROR(VLOOKUP(Table6[[#This Row],[Error Code]],'Basic Data'!$T:$U,2,0),"")</f>
        <v>Manual Stop</v>
      </c>
      <c r="M507" s="346" t="s">
        <v>576</v>
      </c>
      <c r="N507" s="39" t="s">
        <v>189</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577</v>
      </c>
      <c r="V507" s="351" t="s">
        <v>476</v>
      </c>
      <c r="W507" s="338">
        <f>Table6[[#This Row],[Breakdown Time]]*(1/39)</f>
        <v>1.4957264957264972E-2</v>
      </c>
      <c r="X507" s="336" t="s">
        <v>501</v>
      </c>
      <c r="Y507" s="352" t="s">
        <v>76</v>
      </c>
      <c r="Z507" s="105">
        <v>3562</v>
      </c>
      <c r="AA507" s="107">
        <v>86.576388888888971</v>
      </c>
      <c r="AB507" s="105" t="s">
        <v>472</v>
      </c>
    </row>
    <row r="508" spans="1:28">
      <c r="A508" s="105">
        <f t="shared" si="7"/>
        <v>507</v>
      </c>
      <c r="B508" s="107">
        <f>YEAR(Table6[[#This Row],[Date]])+IF(MONTH(Table6[[#This Row],[Date]])&gt;=4,1,0)</f>
        <v>2026</v>
      </c>
      <c r="C508" s="105">
        <f>YEAR(Table6[[#This Row],[Date]])</f>
        <v>2025</v>
      </c>
      <c r="D508" s="105" t="s">
        <v>465</v>
      </c>
      <c r="E508" s="119">
        <f>Table6[[#This Row],[Date]]-DAY(Table6[[#This Row],[Date]])+1</f>
        <v>45778</v>
      </c>
      <c r="F508" s="118">
        <v>45786</v>
      </c>
      <c r="G508" s="105" t="s">
        <v>82</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526</v>
      </c>
      <c r="L508" s="39" t="str">
        <f>IFERROR(VLOOKUP(Table6[[#This Row],[Error Code]],'Basic Data'!$T:$U,2,0),"")</f>
        <v>Manual Stop</v>
      </c>
      <c r="M508" s="346" t="s">
        <v>576</v>
      </c>
      <c r="N508" s="39" t="s">
        <v>189</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577</v>
      </c>
      <c r="V508" s="351" t="s">
        <v>476</v>
      </c>
      <c r="W508" s="338">
        <f>Table6[[#This Row],[Breakdown Time]]*(1/39)</f>
        <v>9.8290598290597941E-3</v>
      </c>
      <c r="X508" s="336" t="s">
        <v>501</v>
      </c>
      <c r="Y508" s="352" t="s">
        <v>85</v>
      </c>
      <c r="Z508" s="105">
        <v>4056</v>
      </c>
      <c r="AA508" s="107">
        <v>64.783333333333104</v>
      </c>
      <c r="AB508" s="105" t="s">
        <v>472</v>
      </c>
    </row>
    <row r="509" spans="1:28">
      <c r="A509" s="105">
        <f t="shared" si="7"/>
        <v>508</v>
      </c>
      <c r="B509" s="107">
        <f>YEAR(Table6[[#This Row],[Date]])+IF(MONTH(Table6[[#This Row],[Date]])&gt;=4,1,0)</f>
        <v>2026</v>
      </c>
      <c r="C509" s="105">
        <f>YEAR(Table6[[#This Row],[Date]])</f>
        <v>2025</v>
      </c>
      <c r="D509" s="105" t="s">
        <v>465</v>
      </c>
      <c r="E509" s="119">
        <f>Table6[[#This Row],[Date]]-DAY(Table6[[#This Row],[Date]])+1</f>
        <v>45778</v>
      </c>
      <c r="F509" s="118">
        <v>45786</v>
      </c>
      <c r="G509" s="105" t="s">
        <v>83</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526</v>
      </c>
      <c r="L509" s="39" t="str">
        <f>IFERROR(VLOOKUP(Table6[[#This Row],[Error Code]],'Basic Data'!$T:$U,2,0),"")</f>
        <v>Manual Stop</v>
      </c>
      <c r="M509" s="346" t="s">
        <v>576</v>
      </c>
      <c r="N509" s="39" t="s">
        <v>189</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577</v>
      </c>
      <c r="V509" s="351" t="s">
        <v>476</v>
      </c>
      <c r="W509" s="338">
        <f>Table6[[#This Row],[Breakdown Time]]*(1/39)</f>
        <v>8.5470085470085166E-3</v>
      </c>
      <c r="X509" s="336" t="s">
        <v>501</v>
      </c>
      <c r="Y509" s="352" t="s">
        <v>84</v>
      </c>
      <c r="Z509" s="105">
        <v>4026</v>
      </c>
      <c r="AA509" s="107">
        <v>55.916666666666465</v>
      </c>
      <c r="AB509" s="105" t="s">
        <v>472</v>
      </c>
    </row>
    <row r="510" spans="1:28">
      <c r="A510" s="105">
        <f t="shared" si="7"/>
        <v>509</v>
      </c>
      <c r="B510" s="107">
        <f>YEAR(Table6[[#This Row],[Date]])+IF(MONTH(Table6[[#This Row],[Date]])&gt;=4,1,0)</f>
        <v>2026</v>
      </c>
      <c r="C510" s="105">
        <f>YEAR(Table6[[#This Row],[Date]])</f>
        <v>2025</v>
      </c>
      <c r="D510" s="105" t="s">
        <v>465</v>
      </c>
      <c r="E510" s="119">
        <f>Table6[[#This Row],[Date]]-DAY(Table6[[#This Row],[Date]])+1</f>
        <v>45778</v>
      </c>
      <c r="F510" s="118">
        <v>45786</v>
      </c>
      <c r="G510" s="105" t="s">
        <v>106</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517</v>
      </c>
      <c r="L510" s="39" t="str">
        <f>IFERROR(VLOOKUP(Table6[[#This Row],[Error Code]],'Basic Data'!$T:$U,2,0),"")</f>
        <v>General Work Stoppage</v>
      </c>
      <c r="M510" s="346" t="s">
        <v>499</v>
      </c>
      <c r="N510" s="39" t="s">
        <v>189</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583</v>
      </c>
      <c r="V510" s="351" t="s">
        <v>476</v>
      </c>
      <c r="W510" s="338">
        <f>Table6[[#This Row],[Breakdown Time]]*(1/39)</f>
        <v>3.4188034188034205E-2</v>
      </c>
      <c r="X510" s="336" t="s">
        <v>501</v>
      </c>
      <c r="Y510" s="352" t="s">
        <v>105</v>
      </c>
      <c r="Z510" s="105">
        <v>3593</v>
      </c>
      <c r="AA510" s="107">
        <v>199.6111111111112</v>
      </c>
      <c r="AB510" s="105" t="s">
        <v>472</v>
      </c>
    </row>
    <row r="511" spans="1:28">
      <c r="A511" s="105">
        <f t="shared" si="7"/>
        <v>510</v>
      </c>
      <c r="B511" s="107">
        <f>YEAR(Table6[[#This Row],[Date]])+IF(MONTH(Table6[[#This Row],[Date]])&gt;=4,1,0)</f>
        <v>2026</v>
      </c>
      <c r="C511" s="105">
        <f>YEAR(Table6[[#This Row],[Date]])</f>
        <v>2025</v>
      </c>
      <c r="D511" s="105" t="s">
        <v>465</v>
      </c>
      <c r="E511" s="119">
        <f>Table6[[#This Row],[Date]]-DAY(Table6[[#This Row],[Date]])+1</f>
        <v>45778</v>
      </c>
      <c r="F511" s="118">
        <v>45786</v>
      </c>
      <c r="G511" s="105" t="s">
        <v>109</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473</v>
      </c>
      <c r="N511" s="39" t="s">
        <v>474</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584</v>
      </c>
      <c r="V511" s="351" t="s">
        <v>476</v>
      </c>
      <c r="W511" s="338">
        <f>Table6[[#This Row],[Breakdown Time]]*(1/39)</f>
        <v>7.8205128205128191E-2</v>
      </c>
      <c r="X511" s="336" t="s">
        <v>477</v>
      </c>
      <c r="Y511" s="352" t="s">
        <v>108</v>
      </c>
      <c r="Z511" s="105">
        <v>3578</v>
      </c>
      <c r="AA511" s="107">
        <v>454.70416666666665</v>
      </c>
      <c r="AB511" s="105" t="s">
        <v>472</v>
      </c>
    </row>
    <row r="512" spans="1:28">
      <c r="A512" s="105">
        <f t="shared" si="7"/>
        <v>511</v>
      </c>
      <c r="B512" s="107">
        <f>YEAR(Table6[[#This Row],[Date]])+IF(MONTH(Table6[[#This Row],[Date]])&gt;=4,1,0)</f>
        <v>2026</v>
      </c>
      <c r="C512" s="105">
        <f>YEAR(Table6[[#This Row],[Date]])</f>
        <v>2025</v>
      </c>
      <c r="D512" s="105" t="s">
        <v>465</v>
      </c>
      <c r="E512" s="119">
        <f>Table6[[#This Row],[Date]]-DAY(Table6[[#This Row],[Date]])+1</f>
        <v>45778</v>
      </c>
      <c r="F512" s="118">
        <v>45786</v>
      </c>
      <c r="G512" s="105" t="s">
        <v>111</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517</v>
      </c>
      <c r="L512" s="39" t="str">
        <f>IFERROR(VLOOKUP(Table6[[#This Row],[Error Code]],'Basic Data'!$T:$U,2,0),"")</f>
        <v>General Work Stoppage</v>
      </c>
      <c r="M512" s="346" t="s">
        <v>499</v>
      </c>
      <c r="N512" s="39" t="s">
        <v>189</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583</v>
      </c>
      <c r="V512" s="351" t="s">
        <v>476</v>
      </c>
      <c r="W512" s="338">
        <f>Table6[[#This Row],[Breakdown Time]]*(1/39)</f>
        <v>3.6324786324786335E-2</v>
      </c>
      <c r="X512" s="336" t="s">
        <v>501</v>
      </c>
      <c r="Y512" s="352" t="s">
        <v>112</v>
      </c>
      <c r="Z512" s="105">
        <v>3566</v>
      </c>
      <c r="AA512" s="107">
        <v>210.4930555555556</v>
      </c>
      <c r="AB512" s="105" t="s">
        <v>472</v>
      </c>
    </row>
    <row r="513" spans="1:28">
      <c r="A513" s="105">
        <f t="shared" si="7"/>
        <v>512</v>
      </c>
      <c r="B513" s="107">
        <f>YEAR(Table6[[#This Row],[Date]])+IF(MONTH(Table6[[#This Row],[Date]])&gt;=4,1,0)</f>
        <v>2026</v>
      </c>
      <c r="C513" s="105">
        <f>YEAR(Table6[[#This Row],[Date]])</f>
        <v>2025</v>
      </c>
      <c r="D513" s="105" t="s">
        <v>465</v>
      </c>
      <c r="E513" s="119">
        <f>Table6[[#This Row],[Date]]-DAY(Table6[[#This Row],[Date]])+1</f>
        <v>45778</v>
      </c>
      <c r="F513" s="118">
        <v>45787</v>
      </c>
      <c r="G513" s="105" t="s">
        <v>103</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466</v>
      </c>
      <c r="L513" s="39" t="str">
        <f>IFERROR(VLOOKUP(Table6[[#This Row],[Error Code]],'Basic Data'!$T:$U,2,0),"")</f>
        <v>Manual Stop - Safety Related</v>
      </c>
      <c r="M513" s="346" t="s">
        <v>467</v>
      </c>
      <c r="N513" s="39" t="s">
        <v>468</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469</v>
      </c>
      <c r="V513" s="351" t="s">
        <v>470</v>
      </c>
      <c r="W513" s="338">
        <f>Table6[[#This Row],[Breakdown Time]]*(1/39)</f>
        <v>0.61495726495726499</v>
      </c>
      <c r="X513" s="336" t="s">
        <v>486</v>
      </c>
      <c r="Y513" s="352" t="s">
        <v>100</v>
      </c>
      <c r="Z513" s="105">
        <v>4032</v>
      </c>
      <c r="AA513" s="107">
        <v>4029.2000000000003</v>
      </c>
      <c r="AB513" s="105" t="s">
        <v>472</v>
      </c>
    </row>
    <row r="514" spans="1:28">
      <c r="A514" s="105">
        <f t="shared" si="7"/>
        <v>513</v>
      </c>
      <c r="B514" s="107">
        <f>YEAR(Table6[[#This Row],[Date]])+IF(MONTH(Table6[[#This Row],[Date]])&gt;=4,1,0)</f>
        <v>2026</v>
      </c>
      <c r="C514" s="105">
        <f>YEAR(Table6[[#This Row],[Date]])</f>
        <v>2025</v>
      </c>
      <c r="D514" s="105" t="s">
        <v>465</v>
      </c>
      <c r="E514" s="119">
        <f>Table6[[#This Row],[Date]]-DAY(Table6[[#This Row],[Date]])+1</f>
        <v>45778</v>
      </c>
      <c r="F514" s="118">
        <v>45787</v>
      </c>
      <c r="G514" s="105" t="s">
        <v>101</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466</v>
      </c>
      <c r="L514" s="39" t="str">
        <f>IFERROR(VLOOKUP(Table6[[#This Row],[Error Code]],'Basic Data'!$T:$U,2,0),"")</f>
        <v>Manual Stop - Safety Related</v>
      </c>
      <c r="M514" s="346" t="s">
        <v>467</v>
      </c>
      <c r="N514" s="39" t="s">
        <v>468</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469</v>
      </c>
      <c r="V514" s="351" t="s">
        <v>470</v>
      </c>
      <c r="W514" s="338">
        <f>Table6[[#This Row],[Breakdown Time]]*(1/39)</f>
        <v>0.61495726495726499</v>
      </c>
      <c r="X514" s="336" t="s">
        <v>486</v>
      </c>
      <c r="Y514" s="352" t="s">
        <v>100</v>
      </c>
      <c r="Z514" s="105">
        <v>4032</v>
      </c>
      <c r="AA514" s="107">
        <v>4029.2000000000003</v>
      </c>
      <c r="AB514" s="105" t="s">
        <v>472</v>
      </c>
    </row>
    <row r="515" spans="1:28">
      <c r="A515" s="105">
        <f t="shared" si="7"/>
        <v>514</v>
      </c>
      <c r="B515" s="107">
        <f>YEAR(Table6[[#This Row],[Date]])+IF(MONTH(Table6[[#This Row],[Date]])&gt;=4,1,0)</f>
        <v>2026</v>
      </c>
      <c r="C515" s="105">
        <f>YEAR(Table6[[#This Row],[Date]])</f>
        <v>2025</v>
      </c>
      <c r="D515" s="105" t="s">
        <v>465</v>
      </c>
      <c r="E515" s="119">
        <f>Table6[[#This Row],[Date]]-DAY(Table6[[#This Row],[Date]])+1</f>
        <v>45778</v>
      </c>
      <c r="F515" s="118">
        <v>45787</v>
      </c>
      <c r="G515" s="105" t="s">
        <v>77</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473</v>
      </c>
      <c r="N515" s="39" t="s">
        <v>474</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489</v>
      </c>
      <c r="V515" s="351" t="s">
        <v>470</v>
      </c>
      <c r="W515" s="338">
        <f>Table6[[#This Row],[Breakdown Time]]*(1/39)</f>
        <v>0.33376068376068374</v>
      </c>
      <c r="X515" s="336" t="s">
        <v>477</v>
      </c>
      <c r="Y515" s="352" t="s">
        <v>76</v>
      </c>
      <c r="Z515" s="105">
        <v>6673</v>
      </c>
      <c r="AA515" s="107">
        <v>3619.1756944444446</v>
      </c>
      <c r="AB515" s="105" t="s">
        <v>472</v>
      </c>
    </row>
    <row r="516" spans="1:28">
      <c r="A516" s="105">
        <f t="shared" ref="A516:A579" si="8">A515+1</f>
        <v>515</v>
      </c>
      <c r="B516" s="107">
        <f>YEAR(Table6[[#This Row],[Date]])+IF(MONTH(Table6[[#This Row],[Date]])&gt;=4,1,0)</f>
        <v>2026</v>
      </c>
      <c r="C516" s="105">
        <f>YEAR(Table6[[#This Row],[Date]])</f>
        <v>2025</v>
      </c>
      <c r="D516" s="105" t="s">
        <v>465</v>
      </c>
      <c r="E516" s="119">
        <f>Table6[[#This Row],[Date]]-DAY(Table6[[#This Row],[Date]])+1</f>
        <v>45778</v>
      </c>
      <c r="F516" s="118">
        <v>45787</v>
      </c>
      <c r="G516" s="105" t="s">
        <v>82</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473</v>
      </c>
      <c r="N516" s="39" t="s">
        <v>474</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585</v>
      </c>
      <c r="V516" s="351" t="s">
        <v>476</v>
      </c>
      <c r="W516" s="338">
        <f>Table6[[#This Row],[Breakdown Time]]*(1/39)</f>
        <v>6.4957264957264935E-2</v>
      </c>
      <c r="X516" s="336" t="s">
        <v>477</v>
      </c>
      <c r="Y516" s="352" t="s">
        <v>85</v>
      </c>
      <c r="Z516" s="105">
        <v>7043</v>
      </c>
      <c r="AA516" s="107">
        <v>743.42777777777746</v>
      </c>
      <c r="AB516" s="105" t="s">
        <v>472</v>
      </c>
    </row>
    <row r="517" spans="1:28">
      <c r="A517" s="105">
        <f t="shared" si="8"/>
        <v>516</v>
      </c>
      <c r="B517" s="107">
        <f>YEAR(Table6[[#This Row],[Date]])+IF(MONTH(Table6[[#This Row],[Date]])&gt;=4,1,0)</f>
        <v>2026</v>
      </c>
      <c r="C517" s="105">
        <f>YEAR(Table6[[#This Row],[Date]])</f>
        <v>2025</v>
      </c>
      <c r="D517" s="105" t="s">
        <v>465</v>
      </c>
      <c r="E517" s="119">
        <f>Table6[[#This Row],[Date]]-DAY(Table6[[#This Row],[Date]])+1</f>
        <v>45778</v>
      </c>
      <c r="F517" s="118">
        <v>45788</v>
      </c>
      <c r="G517" s="105" t="s">
        <v>103</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466</v>
      </c>
      <c r="L517" s="39" t="str">
        <f>IFERROR(VLOOKUP(Table6[[#This Row],[Error Code]],'Basic Data'!$T:$U,2,0),"")</f>
        <v>Manual Stop - Safety Related</v>
      </c>
      <c r="M517" s="346" t="s">
        <v>467</v>
      </c>
      <c r="N517" s="39" t="s">
        <v>468</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469</v>
      </c>
      <c r="V517" s="351" t="s">
        <v>470</v>
      </c>
      <c r="W517" s="338">
        <f>Table6[[#This Row],[Breakdown Time]]*(1/39)</f>
        <v>0.61495726495726499</v>
      </c>
      <c r="X517" s="336" t="s">
        <v>486</v>
      </c>
      <c r="Y517" s="352" t="s">
        <v>100</v>
      </c>
      <c r="Z517" s="105">
        <v>8517</v>
      </c>
      <c r="AA517" s="107">
        <v>8511.0854166666668</v>
      </c>
      <c r="AB517" s="105" t="s">
        <v>472</v>
      </c>
    </row>
    <row r="518" spans="1:28">
      <c r="A518" s="105">
        <f t="shared" si="8"/>
        <v>517</v>
      </c>
      <c r="B518" s="107">
        <f>YEAR(Table6[[#This Row],[Date]])+IF(MONTH(Table6[[#This Row],[Date]])&gt;=4,1,0)</f>
        <v>2026</v>
      </c>
      <c r="C518" s="105">
        <f>YEAR(Table6[[#This Row],[Date]])</f>
        <v>2025</v>
      </c>
      <c r="D518" s="105" t="s">
        <v>465</v>
      </c>
      <c r="E518" s="119">
        <f>Table6[[#This Row],[Date]]-DAY(Table6[[#This Row],[Date]])+1</f>
        <v>45778</v>
      </c>
      <c r="F518" s="118">
        <v>45788</v>
      </c>
      <c r="G518" s="105" t="s">
        <v>101</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466</v>
      </c>
      <c r="L518" s="39" t="str">
        <f>IFERROR(VLOOKUP(Table6[[#This Row],[Error Code]],'Basic Data'!$T:$U,2,0),"")</f>
        <v>Manual Stop - Safety Related</v>
      </c>
      <c r="M518" s="346" t="s">
        <v>467</v>
      </c>
      <c r="N518" s="39" t="s">
        <v>468</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469</v>
      </c>
      <c r="V518" s="351" t="s">
        <v>470</v>
      </c>
      <c r="W518" s="338">
        <f>Table6[[#This Row],[Breakdown Time]]*(1/39)</f>
        <v>0.61495726495726499</v>
      </c>
      <c r="X518" s="336" t="s">
        <v>486</v>
      </c>
      <c r="Y518" s="352" t="s">
        <v>100</v>
      </c>
      <c r="Z518" s="105">
        <v>8517</v>
      </c>
      <c r="AA518" s="107">
        <v>8511.0854166666668</v>
      </c>
      <c r="AB518" s="105" t="s">
        <v>472</v>
      </c>
    </row>
    <row r="519" spans="1:28">
      <c r="A519" s="105">
        <f t="shared" si="8"/>
        <v>518</v>
      </c>
      <c r="B519" s="107">
        <f>YEAR(Table6[[#This Row],[Date]])+IF(MONTH(Table6[[#This Row],[Date]])&gt;=4,1,0)</f>
        <v>2026</v>
      </c>
      <c r="C519" s="105">
        <f>YEAR(Table6[[#This Row],[Date]])</f>
        <v>2025</v>
      </c>
      <c r="D519" s="105" t="s">
        <v>465</v>
      </c>
      <c r="E519" s="119">
        <f>Table6[[#This Row],[Date]]-DAY(Table6[[#This Row],[Date]])+1</f>
        <v>45778</v>
      </c>
      <c r="F519" s="118">
        <v>45788</v>
      </c>
      <c r="G519" s="105" t="s">
        <v>77</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473</v>
      </c>
      <c r="N519" s="39" t="s">
        <v>474</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586</v>
      </c>
      <c r="V519" s="351" t="s">
        <v>476</v>
      </c>
      <c r="W519" s="338">
        <f>Table6[[#This Row],[Breakdown Time]]*(1/39)</f>
        <v>0.35128205128205126</v>
      </c>
      <c r="X519" s="336" t="s">
        <v>477</v>
      </c>
      <c r="Y519" s="352" t="s">
        <v>76</v>
      </c>
      <c r="Z519" s="105">
        <v>12116</v>
      </c>
      <c r="AA519" s="107">
        <v>6916.2166666666662</v>
      </c>
      <c r="AB519" s="105" t="s">
        <v>472</v>
      </c>
    </row>
    <row r="520" spans="1:28">
      <c r="A520" s="105">
        <f t="shared" si="8"/>
        <v>519</v>
      </c>
      <c r="B520" s="107">
        <f>YEAR(Table6[[#This Row],[Date]])+IF(MONTH(Table6[[#This Row],[Date]])&gt;=4,1,0)</f>
        <v>2026</v>
      </c>
      <c r="C520" s="105">
        <f>YEAR(Table6[[#This Row],[Date]])</f>
        <v>2025</v>
      </c>
      <c r="D520" s="105" t="s">
        <v>465</v>
      </c>
      <c r="E520" s="119">
        <f>Table6[[#This Row],[Date]]-DAY(Table6[[#This Row],[Date]])+1</f>
        <v>45778</v>
      </c>
      <c r="F520" s="118">
        <v>45788</v>
      </c>
      <c r="G520" s="105" t="s">
        <v>94</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473</v>
      </c>
      <c r="N520" s="39" t="s">
        <v>474</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587</v>
      </c>
      <c r="V520" s="351" t="s">
        <v>470</v>
      </c>
      <c r="W520" s="338">
        <f>Table6[[#This Row],[Breakdown Time]]*(1/39)</f>
        <v>0.39700854700854704</v>
      </c>
      <c r="X520" s="336" t="s">
        <v>477</v>
      </c>
      <c r="Y520" s="352" t="s">
        <v>95</v>
      </c>
      <c r="Z520" s="105">
        <v>8658</v>
      </c>
      <c r="AA520" s="107">
        <v>5585.6125000000002</v>
      </c>
      <c r="AB520" s="105" t="s">
        <v>472</v>
      </c>
    </row>
    <row r="521" spans="1:28">
      <c r="A521" s="105">
        <f t="shared" si="8"/>
        <v>520</v>
      </c>
      <c r="B521" s="107">
        <f>YEAR(Table6[[#This Row],[Date]])+IF(MONTH(Table6[[#This Row],[Date]])&gt;=4,1,0)</f>
        <v>2026</v>
      </c>
      <c r="C521" s="105">
        <f>YEAR(Table6[[#This Row],[Date]])</f>
        <v>2025</v>
      </c>
      <c r="D521" s="105" t="s">
        <v>465</v>
      </c>
      <c r="E521" s="119">
        <f>Table6[[#This Row],[Date]]-DAY(Table6[[#This Row],[Date]])+1</f>
        <v>45778</v>
      </c>
      <c r="F521" s="118">
        <v>45788</v>
      </c>
      <c r="G521" s="105" t="s">
        <v>96</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473</v>
      </c>
      <c r="N521" s="39" t="s">
        <v>474</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588</v>
      </c>
      <c r="V521" s="351" t="s">
        <v>476</v>
      </c>
      <c r="W521" s="338">
        <f>Table6[[#This Row],[Breakdown Time]]*(1/39)</f>
        <v>0.32222222222222219</v>
      </c>
      <c r="X521" s="336" t="s">
        <v>477</v>
      </c>
      <c r="Y521" s="352" t="s">
        <v>95</v>
      </c>
      <c r="Z521" s="105">
        <v>8658</v>
      </c>
      <c r="AA521" s="107">
        <v>4533.4250000000002</v>
      </c>
      <c r="AB521" s="105" t="s">
        <v>472</v>
      </c>
    </row>
    <row r="522" spans="1:28">
      <c r="A522" s="105">
        <f t="shared" si="8"/>
        <v>521</v>
      </c>
      <c r="B522" s="107">
        <f>YEAR(Table6[[#This Row],[Date]])+IF(MONTH(Table6[[#This Row],[Date]])&gt;=4,1,0)</f>
        <v>2026</v>
      </c>
      <c r="C522" s="105">
        <f>YEAR(Table6[[#This Row],[Date]])</f>
        <v>2025</v>
      </c>
      <c r="D522" s="105" t="s">
        <v>465</v>
      </c>
      <c r="E522" s="119">
        <f>Table6[[#This Row],[Date]]-DAY(Table6[[#This Row],[Date]])+1</f>
        <v>45778</v>
      </c>
      <c r="F522" s="118">
        <v>45789</v>
      </c>
      <c r="G522" s="105" t="s">
        <v>103</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466</v>
      </c>
      <c r="L522" s="39" t="str">
        <f>IFERROR(VLOOKUP(Table6[[#This Row],[Error Code]],'Basic Data'!$T:$U,2,0),"")</f>
        <v>Manual Stop - Safety Related</v>
      </c>
      <c r="M522" s="346" t="s">
        <v>467</v>
      </c>
      <c r="N522" s="39" t="s">
        <v>468</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469</v>
      </c>
      <c r="V522" s="351" t="s">
        <v>470</v>
      </c>
      <c r="W522" s="338">
        <f>Table6[[#This Row],[Breakdown Time]]*(1/39)</f>
        <v>0.61495726495726499</v>
      </c>
      <c r="X522" s="336" t="s">
        <v>486</v>
      </c>
      <c r="Y522" s="352" t="s">
        <v>100</v>
      </c>
      <c r="Z522" s="105">
        <v>4215</v>
      </c>
      <c r="AA522" s="107">
        <v>4212.072916666667</v>
      </c>
      <c r="AB522" s="105" t="s">
        <v>472</v>
      </c>
    </row>
    <row r="523" spans="1:28">
      <c r="A523" s="105">
        <f t="shared" si="8"/>
        <v>522</v>
      </c>
      <c r="B523" s="107">
        <f>YEAR(Table6[[#This Row],[Date]])+IF(MONTH(Table6[[#This Row],[Date]])&gt;=4,1,0)</f>
        <v>2026</v>
      </c>
      <c r="C523" s="105">
        <f>YEAR(Table6[[#This Row],[Date]])</f>
        <v>2025</v>
      </c>
      <c r="D523" s="105" t="s">
        <v>465</v>
      </c>
      <c r="E523" s="119">
        <f>Table6[[#This Row],[Date]]-DAY(Table6[[#This Row],[Date]])+1</f>
        <v>45778</v>
      </c>
      <c r="F523" s="118">
        <v>45789</v>
      </c>
      <c r="G523" s="105" t="s">
        <v>101</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466</v>
      </c>
      <c r="L523" s="39" t="str">
        <f>IFERROR(VLOOKUP(Table6[[#This Row],[Error Code]],'Basic Data'!$T:$U,2,0),"")</f>
        <v>Manual Stop - Safety Related</v>
      </c>
      <c r="M523" s="346" t="s">
        <v>467</v>
      </c>
      <c r="N523" s="39" t="s">
        <v>468</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469</v>
      </c>
      <c r="V523" s="351" t="s">
        <v>470</v>
      </c>
      <c r="W523" s="338">
        <f>Table6[[#This Row],[Breakdown Time]]*(1/39)</f>
        <v>0.61495726495726499</v>
      </c>
      <c r="X523" s="336" t="s">
        <v>486</v>
      </c>
      <c r="Y523" s="352" t="s">
        <v>100</v>
      </c>
      <c r="Z523" s="105">
        <v>4215</v>
      </c>
      <c r="AA523" s="107">
        <v>4212.072916666667</v>
      </c>
      <c r="AB523" s="105" t="s">
        <v>472</v>
      </c>
    </row>
    <row r="524" spans="1:28">
      <c r="A524" s="105">
        <f t="shared" si="8"/>
        <v>523</v>
      </c>
      <c r="B524" s="107">
        <f>YEAR(Table6[[#This Row],[Date]])+IF(MONTH(Table6[[#This Row],[Date]])&gt;=4,1,0)</f>
        <v>2026</v>
      </c>
      <c r="C524" s="105">
        <f>YEAR(Table6[[#This Row],[Date]])</f>
        <v>2025</v>
      </c>
      <c r="D524" s="105" t="s">
        <v>465</v>
      </c>
      <c r="E524" s="119">
        <f>Table6[[#This Row],[Date]]-DAY(Table6[[#This Row],[Date]])+1</f>
        <v>45778</v>
      </c>
      <c r="F524" s="118">
        <v>45789</v>
      </c>
      <c r="G524" s="105" t="s">
        <v>77</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473</v>
      </c>
      <c r="N524" s="39" t="s">
        <v>474</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589</v>
      </c>
      <c r="V524" s="351" t="s">
        <v>476</v>
      </c>
      <c r="W524" s="338">
        <f>Table6[[#This Row],[Breakdown Time]]*(1/39)</f>
        <v>0.11367521367521363</v>
      </c>
      <c r="X524" s="336" t="s">
        <v>477</v>
      </c>
      <c r="Y524" s="352" t="s">
        <v>80</v>
      </c>
      <c r="Z524" s="105">
        <v>3109</v>
      </c>
      <c r="AA524" s="107">
        <v>574.3013888888886</v>
      </c>
      <c r="AB524" s="105" t="s">
        <v>472</v>
      </c>
    </row>
    <row r="525" spans="1:28">
      <c r="A525" s="105">
        <f t="shared" si="8"/>
        <v>524</v>
      </c>
      <c r="B525" s="107">
        <f>YEAR(Table6[[#This Row],[Date]])+IF(MONTH(Table6[[#This Row],[Date]])&gt;=4,1,0)</f>
        <v>2026</v>
      </c>
      <c r="C525" s="105">
        <f>YEAR(Table6[[#This Row],[Date]])</f>
        <v>2025</v>
      </c>
      <c r="D525" s="105" t="s">
        <v>465</v>
      </c>
      <c r="E525" s="119">
        <f>Table6[[#This Row],[Date]]-DAY(Table6[[#This Row],[Date]])+1</f>
        <v>45778</v>
      </c>
      <c r="F525" s="118">
        <v>45789</v>
      </c>
      <c r="G525" s="105" t="s">
        <v>76</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466</v>
      </c>
      <c r="L525" s="39" t="str">
        <f>IFERROR(VLOOKUP(Table6[[#This Row],[Error Code]],'Basic Data'!$T:$U,2,0),"")</f>
        <v>Manual Stop - Safety Related</v>
      </c>
      <c r="M525" s="346" t="s">
        <v>467</v>
      </c>
      <c r="N525" s="39" t="s">
        <v>189</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506</v>
      </c>
      <c r="V525" s="351" t="s">
        <v>476</v>
      </c>
      <c r="W525" s="338">
        <f>Table6[[#This Row],[Breakdown Time]]*(1/39)</f>
        <v>5.7692307692307689E-2</v>
      </c>
      <c r="X525" s="336" t="s">
        <v>486</v>
      </c>
      <c r="Y525" s="352" t="s">
        <v>79</v>
      </c>
      <c r="Z525" s="105">
        <v>3086</v>
      </c>
      <c r="AA525" s="107">
        <v>289.3125</v>
      </c>
      <c r="AB525" s="105" t="s">
        <v>472</v>
      </c>
    </row>
    <row r="526" spans="1:28">
      <c r="A526" s="105">
        <f t="shared" si="8"/>
        <v>525</v>
      </c>
      <c r="B526" s="107">
        <f>YEAR(Table6[[#This Row],[Date]])+IF(MONTH(Table6[[#This Row],[Date]])&gt;=4,1,0)</f>
        <v>2026</v>
      </c>
      <c r="C526" s="105">
        <f>YEAR(Table6[[#This Row],[Date]])</f>
        <v>2025</v>
      </c>
      <c r="D526" s="105" t="s">
        <v>465</v>
      </c>
      <c r="E526" s="119">
        <f>Table6[[#This Row],[Date]]-DAY(Table6[[#This Row],[Date]])+1</f>
        <v>45778</v>
      </c>
      <c r="F526" s="118">
        <v>45789</v>
      </c>
      <c r="G526" s="105" t="s">
        <v>96</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473</v>
      </c>
      <c r="N526" s="39" t="s">
        <v>474</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590</v>
      </c>
      <c r="V526" s="351" t="s">
        <v>476</v>
      </c>
      <c r="W526" s="338">
        <f>Table6[[#This Row],[Breakdown Time]]*(1/39)</f>
        <v>0.20769230769230768</v>
      </c>
      <c r="X526" s="336" t="s">
        <v>486</v>
      </c>
      <c r="Y526" s="352" t="s">
        <v>78</v>
      </c>
      <c r="Z526" s="105">
        <v>4032</v>
      </c>
      <c r="AA526" s="107">
        <v>1360.8</v>
      </c>
      <c r="AB526" s="105" t="s">
        <v>472</v>
      </c>
    </row>
    <row r="527" spans="1:28">
      <c r="A527" s="105">
        <f t="shared" si="8"/>
        <v>526</v>
      </c>
      <c r="B527" s="107">
        <f>YEAR(Table6[[#This Row],[Date]])+IF(MONTH(Table6[[#This Row],[Date]])&gt;=4,1,0)</f>
        <v>2026</v>
      </c>
      <c r="C527" s="105">
        <f>YEAR(Table6[[#This Row],[Date]])</f>
        <v>2025</v>
      </c>
      <c r="D527" s="105" t="s">
        <v>465</v>
      </c>
      <c r="E527" s="119">
        <f>Table6[[#This Row],[Date]]-DAY(Table6[[#This Row],[Date]])+1</f>
        <v>45778</v>
      </c>
      <c r="F527" s="118">
        <v>45789</v>
      </c>
      <c r="G527" s="105" t="s">
        <v>95</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526</v>
      </c>
      <c r="L527" s="39" t="str">
        <f>IFERROR(VLOOKUP(Table6[[#This Row],[Error Code]],'Basic Data'!$T:$U,2,0),"")</f>
        <v>Manual Stop</v>
      </c>
      <c r="M527" s="346" t="s">
        <v>576</v>
      </c>
      <c r="N527" s="39" t="s">
        <v>189</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591</v>
      </c>
      <c r="V527" s="351" t="s">
        <v>476</v>
      </c>
      <c r="W527" s="338">
        <f>Table6[[#This Row],[Breakdown Time]]*(1/39)</f>
        <v>5.2564102564102544E-2</v>
      </c>
      <c r="X527" s="336" t="s">
        <v>501</v>
      </c>
      <c r="Y527" s="352" t="s">
        <v>78</v>
      </c>
      <c r="Z527" s="105">
        <v>4032</v>
      </c>
      <c r="AA527" s="107">
        <v>344.39999999999992</v>
      </c>
      <c r="AB527" s="105" t="s">
        <v>472</v>
      </c>
    </row>
    <row r="528" spans="1:28">
      <c r="A528" s="105">
        <f t="shared" si="8"/>
        <v>527</v>
      </c>
      <c r="B528" s="107">
        <f>YEAR(Table6[[#This Row],[Date]])+IF(MONTH(Table6[[#This Row],[Date]])&gt;=4,1,0)</f>
        <v>2026</v>
      </c>
      <c r="C528" s="105">
        <f>YEAR(Table6[[#This Row],[Date]])</f>
        <v>2025</v>
      </c>
      <c r="D528" s="105" t="s">
        <v>465</v>
      </c>
      <c r="E528" s="119">
        <f>Table6[[#This Row],[Date]]-DAY(Table6[[#This Row],[Date]])+1</f>
        <v>45778</v>
      </c>
      <c r="F528" s="118">
        <v>45789</v>
      </c>
      <c r="G528" s="105" t="s">
        <v>94</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473</v>
      </c>
      <c r="N528" s="39" t="s">
        <v>474</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592</v>
      </c>
      <c r="V528" s="351" t="s">
        <v>476</v>
      </c>
      <c r="W528" s="338">
        <f>Table6[[#This Row],[Breakdown Time]]*(1/39)</f>
        <v>0.5282051282051281</v>
      </c>
      <c r="X528" s="336" t="s">
        <v>477</v>
      </c>
      <c r="Y528" s="352" t="s">
        <v>78</v>
      </c>
      <c r="Z528" s="105">
        <v>4032</v>
      </c>
      <c r="AA528" s="107">
        <v>3460.7999999999997</v>
      </c>
      <c r="AB528" s="105" t="s">
        <v>472</v>
      </c>
    </row>
    <row r="529" spans="1:28">
      <c r="A529" s="105">
        <f t="shared" si="8"/>
        <v>528</v>
      </c>
      <c r="B529" s="107">
        <f>YEAR(Table6[[#This Row],[Date]])+IF(MONTH(Table6[[#This Row],[Date]])&gt;=4,1,0)</f>
        <v>2026</v>
      </c>
      <c r="C529" s="105">
        <f>YEAR(Table6[[#This Row],[Date]])</f>
        <v>2025</v>
      </c>
      <c r="D529" s="105" t="s">
        <v>465</v>
      </c>
      <c r="E529" s="119">
        <f>Table6[[#This Row],[Date]]-DAY(Table6[[#This Row],[Date]])+1</f>
        <v>45778</v>
      </c>
      <c r="F529" s="118">
        <v>45790</v>
      </c>
      <c r="G529" s="105" t="s">
        <v>103</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466</v>
      </c>
      <c r="L529" s="39" t="str">
        <f>IFERROR(VLOOKUP(Table6[[#This Row],[Error Code]],'Basic Data'!$T:$U,2,0),"")</f>
        <v>Manual Stop - Safety Related</v>
      </c>
      <c r="M529" s="346" t="s">
        <v>467</v>
      </c>
      <c r="N529" s="39" t="s">
        <v>468</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469</v>
      </c>
      <c r="V529" s="351" t="s">
        <v>470</v>
      </c>
      <c r="W529" s="338">
        <f>Table6[[#This Row],[Breakdown Time]]*(1/39)</f>
        <v>0.61495726495726499</v>
      </c>
      <c r="X529" s="336" t="s">
        <v>486</v>
      </c>
      <c r="Y529" s="352" t="s">
        <v>102</v>
      </c>
      <c r="Z529" s="105">
        <v>4579</v>
      </c>
      <c r="AA529" s="107">
        <v>4575.8201388888892</v>
      </c>
      <c r="AB529" s="105" t="s">
        <v>472</v>
      </c>
    </row>
    <row r="530" spans="1:28">
      <c r="A530" s="105">
        <f t="shared" si="8"/>
        <v>529</v>
      </c>
      <c r="B530" s="107">
        <f>YEAR(Table6[[#This Row],[Date]])+IF(MONTH(Table6[[#This Row],[Date]])&gt;=4,1,0)</f>
        <v>2026</v>
      </c>
      <c r="C530" s="105">
        <f>YEAR(Table6[[#This Row],[Date]])</f>
        <v>2025</v>
      </c>
      <c r="D530" s="105" t="s">
        <v>465</v>
      </c>
      <c r="E530" s="119">
        <f>Table6[[#This Row],[Date]]-DAY(Table6[[#This Row],[Date]])+1</f>
        <v>45778</v>
      </c>
      <c r="F530" s="118">
        <v>45790</v>
      </c>
      <c r="G530" s="105" t="s">
        <v>101</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466</v>
      </c>
      <c r="L530" s="39" t="str">
        <f>IFERROR(VLOOKUP(Table6[[#This Row],[Error Code]],'Basic Data'!$T:$U,2,0),"")</f>
        <v>Manual Stop - Safety Related</v>
      </c>
      <c r="M530" s="346" t="s">
        <v>467</v>
      </c>
      <c r="N530" s="39" t="s">
        <v>468</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469</v>
      </c>
      <c r="V530" s="351" t="s">
        <v>470</v>
      </c>
      <c r="W530" s="338">
        <f>Table6[[#This Row],[Breakdown Time]]*(1/39)</f>
        <v>0.61495726495726499</v>
      </c>
      <c r="X530" s="336" t="s">
        <v>486</v>
      </c>
      <c r="Y530" s="352" t="s">
        <v>102</v>
      </c>
      <c r="Z530" s="105">
        <v>4579</v>
      </c>
      <c r="AA530" s="107">
        <v>4575.8201388888892</v>
      </c>
      <c r="AB530" s="105" t="s">
        <v>472</v>
      </c>
    </row>
    <row r="531" spans="1:28">
      <c r="A531" s="105">
        <f t="shared" si="8"/>
        <v>530</v>
      </c>
      <c r="B531" s="107">
        <f>YEAR(Table6[[#This Row],[Date]])+IF(MONTH(Table6[[#This Row],[Date]])&gt;=4,1,0)</f>
        <v>2026</v>
      </c>
      <c r="C531" s="105">
        <f>YEAR(Table6[[#This Row],[Date]])</f>
        <v>2025</v>
      </c>
      <c r="D531" s="105" t="s">
        <v>465</v>
      </c>
      <c r="E531" s="119">
        <f>Table6[[#This Row],[Date]]-DAY(Table6[[#This Row],[Date]])+1</f>
        <v>45778</v>
      </c>
      <c r="F531" s="118">
        <v>45790</v>
      </c>
      <c r="G531" s="105" t="s">
        <v>77</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473</v>
      </c>
      <c r="N531" s="39" t="s">
        <v>474</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593</v>
      </c>
      <c r="V531" s="351" t="s">
        <v>476</v>
      </c>
      <c r="W531" s="338">
        <f>Table6[[#This Row],[Breakdown Time]]*(1/39)</f>
        <v>8.3333333333333301E-2</v>
      </c>
      <c r="X531" s="336" t="s">
        <v>477</v>
      </c>
      <c r="Y531" s="352" t="s">
        <v>75</v>
      </c>
      <c r="Z531" s="105">
        <v>6734</v>
      </c>
      <c r="AA531" s="107">
        <v>911.89583333333303</v>
      </c>
      <c r="AB531" s="105" t="s">
        <v>472</v>
      </c>
    </row>
    <row r="532" spans="1:28">
      <c r="A532" s="105">
        <f t="shared" si="8"/>
        <v>531</v>
      </c>
      <c r="B532" s="107">
        <f>YEAR(Table6[[#This Row],[Date]])+IF(MONTH(Table6[[#This Row],[Date]])&gt;=4,1,0)</f>
        <v>2026</v>
      </c>
      <c r="C532" s="105">
        <f>YEAR(Table6[[#This Row],[Date]])</f>
        <v>2025</v>
      </c>
      <c r="D532" s="105" t="s">
        <v>465</v>
      </c>
      <c r="E532" s="119">
        <f>Table6[[#This Row],[Date]]-DAY(Table6[[#This Row],[Date]])+1</f>
        <v>45778</v>
      </c>
      <c r="F532" s="118">
        <v>45790</v>
      </c>
      <c r="G532" s="105" t="s">
        <v>80</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473</v>
      </c>
      <c r="N532" s="39" t="s">
        <v>474</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594</v>
      </c>
      <c r="V532" s="351" t="s">
        <v>476</v>
      </c>
      <c r="W532" s="338">
        <f>Table6[[#This Row],[Breakdown Time]]*(1/39)</f>
        <v>3.3333333333333354E-2</v>
      </c>
      <c r="X532" s="336" t="s">
        <v>477</v>
      </c>
      <c r="Y532" s="352" t="s">
        <v>74</v>
      </c>
      <c r="Z532" s="105">
        <v>6782</v>
      </c>
      <c r="AA532" s="107">
        <v>367.35833333333352</v>
      </c>
      <c r="AB532" s="105" t="s">
        <v>472</v>
      </c>
    </row>
    <row r="533" spans="1:28">
      <c r="A533" s="105">
        <f t="shared" si="8"/>
        <v>532</v>
      </c>
      <c r="B533" s="107">
        <f>YEAR(Table6[[#This Row],[Date]])+IF(MONTH(Table6[[#This Row],[Date]])&gt;=4,1,0)</f>
        <v>2026</v>
      </c>
      <c r="C533" s="105">
        <f>YEAR(Table6[[#This Row],[Date]])</f>
        <v>2025</v>
      </c>
      <c r="D533" s="105" t="s">
        <v>465</v>
      </c>
      <c r="E533" s="119">
        <f>Table6[[#This Row],[Date]]-DAY(Table6[[#This Row],[Date]])+1</f>
        <v>45778</v>
      </c>
      <c r="F533" s="118">
        <v>45790</v>
      </c>
      <c r="G533" s="105" t="s">
        <v>87</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466</v>
      </c>
      <c r="L533" s="39" t="str">
        <f>IFERROR(VLOOKUP(Table6[[#This Row],[Error Code]],'Basic Data'!$T:$U,2,0),"")</f>
        <v>Manual Stop - Safety Related</v>
      </c>
      <c r="M533" s="346" t="s">
        <v>467</v>
      </c>
      <c r="N533" s="39" t="s">
        <v>189</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506</v>
      </c>
      <c r="V533" s="351" t="s">
        <v>476</v>
      </c>
      <c r="W533" s="338">
        <f>Table6[[#This Row],[Breakdown Time]]*(1/39)</f>
        <v>0.11025641025641027</v>
      </c>
      <c r="X533" s="336" t="s">
        <v>486</v>
      </c>
      <c r="Y533" s="352" t="s">
        <v>88</v>
      </c>
      <c r="Z533" s="105">
        <v>7344</v>
      </c>
      <c r="AA533" s="107">
        <v>1315.8000000000002</v>
      </c>
      <c r="AB533" s="105" t="s">
        <v>472</v>
      </c>
    </row>
    <row r="534" spans="1:28">
      <c r="A534" s="105">
        <f t="shared" si="8"/>
        <v>533</v>
      </c>
      <c r="B534" s="107">
        <f>YEAR(Table6[[#This Row],[Date]])+IF(MONTH(Table6[[#This Row],[Date]])&gt;=4,1,0)</f>
        <v>2026</v>
      </c>
      <c r="C534" s="105">
        <f>YEAR(Table6[[#This Row],[Date]])</f>
        <v>2025</v>
      </c>
      <c r="D534" s="105" t="s">
        <v>465</v>
      </c>
      <c r="E534" s="119">
        <f>Table6[[#This Row],[Date]]-DAY(Table6[[#This Row],[Date]])+1</f>
        <v>45778</v>
      </c>
      <c r="F534" s="118">
        <v>45790</v>
      </c>
      <c r="G534" s="105" t="s">
        <v>112</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473</v>
      </c>
      <c r="N534" s="39" t="s">
        <v>474</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595</v>
      </c>
      <c r="V534" s="351" t="s">
        <v>470</v>
      </c>
      <c r="W534" s="338">
        <f>Table6[[#This Row],[Breakdown Time]]*(1/39)</f>
        <v>0.46752136752136753</v>
      </c>
      <c r="X534" s="336" t="s">
        <v>477</v>
      </c>
      <c r="Y534" s="352" t="s">
        <v>111</v>
      </c>
      <c r="Z534" s="105">
        <v>4008</v>
      </c>
      <c r="AA534" s="107">
        <v>3044.9666666666667</v>
      </c>
      <c r="AB534" s="105" t="s">
        <v>596</v>
      </c>
    </row>
    <row r="535" spans="1:28">
      <c r="A535" s="105">
        <f t="shared" si="8"/>
        <v>534</v>
      </c>
      <c r="B535" s="107">
        <f>YEAR(Table6[[#This Row],[Date]])+IF(MONTH(Table6[[#This Row],[Date]])&gt;=4,1,0)</f>
        <v>2026</v>
      </c>
      <c r="C535" s="105">
        <f>YEAR(Table6[[#This Row],[Date]])</f>
        <v>2025</v>
      </c>
      <c r="D535" s="105" t="s">
        <v>465</v>
      </c>
      <c r="E535" s="119">
        <f>Table6[[#This Row],[Date]]-DAY(Table6[[#This Row],[Date]])+1</f>
        <v>45778</v>
      </c>
      <c r="F535" s="118">
        <v>45790</v>
      </c>
      <c r="G535" s="105" t="s">
        <v>100</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473</v>
      </c>
      <c r="N535" s="39" t="s">
        <v>474</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475</v>
      </c>
      <c r="V535" s="351" t="s">
        <v>476</v>
      </c>
      <c r="W535" s="338">
        <f>Table6[[#This Row],[Breakdown Time]]*(1/39)</f>
        <v>1.8803418803418806E-2</v>
      </c>
      <c r="X535" s="336" t="s">
        <v>477</v>
      </c>
      <c r="Y535" s="352" t="s">
        <v>102</v>
      </c>
      <c r="Z535" s="105">
        <v>4579</v>
      </c>
      <c r="AA535" s="107">
        <v>139.91388888888889</v>
      </c>
      <c r="AB535" s="105" t="s">
        <v>472</v>
      </c>
    </row>
    <row r="536" spans="1:28">
      <c r="A536" s="105">
        <f t="shared" si="8"/>
        <v>535</v>
      </c>
      <c r="B536" s="107">
        <f>YEAR(Table6[[#This Row],[Date]])+IF(MONTH(Table6[[#This Row],[Date]])&gt;=4,1,0)</f>
        <v>2026</v>
      </c>
      <c r="C536" s="105">
        <f>YEAR(Table6[[#This Row],[Date]])</f>
        <v>2025</v>
      </c>
      <c r="D536" s="105" t="s">
        <v>465</v>
      </c>
      <c r="E536" s="119">
        <f>Table6[[#This Row],[Date]]-DAY(Table6[[#This Row],[Date]])+1</f>
        <v>45778</v>
      </c>
      <c r="F536" s="118">
        <v>45790</v>
      </c>
      <c r="G536" s="105" t="s">
        <v>94</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473</v>
      </c>
      <c r="N536" s="39" t="s">
        <v>474</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475</v>
      </c>
      <c r="V536" s="351" t="s">
        <v>476</v>
      </c>
      <c r="W536" s="338">
        <f>Table6[[#This Row],[Breakdown Time]]*(1/39)</f>
        <v>0.10427350427350424</v>
      </c>
      <c r="X536" s="336" t="s">
        <v>477</v>
      </c>
      <c r="Y536" s="352" t="s">
        <v>95</v>
      </c>
      <c r="Z536" s="105">
        <v>4516</v>
      </c>
      <c r="AA536" s="107">
        <v>765.21111111111088</v>
      </c>
      <c r="AB536" s="105" t="s">
        <v>472</v>
      </c>
    </row>
    <row r="537" spans="1:28">
      <c r="A537" s="105">
        <f t="shared" si="8"/>
        <v>536</v>
      </c>
      <c r="B537" s="107">
        <f>YEAR(Table6[[#This Row],[Date]])+IF(MONTH(Table6[[#This Row],[Date]])&gt;=4,1,0)</f>
        <v>2026</v>
      </c>
      <c r="C537" s="105">
        <f>YEAR(Table6[[#This Row],[Date]])</f>
        <v>2025</v>
      </c>
      <c r="D537" s="105" t="s">
        <v>465</v>
      </c>
      <c r="E537" s="119">
        <f>Table6[[#This Row],[Date]]-DAY(Table6[[#This Row],[Date]])+1</f>
        <v>45778</v>
      </c>
      <c r="F537" s="118">
        <v>45791</v>
      </c>
      <c r="G537" s="105" t="s">
        <v>103</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466</v>
      </c>
      <c r="L537" s="39" t="str">
        <f>IFERROR(VLOOKUP(Table6[[#This Row],[Error Code]],'Basic Data'!$T:$U,2,0),"")</f>
        <v>Manual Stop - Safety Related</v>
      </c>
      <c r="M537" s="346" t="s">
        <v>467</v>
      </c>
      <c r="N537" s="39" t="s">
        <v>468</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469</v>
      </c>
      <c r="V537" s="351" t="s">
        <v>470</v>
      </c>
      <c r="W537" s="338">
        <f>Table6[[#This Row],[Breakdown Time]]*(1/39)</f>
        <v>0.61495726495726499</v>
      </c>
      <c r="X537" s="336" t="s">
        <v>486</v>
      </c>
      <c r="Y537" s="352" t="s">
        <v>102</v>
      </c>
      <c r="Z537" s="105">
        <v>3268</v>
      </c>
      <c r="AA537" s="107">
        <v>3265.7305555555554</v>
      </c>
      <c r="AB537" s="105" t="s">
        <v>472</v>
      </c>
    </row>
    <row r="538" spans="1:28">
      <c r="A538" s="105">
        <f t="shared" si="8"/>
        <v>537</v>
      </c>
      <c r="B538" s="107">
        <f>YEAR(Table6[[#This Row],[Date]])+IF(MONTH(Table6[[#This Row],[Date]])&gt;=4,1,0)</f>
        <v>2026</v>
      </c>
      <c r="C538" s="105">
        <f>YEAR(Table6[[#This Row],[Date]])</f>
        <v>2025</v>
      </c>
      <c r="D538" s="105" t="s">
        <v>465</v>
      </c>
      <c r="E538" s="119">
        <f>Table6[[#This Row],[Date]]-DAY(Table6[[#This Row],[Date]])+1</f>
        <v>45778</v>
      </c>
      <c r="F538" s="118">
        <v>45791</v>
      </c>
      <c r="G538" s="105" t="s">
        <v>101</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466</v>
      </c>
      <c r="L538" s="39" t="str">
        <f>IFERROR(VLOOKUP(Table6[[#This Row],[Error Code]],'Basic Data'!$T:$U,2,0),"")</f>
        <v>Manual Stop - Safety Related</v>
      </c>
      <c r="M538" s="346" t="s">
        <v>467</v>
      </c>
      <c r="N538" s="39" t="s">
        <v>468</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469</v>
      </c>
      <c r="V538" s="351" t="s">
        <v>470</v>
      </c>
      <c r="W538" s="338">
        <f>Table6[[#This Row],[Breakdown Time]]*(1/39)</f>
        <v>0.61495726495726499</v>
      </c>
      <c r="X538" s="336" t="s">
        <v>486</v>
      </c>
      <c r="Y538" s="352" t="s">
        <v>102</v>
      </c>
      <c r="Z538" s="105">
        <v>3268</v>
      </c>
      <c r="AA538" s="107">
        <v>3265.7305555555554</v>
      </c>
      <c r="AB538" s="105" t="s">
        <v>472</v>
      </c>
    </row>
    <row r="539" spans="1:28">
      <c r="A539" s="105">
        <f t="shared" si="8"/>
        <v>538</v>
      </c>
      <c r="B539" s="107">
        <f>YEAR(Table6[[#This Row],[Date]])+IF(MONTH(Table6[[#This Row],[Date]])&gt;=4,1,0)</f>
        <v>2026</v>
      </c>
      <c r="C539" s="105">
        <f>YEAR(Table6[[#This Row],[Date]])</f>
        <v>2025</v>
      </c>
      <c r="D539" s="105" t="s">
        <v>465</v>
      </c>
      <c r="E539" s="119">
        <f>Table6[[#This Row],[Date]]-DAY(Table6[[#This Row],[Date]])+1</f>
        <v>45778</v>
      </c>
      <c r="F539" s="118">
        <v>45791</v>
      </c>
      <c r="G539" s="105" t="s">
        <v>100</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473</v>
      </c>
      <c r="N539" s="39" t="s">
        <v>474</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597</v>
      </c>
      <c r="V539" s="351" t="s">
        <v>476</v>
      </c>
      <c r="W539" s="338">
        <f>Table6[[#This Row],[Breakdown Time]]*(1/39)</f>
        <v>8.2905982905982875E-2</v>
      </c>
      <c r="X539" s="336" t="s">
        <v>477</v>
      </c>
      <c r="Y539" s="352" t="s">
        <v>102</v>
      </c>
      <c r="Z539" s="105">
        <v>3268</v>
      </c>
      <c r="AA539" s="107">
        <v>440.27222222222207</v>
      </c>
      <c r="AB539" s="105" t="s">
        <v>472</v>
      </c>
    </row>
    <row r="540" spans="1:28">
      <c r="A540" s="105">
        <f t="shared" si="8"/>
        <v>539</v>
      </c>
      <c r="B540" s="107">
        <f>YEAR(Table6[[#This Row],[Date]])+IF(MONTH(Table6[[#This Row],[Date]])&gt;=4,1,0)</f>
        <v>2026</v>
      </c>
      <c r="C540" s="105">
        <f>YEAR(Table6[[#This Row],[Date]])</f>
        <v>2025</v>
      </c>
      <c r="D540" s="105" t="s">
        <v>465</v>
      </c>
      <c r="E540" s="119">
        <f>Table6[[#This Row],[Date]]-DAY(Table6[[#This Row],[Date]])+1</f>
        <v>45778</v>
      </c>
      <c r="F540" s="118">
        <v>45791</v>
      </c>
      <c r="G540" s="105" t="s">
        <v>112</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473</v>
      </c>
      <c r="N540" s="39" t="s">
        <v>474</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595</v>
      </c>
      <c r="V540" s="351" t="s">
        <v>470</v>
      </c>
      <c r="W540" s="338">
        <f>Table6[[#This Row],[Breakdown Time]]*(1/39)</f>
        <v>0.61495726495726499</v>
      </c>
      <c r="X540" s="336" t="s">
        <v>477</v>
      </c>
      <c r="Y540" s="352" t="s">
        <v>111</v>
      </c>
      <c r="Z540" s="105">
        <v>2901</v>
      </c>
      <c r="AA540" s="107">
        <v>2898.9854166666669</v>
      </c>
      <c r="AB540" s="105" t="s">
        <v>596</v>
      </c>
    </row>
    <row r="541" spans="1:28">
      <c r="A541" s="105">
        <f t="shared" si="8"/>
        <v>540</v>
      </c>
      <c r="B541" s="107">
        <f>YEAR(Table6[[#This Row],[Date]])+IF(MONTH(Table6[[#This Row],[Date]])&gt;=4,1,0)</f>
        <v>2026</v>
      </c>
      <c r="C541" s="105">
        <f>YEAR(Table6[[#This Row],[Date]])</f>
        <v>2025</v>
      </c>
      <c r="D541" s="105" t="s">
        <v>465</v>
      </c>
      <c r="E541" s="119">
        <f>Table6[[#This Row],[Date]]-DAY(Table6[[#This Row],[Date]])+1</f>
        <v>45778</v>
      </c>
      <c r="F541" s="118">
        <v>45791</v>
      </c>
      <c r="G541" s="105" t="s">
        <v>87</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473</v>
      </c>
      <c r="N541" s="39" t="s">
        <v>474</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598</v>
      </c>
      <c r="V541" s="351" t="s">
        <v>476</v>
      </c>
      <c r="W541" s="338">
        <f>Table6[[#This Row],[Breakdown Time]]*(1/39)</f>
        <v>0.40170940170940178</v>
      </c>
      <c r="X541" s="336" t="s">
        <v>477</v>
      </c>
      <c r="Y541" s="352" t="s">
        <v>88</v>
      </c>
      <c r="Z541" s="105">
        <v>5076</v>
      </c>
      <c r="AA541" s="107">
        <v>3313.5000000000005</v>
      </c>
      <c r="AB541" s="105" t="s">
        <v>472</v>
      </c>
    </row>
    <row r="542" spans="1:28">
      <c r="A542" s="105">
        <f t="shared" si="8"/>
        <v>541</v>
      </c>
      <c r="B542" s="107">
        <f>YEAR(Table6[[#This Row],[Date]])+IF(MONTH(Table6[[#This Row],[Date]])&gt;=4,1,0)</f>
        <v>2026</v>
      </c>
      <c r="C542" s="105">
        <f>YEAR(Table6[[#This Row],[Date]])</f>
        <v>2025</v>
      </c>
      <c r="D542" s="105" t="s">
        <v>465</v>
      </c>
      <c r="E542" s="119">
        <f>Table6[[#This Row],[Date]]-DAY(Table6[[#This Row],[Date]])+1</f>
        <v>45778</v>
      </c>
      <c r="F542" s="118">
        <v>45791</v>
      </c>
      <c r="G542" s="105" t="s">
        <v>77</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473</v>
      </c>
      <c r="N542" s="39" t="s">
        <v>474</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599</v>
      </c>
      <c r="V542" s="351" t="s">
        <v>476</v>
      </c>
      <c r="W542" s="338">
        <f>Table6[[#This Row],[Breakdown Time]]*(1/39)</f>
        <v>6.5811965811965786E-2</v>
      </c>
      <c r="X542" s="336" t="s">
        <v>477</v>
      </c>
      <c r="Y542" s="352" t="s">
        <v>75</v>
      </c>
      <c r="Z542" s="105">
        <v>4843</v>
      </c>
      <c r="AA542" s="107">
        <v>517.93194444444418</v>
      </c>
      <c r="AB542" s="105" t="s">
        <v>472</v>
      </c>
    </row>
    <row r="543" spans="1:28">
      <c r="A543" s="105">
        <f t="shared" si="8"/>
        <v>542</v>
      </c>
      <c r="B543" s="107">
        <f>YEAR(Table6[[#This Row],[Date]])+IF(MONTH(Table6[[#This Row],[Date]])&gt;=4,1,0)</f>
        <v>2026</v>
      </c>
      <c r="C543" s="105">
        <f>YEAR(Table6[[#This Row],[Date]])</f>
        <v>2025</v>
      </c>
      <c r="D543" s="105" t="s">
        <v>465</v>
      </c>
      <c r="E543" s="119">
        <f>Table6[[#This Row],[Date]]-DAY(Table6[[#This Row],[Date]])+1</f>
        <v>45778</v>
      </c>
      <c r="F543" s="118">
        <v>45791</v>
      </c>
      <c r="G543" s="105" t="s">
        <v>86</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466</v>
      </c>
      <c r="L543" s="39" t="str">
        <f>IFERROR(VLOOKUP(Table6[[#This Row],[Error Code]],'Basic Data'!$T:$U,2,0),"")</f>
        <v>Manual Stop - Safety Related</v>
      </c>
      <c r="M543" s="346" t="s">
        <v>467</v>
      </c>
      <c r="N543" s="39" t="s">
        <v>189</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506</v>
      </c>
      <c r="V543" s="351" t="s">
        <v>476</v>
      </c>
      <c r="W543" s="338">
        <f>Table6[[#This Row],[Breakdown Time]]*(1/39)</f>
        <v>8.333333333333337E-2</v>
      </c>
      <c r="X543" s="336" t="s">
        <v>486</v>
      </c>
      <c r="Y543" s="352" t="s">
        <v>85</v>
      </c>
      <c r="Z543" s="105">
        <v>5012</v>
      </c>
      <c r="AA543" s="107">
        <v>678.70833333333371</v>
      </c>
      <c r="AB543" s="105" t="s">
        <v>472</v>
      </c>
    </row>
    <row r="544" spans="1:28">
      <c r="A544" s="105">
        <f t="shared" si="8"/>
        <v>543</v>
      </c>
      <c r="B544" s="107">
        <f>YEAR(Table6[[#This Row],[Date]])+IF(MONTH(Table6[[#This Row],[Date]])&gt;=4,1,0)</f>
        <v>2026</v>
      </c>
      <c r="C544" s="105">
        <f>YEAR(Table6[[#This Row],[Date]])</f>
        <v>2025</v>
      </c>
      <c r="D544" s="105" t="s">
        <v>465</v>
      </c>
      <c r="E544" s="119">
        <f>Table6[[#This Row],[Date]]-DAY(Table6[[#This Row],[Date]])+1</f>
        <v>45778</v>
      </c>
      <c r="F544" s="118">
        <v>45791</v>
      </c>
      <c r="G544" s="105" t="s">
        <v>94</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466</v>
      </c>
      <c r="L544" s="39" t="str">
        <f>IFERROR(VLOOKUP(Table6[[#This Row],[Error Code]],'Basic Data'!$T:$U,2,0),"")</f>
        <v>Manual Stop - Safety Related</v>
      </c>
      <c r="M544" s="346" t="s">
        <v>467</v>
      </c>
      <c r="N544" s="39" t="s">
        <v>189</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506</v>
      </c>
      <c r="V544" s="351" t="s">
        <v>476</v>
      </c>
      <c r="W544" s="338">
        <f>Table6[[#This Row],[Breakdown Time]]*(1/39)</f>
        <v>0.15213675213675215</v>
      </c>
      <c r="X544" s="336" t="s">
        <v>486</v>
      </c>
      <c r="Y544" s="352" t="s">
        <v>95</v>
      </c>
      <c r="Z544" s="105">
        <v>3256</v>
      </c>
      <c r="AA544" s="107">
        <v>804.95555555555552</v>
      </c>
      <c r="AB544" s="105" t="s">
        <v>472</v>
      </c>
    </row>
    <row r="545" spans="1:28">
      <c r="A545" s="105">
        <f t="shared" si="8"/>
        <v>544</v>
      </c>
      <c r="B545" s="107">
        <f>YEAR(Table6[[#This Row],[Date]])+IF(MONTH(Table6[[#This Row],[Date]])&gt;=4,1,0)</f>
        <v>2026</v>
      </c>
      <c r="C545" s="105">
        <f>YEAR(Table6[[#This Row],[Date]])</f>
        <v>2025</v>
      </c>
      <c r="D545" s="105" t="s">
        <v>465</v>
      </c>
      <c r="E545" s="119">
        <f>Table6[[#This Row],[Date]]-DAY(Table6[[#This Row],[Date]])+1</f>
        <v>45778</v>
      </c>
      <c r="F545" s="118">
        <v>45791</v>
      </c>
      <c r="G545" s="105" t="s">
        <v>94</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526</v>
      </c>
      <c r="L545" s="39" t="str">
        <f>IFERROR(VLOOKUP(Table6[[#This Row],[Error Code]],'Basic Data'!$T:$U,2,0),"")</f>
        <v>Manual Stop</v>
      </c>
      <c r="M545" s="346" t="s">
        <v>189</v>
      </c>
      <c r="N545" s="39" t="s">
        <v>189</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600</v>
      </c>
      <c r="V545" s="351" t="s">
        <v>476</v>
      </c>
      <c r="W545" s="338">
        <f>Table6[[#This Row],[Breakdown Time]]*(1/39)</f>
        <v>3.2478632478632481E-2</v>
      </c>
      <c r="X545" s="336" t="s">
        <v>501</v>
      </c>
      <c r="Y545" s="352" t="s">
        <v>95</v>
      </c>
      <c r="Z545" s="105">
        <v>3256</v>
      </c>
      <c r="AA545" s="107">
        <v>171.84444444444446</v>
      </c>
      <c r="AB545" s="105" t="s">
        <v>472</v>
      </c>
    </row>
    <row r="546" spans="1:28">
      <c r="A546" s="105">
        <f t="shared" si="8"/>
        <v>545</v>
      </c>
      <c r="B546" s="107">
        <f>YEAR(Table6[[#This Row],[Date]])+IF(MONTH(Table6[[#This Row],[Date]])&gt;=4,1,0)</f>
        <v>2026</v>
      </c>
      <c r="C546" s="105">
        <f>YEAR(Table6[[#This Row],[Date]])</f>
        <v>2025</v>
      </c>
      <c r="D546" s="105" t="s">
        <v>465</v>
      </c>
      <c r="E546" s="119">
        <f>Table6[[#This Row],[Date]]-DAY(Table6[[#This Row],[Date]])+1</f>
        <v>45778</v>
      </c>
      <c r="F546" s="118">
        <v>45792</v>
      </c>
      <c r="G546" s="105" t="s">
        <v>103</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466</v>
      </c>
      <c r="L546" s="39" t="str">
        <f>IFERROR(VLOOKUP(Table6[[#This Row],[Error Code]],'Basic Data'!$T:$U,2,0),"")</f>
        <v>Manual Stop - Safety Related</v>
      </c>
      <c r="M546" s="346" t="s">
        <v>467</v>
      </c>
      <c r="N546" s="39" t="s">
        <v>468</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469</v>
      </c>
      <c r="V546" s="351" t="s">
        <v>470</v>
      </c>
      <c r="W546" s="338">
        <f>Table6[[#This Row],[Breakdown Time]]*(1/39)</f>
        <v>0.61495726495726499</v>
      </c>
      <c r="X546" s="336" t="s">
        <v>486</v>
      </c>
      <c r="Y546" s="352" t="s">
        <v>100</v>
      </c>
      <c r="Z546" s="105">
        <v>5042</v>
      </c>
      <c r="AA546" s="107">
        <v>5038.4986111111111</v>
      </c>
      <c r="AB546" s="105" t="s">
        <v>472</v>
      </c>
    </row>
    <row r="547" spans="1:28">
      <c r="A547" s="105">
        <f t="shared" si="8"/>
        <v>546</v>
      </c>
      <c r="B547" s="107">
        <f>YEAR(Table6[[#This Row],[Date]])+IF(MONTH(Table6[[#This Row],[Date]])&gt;=4,1,0)</f>
        <v>2026</v>
      </c>
      <c r="C547" s="105">
        <f>YEAR(Table6[[#This Row],[Date]])</f>
        <v>2025</v>
      </c>
      <c r="D547" s="105" t="s">
        <v>465</v>
      </c>
      <c r="E547" s="119">
        <f>Table6[[#This Row],[Date]]-DAY(Table6[[#This Row],[Date]])+1</f>
        <v>45778</v>
      </c>
      <c r="F547" s="118">
        <v>45792</v>
      </c>
      <c r="G547" s="105" t="s">
        <v>101</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466</v>
      </c>
      <c r="L547" s="39" t="str">
        <f>IFERROR(VLOOKUP(Table6[[#This Row],[Error Code]],'Basic Data'!$T:$U,2,0),"")</f>
        <v>Manual Stop - Safety Related</v>
      </c>
      <c r="M547" s="346" t="s">
        <v>467</v>
      </c>
      <c r="N547" s="39" t="s">
        <v>468</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469</v>
      </c>
      <c r="V547" s="351" t="s">
        <v>470</v>
      </c>
      <c r="W547" s="338">
        <f>Table6[[#This Row],[Breakdown Time]]*(1/39)</f>
        <v>0.61495726495726499</v>
      </c>
      <c r="X547" s="336" t="s">
        <v>486</v>
      </c>
      <c r="Y547" s="352" t="s">
        <v>100</v>
      </c>
      <c r="Z547" s="105">
        <v>5042</v>
      </c>
      <c r="AA547" s="107">
        <v>5038.4986111111111</v>
      </c>
      <c r="AB547" s="105" t="s">
        <v>472</v>
      </c>
    </row>
    <row r="548" spans="1:28">
      <c r="A548" s="105">
        <f t="shared" si="8"/>
        <v>547</v>
      </c>
      <c r="B548" s="107">
        <f>YEAR(Table6[[#This Row],[Date]])+IF(MONTH(Table6[[#This Row],[Date]])&gt;=4,1,0)</f>
        <v>2026</v>
      </c>
      <c r="C548" s="105">
        <f>YEAR(Table6[[#This Row],[Date]])</f>
        <v>2025</v>
      </c>
      <c r="D548" s="105" t="s">
        <v>465</v>
      </c>
      <c r="E548" s="119">
        <f>Table6[[#This Row],[Date]]-DAY(Table6[[#This Row],[Date]])+1</f>
        <v>45778</v>
      </c>
      <c r="F548" s="118">
        <v>45792</v>
      </c>
      <c r="G548" s="105" t="s">
        <v>79</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526</v>
      </c>
      <c r="L548" s="39" t="str">
        <f>IFERROR(VLOOKUP(Table6[[#This Row],[Error Code]],'Basic Data'!$T:$U,2,0),"")</f>
        <v>Manual Stop</v>
      </c>
      <c r="M548" s="346" t="s">
        <v>576</v>
      </c>
      <c r="N548" s="39" t="s">
        <v>189</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577</v>
      </c>
      <c r="V548" s="351" t="s">
        <v>476</v>
      </c>
      <c r="W548" s="338">
        <f>Table6[[#This Row],[Breakdown Time]]*(1/39)</f>
        <v>7.6068376068376034E-2</v>
      </c>
      <c r="X548" s="336" t="s">
        <v>501</v>
      </c>
      <c r="Y548" s="352" t="s">
        <v>76</v>
      </c>
      <c r="Z548" s="105">
        <v>6423</v>
      </c>
      <c r="AA548" s="107">
        <v>793.95416666666631</v>
      </c>
      <c r="AB548" s="105" t="s">
        <v>472</v>
      </c>
    </row>
    <row r="549" spans="1:28">
      <c r="A549" s="105">
        <f t="shared" si="8"/>
        <v>548</v>
      </c>
      <c r="B549" s="107">
        <f>YEAR(Table6[[#This Row],[Date]])+IF(MONTH(Table6[[#This Row],[Date]])&gt;=4,1,0)</f>
        <v>2026</v>
      </c>
      <c r="C549" s="105">
        <f>YEAR(Table6[[#This Row],[Date]])</f>
        <v>2025</v>
      </c>
      <c r="D549" s="105" t="s">
        <v>465</v>
      </c>
      <c r="E549" s="119">
        <f>Table6[[#This Row],[Date]]-DAY(Table6[[#This Row],[Date]])+1</f>
        <v>45778</v>
      </c>
      <c r="F549" s="118">
        <v>45792</v>
      </c>
      <c r="G549" s="105" t="s">
        <v>80</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526</v>
      </c>
      <c r="L549" s="39" t="str">
        <f>IFERROR(VLOOKUP(Table6[[#This Row],[Error Code]],'Basic Data'!$T:$U,2,0),"")</f>
        <v>Manual Stop</v>
      </c>
      <c r="M549" s="346" t="s">
        <v>576</v>
      </c>
      <c r="N549" s="39" t="s">
        <v>189</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577</v>
      </c>
      <c r="V549" s="351" t="s">
        <v>476</v>
      </c>
      <c r="W549" s="338">
        <f>Table6[[#This Row],[Breakdown Time]]*(1/39)</f>
        <v>4.4871794871794844E-2</v>
      </c>
      <c r="X549" s="336" t="s">
        <v>501</v>
      </c>
      <c r="Y549" s="352" t="s">
        <v>74</v>
      </c>
      <c r="Z549" s="105">
        <v>6421</v>
      </c>
      <c r="AA549" s="107">
        <v>468.19791666666646</v>
      </c>
      <c r="AB549" s="105" t="s">
        <v>472</v>
      </c>
    </row>
    <row r="550" spans="1:28">
      <c r="A550" s="105">
        <f t="shared" si="8"/>
        <v>549</v>
      </c>
      <c r="B550" s="107">
        <f>YEAR(Table6[[#This Row],[Date]])+IF(MONTH(Table6[[#This Row],[Date]])&gt;=4,1,0)</f>
        <v>2026</v>
      </c>
      <c r="C550" s="105">
        <f>YEAR(Table6[[#This Row],[Date]])</f>
        <v>2025</v>
      </c>
      <c r="D550" s="105" t="s">
        <v>465</v>
      </c>
      <c r="E550" s="119">
        <f>Table6[[#This Row],[Date]]-DAY(Table6[[#This Row],[Date]])+1</f>
        <v>45778</v>
      </c>
      <c r="F550" s="118">
        <v>45792</v>
      </c>
      <c r="G550" s="105" t="s">
        <v>85</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466</v>
      </c>
      <c r="L550" s="39" t="str">
        <f>IFERROR(VLOOKUP(Table6[[#This Row],[Error Code]],'Basic Data'!$T:$U,2,0),"")</f>
        <v>Manual Stop - Safety Related</v>
      </c>
      <c r="M550" s="346" t="s">
        <v>467</v>
      </c>
      <c r="N550" s="39" t="s">
        <v>189</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506</v>
      </c>
      <c r="V550" s="351" t="s">
        <v>476</v>
      </c>
      <c r="W550" s="338">
        <f>Table6[[#This Row],[Breakdown Time]]*(1/39)</f>
        <v>8.7606837606837629E-2</v>
      </c>
      <c r="X550" s="336" t="s">
        <v>486</v>
      </c>
      <c r="Y550" s="352" t="s">
        <v>86</v>
      </c>
      <c r="Z550" s="105">
        <v>5867</v>
      </c>
      <c r="AA550" s="107">
        <v>835.23263888888926</v>
      </c>
      <c r="AB550" s="105" t="s">
        <v>472</v>
      </c>
    </row>
    <row r="551" spans="1:28">
      <c r="A551" s="105">
        <f t="shared" si="8"/>
        <v>550</v>
      </c>
      <c r="B551" s="107">
        <f>YEAR(Table6[[#This Row],[Date]])+IF(MONTH(Table6[[#This Row],[Date]])&gt;=4,1,0)</f>
        <v>2026</v>
      </c>
      <c r="C551" s="105">
        <f>YEAR(Table6[[#This Row],[Date]])</f>
        <v>2025</v>
      </c>
      <c r="D551" s="105" t="s">
        <v>465</v>
      </c>
      <c r="E551" s="119">
        <f>Table6[[#This Row],[Date]]-DAY(Table6[[#This Row],[Date]])+1</f>
        <v>45778</v>
      </c>
      <c r="F551" s="118">
        <v>45792</v>
      </c>
      <c r="G551" s="105" t="s">
        <v>97</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473</v>
      </c>
      <c r="N551" s="39" t="s">
        <v>474</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530</v>
      </c>
      <c r="V551" s="351" t="s">
        <v>476</v>
      </c>
      <c r="W551" s="338">
        <f>Table6[[#This Row],[Breakdown Time]]*(1/39)</f>
        <v>6.2393162393162373E-2</v>
      </c>
      <c r="X551" s="336" t="s">
        <v>477</v>
      </c>
      <c r="Y551" s="352" t="s">
        <v>99</v>
      </c>
      <c r="Z551" s="105">
        <v>5056</v>
      </c>
      <c r="AA551" s="107">
        <v>512.62222222222204</v>
      </c>
      <c r="AB551" s="105" t="s">
        <v>472</v>
      </c>
    </row>
    <row r="552" spans="1:28">
      <c r="A552" s="105">
        <f t="shared" si="8"/>
        <v>551</v>
      </c>
      <c r="B552" s="107">
        <f>YEAR(Table6[[#This Row],[Date]])+IF(MONTH(Table6[[#This Row],[Date]])&gt;=4,1,0)</f>
        <v>2026</v>
      </c>
      <c r="C552" s="105">
        <f>YEAR(Table6[[#This Row],[Date]])</f>
        <v>2025</v>
      </c>
      <c r="D552" s="105" t="s">
        <v>465</v>
      </c>
      <c r="E552" s="119">
        <f>Table6[[#This Row],[Date]]-DAY(Table6[[#This Row],[Date]])+1</f>
        <v>45778</v>
      </c>
      <c r="F552" s="118">
        <v>45792</v>
      </c>
      <c r="G552" s="105" t="s">
        <v>105</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517</v>
      </c>
      <c r="L552" s="39" t="str">
        <f>IFERROR(VLOOKUP(Table6[[#This Row],[Error Code]],'Basic Data'!$T:$U,2,0),"")</f>
        <v>General Work Stoppage</v>
      </c>
      <c r="M552" s="346" t="s">
        <v>499</v>
      </c>
      <c r="N552" s="39" t="s">
        <v>189</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601</v>
      </c>
      <c r="V552" s="351" t="s">
        <v>476</v>
      </c>
      <c r="W552" s="338">
        <f>Table6[[#This Row],[Breakdown Time]]*(1/39)</f>
        <v>0.10213675213675211</v>
      </c>
      <c r="X552" s="336" t="s">
        <v>501</v>
      </c>
      <c r="Y552" s="352" t="s">
        <v>106</v>
      </c>
      <c r="Z552" s="105">
        <v>4572</v>
      </c>
      <c r="AA552" s="107">
        <v>758.82499999999982</v>
      </c>
      <c r="AB552" s="105" t="s">
        <v>472</v>
      </c>
    </row>
    <row r="553" spans="1:28">
      <c r="A553" s="105">
        <f t="shared" si="8"/>
        <v>552</v>
      </c>
      <c r="B553" s="107">
        <f>YEAR(Table6[[#This Row],[Date]])+IF(MONTH(Table6[[#This Row],[Date]])&gt;=4,1,0)</f>
        <v>2026</v>
      </c>
      <c r="C553" s="105">
        <f>YEAR(Table6[[#This Row],[Date]])</f>
        <v>2025</v>
      </c>
      <c r="D553" s="105" t="s">
        <v>465</v>
      </c>
      <c r="E553" s="119">
        <f>Table6[[#This Row],[Date]]-DAY(Table6[[#This Row],[Date]])+1</f>
        <v>45778</v>
      </c>
      <c r="F553" s="118">
        <v>45792</v>
      </c>
      <c r="G553" s="105" t="s">
        <v>111</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552</v>
      </c>
      <c r="L553" s="39" t="str">
        <f>IFERROR(VLOOKUP(Table6[[#This Row],[Error Code]],'Basic Data'!$T:$U,2,0),"")</f>
        <v>Manual Stop - Preventive Maintenance Activity</v>
      </c>
      <c r="M553" s="346" t="s">
        <v>553</v>
      </c>
      <c r="N553" s="39" t="s">
        <v>189</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574</v>
      </c>
      <c r="V553" s="351" t="s">
        <v>476</v>
      </c>
      <c r="W553" s="338">
        <f>Table6[[#This Row],[Breakdown Time]]*(1/39)</f>
        <v>0.17564102564102563</v>
      </c>
      <c r="X553" s="336" t="s">
        <v>555</v>
      </c>
      <c r="Y553" s="352" t="s">
        <v>110</v>
      </c>
      <c r="Z553" s="105">
        <v>4588</v>
      </c>
      <c r="AA553" s="107">
        <v>1309.4916666666666</v>
      </c>
      <c r="AB553" s="105" t="s">
        <v>472</v>
      </c>
    </row>
    <row r="554" spans="1:28">
      <c r="A554" s="105">
        <f t="shared" si="8"/>
        <v>553</v>
      </c>
      <c r="B554" s="107">
        <f>YEAR(Table6[[#This Row],[Date]])+IF(MONTH(Table6[[#This Row],[Date]])&gt;=4,1,0)</f>
        <v>2026</v>
      </c>
      <c r="C554" s="105">
        <f>YEAR(Table6[[#This Row],[Date]])</f>
        <v>2025</v>
      </c>
      <c r="D554" s="105" t="s">
        <v>465</v>
      </c>
      <c r="E554" s="119">
        <f>Table6[[#This Row],[Date]]-DAY(Table6[[#This Row],[Date]])+1</f>
        <v>45778</v>
      </c>
      <c r="F554" s="118">
        <v>45792</v>
      </c>
      <c r="G554" s="105" t="s">
        <v>112</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473</v>
      </c>
      <c r="N554" s="39" t="s">
        <v>474</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602</v>
      </c>
      <c r="V554" s="351" t="s">
        <v>476</v>
      </c>
      <c r="W554" s="338">
        <f>Table6[[#This Row],[Breakdown Time]]*(1/39)</f>
        <v>0.52692307692307683</v>
      </c>
      <c r="X554" s="336" t="s">
        <v>477</v>
      </c>
      <c r="Y554" s="352" t="s">
        <v>98</v>
      </c>
      <c r="Z554" s="105">
        <v>4572</v>
      </c>
      <c r="AA554" s="107">
        <v>3914.7749999999996</v>
      </c>
      <c r="AB554" s="105" t="s">
        <v>596</v>
      </c>
    </row>
    <row r="555" spans="1:28">
      <c r="A555" s="105">
        <f t="shared" si="8"/>
        <v>554</v>
      </c>
      <c r="B555" s="107">
        <f>YEAR(Table6[[#This Row],[Date]])+IF(MONTH(Table6[[#This Row],[Date]])&gt;=4,1,0)</f>
        <v>2026</v>
      </c>
      <c r="C555" s="105">
        <f>YEAR(Table6[[#This Row],[Date]])</f>
        <v>2025</v>
      </c>
      <c r="D555" s="105" t="s">
        <v>465</v>
      </c>
      <c r="E555" s="119">
        <f>Table6[[#This Row],[Date]]-DAY(Table6[[#This Row],[Date]])+1</f>
        <v>45778</v>
      </c>
      <c r="F555" s="118">
        <v>45793</v>
      </c>
      <c r="G555" s="105" t="s">
        <v>103</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466</v>
      </c>
      <c r="L555" s="39" t="str">
        <f>IFERROR(VLOOKUP(Table6[[#This Row],[Error Code]],'Basic Data'!$T:$U,2,0),"")</f>
        <v>Manual Stop - Safety Related</v>
      </c>
      <c r="M555" s="346" t="s">
        <v>467</v>
      </c>
      <c r="N555" s="39" t="s">
        <v>468</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469</v>
      </c>
      <c r="V555" s="351" t="s">
        <v>470</v>
      </c>
      <c r="W555" s="338">
        <f>Table6[[#This Row],[Breakdown Time]]*(1/39)</f>
        <v>0.61495726495726499</v>
      </c>
      <c r="X555" s="336" t="s">
        <v>486</v>
      </c>
      <c r="Y555" s="352" t="s">
        <v>100</v>
      </c>
      <c r="Z555" s="105">
        <v>8165</v>
      </c>
      <c r="AA555" s="107">
        <v>8159.3298611111113</v>
      </c>
      <c r="AB555" s="105" t="s">
        <v>472</v>
      </c>
    </row>
    <row r="556" spans="1:28">
      <c r="A556" s="105">
        <f t="shared" si="8"/>
        <v>555</v>
      </c>
      <c r="B556" s="107">
        <f>YEAR(Table6[[#This Row],[Date]])+IF(MONTH(Table6[[#This Row],[Date]])&gt;=4,1,0)</f>
        <v>2026</v>
      </c>
      <c r="C556" s="105">
        <f>YEAR(Table6[[#This Row],[Date]])</f>
        <v>2025</v>
      </c>
      <c r="D556" s="105" t="s">
        <v>465</v>
      </c>
      <c r="E556" s="119">
        <f>Table6[[#This Row],[Date]]-DAY(Table6[[#This Row],[Date]])+1</f>
        <v>45778</v>
      </c>
      <c r="F556" s="118">
        <v>45793</v>
      </c>
      <c r="G556" s="105" t="s">
        <v>101</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466</v>
      </c>
      <c r="L556" s="39" t="str">
        <f>IFERROR(VLOOKUP(Table6[[#This Row],[Error Code]],'Basic Data'!$T:$U,2,0),"")</f>
        <v>Manual Stop - Safety Related</v>
      </c>
      <c r="M556" s="346" t="s">
        <v>467</v>
      </c>
      <c r="N556" s="39" t="s">
        <v>468</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469</v>
      </c>
      <c r="V556" s="351" t="s">
        <v>470</v>
      </c>
      <c r="W556" s="338">
        <f>Table6[[#This Row],[Breakdown Time]]*(1/39)</f>
        <v>0.61495726495726499</v>
      </c>
      <c r="X556" s="336" t="s">
        <v>486</v>
      </c>
      <c r="Y556" s="352" t="s">
        <v>100</v>
      </c>
      <c r="Z556" s="105">
        <v>8165</v>
      </c>
      <c r="AA556" s="107">
        <v>8159.3298611111113</v>
      </c>
      <c r="AB556" s="105" t="s">
        <v>472</v>
      </c>
    </row>
    <row r="557" spans="1:28">
      <c r="A557" s="105">
        <f t="shared" si="8"/>
        <v>556</v>
      </c>
      <c r="B557" s="107">
        <f>YEAR(Table6[[#This Row],[Date]])+IF(MONTH(Table6[[#This Row],[Date]])&gt;=4,1,0)</f>
        <v>2026</v>
      </c>
      <c r="C557" s="105">
        <f>YEAR(Table6[[#This Row],[Date]])</f>
        <v>2025</v>
      </c>
      <c r="D557" s="105" t="s">
        <v>465</v>
      </c>
      <c r="E557" s="119">
        <f>Table6[[#This Row],[Date]]-DAY(Table6[[#This Row],[Date]])+1</f>
        <v>45778</v>
      </c>
      <c r="F557" s="118">
        <v>45793</v>
      </c>
      <c r="G557" s="105" t="s">
        <v>74</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473</v>
      </c>
      <c r="N557" s="39" t="s">
        <v>474</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603</v>
      </c>
      <c r="V557" s="351" t="s">
        <v>476</v>
      </c>
      <c r="W557" s="338">
        <f>Table6[[#This Row],[Breakdown Time]]*(1/39)</f>
        <v>8.2478632478632449E-2</v>
      </c>
      <c r="X557" s="336" t="s">
        <v>501</v>
      </c>
      <c r="Y557" s="352" t="s">
        <v>80</v>
      </c>
      <c r="Z557" s="105">
        <v>10576</v>
      </c>
      <c r="AA557" s="107">
        <v>1417.4777777777774</v>
      </c>
      <c r="AB557" s="105" t="s">
        <v>472</v>
      </c>
    </row>
    <row r="558" spans="1:28">
      <c r="A558" s="105">
        <f t="shared" si="8"/>
        <v>557</v>
      </c>
      <c r="B558" s="107">
        <f>YEAR(Table6[[#This Row],[Date]])+IF(MONTH(Table6[[#This Row],[Date]])&gt;=4,1,0)</f>
        <v>2026</v>
      </c>
      <c r="C558" s="105">
        <f>YEAR(Table6[[#This Row],[Date]])</f>
        <v>2025</v>
      </c>
      <c r="D558" s="105" t="s">
        <v>465</v>
      </c>
      <c r="E558" s="119">
        <f>Table6[[#This Row],[Date]]-DAY(Table6[[#This Row],[Date]])+1</f>
        <v>45778</v>
      </c>
      <c r="F558" s="118">
        <v>45793</v>
      </c>
      <c r="G558" s="105" t="s">
        <v>75</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526</v>
      </c>
      <c r="L558" s="39" t="str">
        <f>IFERROR(VLOOKUP(Table6[[#This Row],[Error Code]],'Basic Data'!$T:$U,2,0),"")</f>
        <v>Manual Stop</v>
      </c>
      <c r="M558" s="346" t="s">
        <v>576</v>
      </c>
      <c r="N558" s="39" t="s">
        <v>189</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604</v>
      </c>
      <c r="V558" s="351" t="s">
        <v>476</v>
      </c>
      <c r="W558" s="338">
        <f>Table6[[#This Row],[Breakdown Time]]*(1/39)</f>
        <v>4.2735042735042715E-2</v>
      </c>
      <c r="X558" s="336" t="s">
        <v>501</v>
      </c>
      <c r="Y558" s="352" t="s">
        <v>77</v>
      </c>
      <c r="Z558" s="105">
        <v>9888</v>
      </c>
      <c r="AA558" s="107">
        <v>686.6666666666664</v>
      </c>
      <c r="AB558" s="105" t="s">
        <v>472</v>
      </c>
    </row>
    <row r="559" spans="1:28">
      <c r="A559" s="105">
        <f t="shared" si="8"/>
        <v>558</v>
      </c>
      <c r="B559" s="107">
        <f>YEAR(Table6[[#This Row],[Date]])+IF(MONTH(Table6[[#This Row],[Date]])&gt;=4,1,0)</f>
        <v>2026</v>
      </c>
      <c r="C559" s="105">
        <f>YEAR(Table6[[#This Row],[Date]])</f>
        <v>2025</v>
      </c>
      <c r="D559" s="105" t="s">
        <v>465</v>
      </c>
      <c r="E559" s="119">
        <f>Table6[[#This Row],[Date]]-DAY(Table6[[#This Row],[Date]])+1</f>
        <v>45778</v>
      </c>
      <c r="F559" s="118">
        <v>45793</v>
      </c>
      <c r="G559" s="105" t="s">
        <v>77</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473</v>
      </c>
      <c r="N559" s="39" t="s">
        <v>474</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605</v>
      </c>
      <c r="V559" s="351" t="s">
        <v>476</v>
      </c>
      <c r="W559" s="338">
        <f>Table6[[#This Row],[Breakdown Time]]*(1/39)</f>
        <v>5.7264957264957263E-2</v>
      </c>
      <c r="X559" s="336" t="s">
        <v>501</v>
      </c>
      <c r="Y559" s="352" t="s">
        <v>76</v>
      </c>
      <c r="Z559" s="105">
        <v>10542</v>
      </c>
      <c r="AA559" s="107">
        <v>980.99166666666667</v>
      </c>
      <c r="AB559" s="105" t="s">
        <v>472</v>
      </c>
    </row>
    <row r="560" spans="1:28">
      <c r="A560" s="105">
        <f t="shared" si="8"/>
        <v>559</v>
      </c>
      <c r="B560" s="107">
        <f>YEAR(Table6[[#This Row],[Date]])+IF(MONTH(Table6[[#This Row],[Date]])&gt;=4,1,0)</f>
        <v>2026</v>
      </c>
      <c r="C560" s="105">
        <f>YEAR(Table6[[#This Row],[Date]])</f>
        <v>2025</v>
      </c>
      <c r="D560" s="105" t="s">
        <v>465</v>
      </c>
      <c r="E560" s="119">
        <f>Table6[[#This Row],[Date]]-DAY(Table6[[#This Row],[Date]])+1</f>
        <v>45778</v>
      </c>
      <c r="F560" s="118">
        <v>45793</v>
      </c>
      <c r="G560" s="105" t="s">
        <v>79</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473</v>
      </c>
      <c r="N560" s="39" t="s">
        <v>474</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475</v>
      </c>
      <c r="V560" s="351" t="s">
        <v>476</v>
      </c>
      <c r="W560" s="338">
        <f>Table6[[#This Row],[Breakdown Time]]*(1/39)</f>
        <v>3.4188034188034205E-2</v>
      </c>
      <c r="X560" s="336" t="s">
        <v>477</v>
      </c>
      <c r="Y560" s="352" t="s">
        <v>76</v>
      </c>
      <c r="Z560" s="105">
        <v>10542</v>
      </c>
      <c r="AA560" s="107">
        <v>585.66666666666697</v>
      </c>
      <c r="AB560" s="105" t="s">
        <v>472</v>
      </c>
    </row>
    <row r="561" spans="1:28">
      <c r="A561" s="105">
        <f t="shared" si="8"/>
        <v>560</v>
      </c>
      <c r="B561" s="107">
        <f>YEAR(Table6[[#This Row],[Date]])+IF(MONTH(Table6[[#This Row],[Date]])&gt;=4,1,0)</f>
        <v>2026</v>
      </c>
      <c r="C561" s="105">
        <f>YEAR(Table6[[#This Row],[Date]])</f>
        <v>2025</v>
      </c>
      <c r="D561" s="105" t="s">
        <v>465</v>
      </c>
      <c r="E561" s="119">
        <f>Table6[[#This Row],[Date]]-DAY(Table6[[#This Row],[Date]])+1</f>
        <v>45778</v>
      </c>
      <c r="F561" s="118">
        <v>45793</v>
      </c>
      <c r="G561" s="105" t="s">
        <v>92</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526</v>
      </c>
      <c r="L561" s="39" t="str">
        <f>IFERROR(VLOOKUP(Table6[[#This Row],[Error Code]],'Basic Data'!$T:$U,2,0),"")</f>
        <v>Manual Stop</v>
      </c>
      <c r="M561" s="346" t="s">
        <v>499</v>
      </c>
      <c r="N561" s="39" t="s">
        <v>189</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606</v>
      </c>
      <c r="V561" s="351" t="s">
        <v>470</v>
      </c>
      <c r="W561" s="338">
        <f>Table6[[#This Row],[Breakdown Time]]*(1/39)</f>
        <v>0.31581196581196586</v>
      </c>
      <c r="X561" s="336" t="s">
        <v>477</v>
      </c>
      <c r="Y561" s="352" t="s">
        <v>91</v>
      </c>
      <c r="Z561" s="105">
        <v>9966</v>
      </c>
      <c r="AA561" s="107">
        <v>5114.4958333333343</v>
      </c>
      <c r="AB561" s="105" t="s">
        <v>472</v>
      </c>
    </row>
    <row r="562" spans="1:28">
      <c r="A562" s="105">
        <f t="shared" si="8"/>
        <v>561</v>
      </c>
      <c r="B562" s="107">
        <f>YEAR(Table6[[#This Row],[Date]])+IF(MONTH(Table6[[#This Row],[Date]])&gt;=4,1,0)</f>
        <v>2026</v>
      </c>
      <c r="C562" s="105">
        <f>YEAR(Table6[[#This Row],[Date]])</f>
        <v>2025</v>
      </c>
      <c r="D562" s="105" t="s">
        <v>465</v>
      </c>
      <c r="E562" s="119">
        <f>Table6[[#This Row],[Date]]-DAY(Table6[[#This Row],[Date]])+1</f>
        <v>45778</v>
      </c>
      <c r="F562" s="118">
        <v>45793</v>
      </c>
      <c r="G562" s="105" t="s">
        <v>112</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552</v>
      </c>
      <c r="L562" s="39" t="str">
        <f>IFERROR(VLOOKUP(Table6[[#This Row],[Error Code]],'Basic Data'!$T:$U,2,0),"")</f>
        <v>Manual Stop - Preventive Maintenance Activity</v>
      </c>
      <c r="M562" s="346" t="s">
        <v>553</v>
      </c>
      <c r="N562" s="39" t="s">
        <v>189</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574</v>
      </c>
      <c r="V562" s="351" t="s">
        <v>476</v>
      </c>
      <c r="W562" s="338">
        <f>Table6[[#This Row],[Breakdown Time]]*(1/39)</f>
        <v>0.14615384615384613</v>
      </c>
      <c r="X562" s="336" t="s">
        <v>555</v>
      </c>
      <c r="Y562" s="352" t="s">
        <v>111</v>
      </c>
      <c r="Z562" s="105">
        <v>7388</v>
      </c>
      <c r="AA562" s="107">
        <v>1754.6499999999996</v>
      </c>
      <c r="AB562" s="105" t="s">
        <v>472</v>
      </c>
    </row>
    <row r="563" spans="1:28">
      <c r="A563" s="105">
        <f t="shared" si="8"/>
        <v>562</v>
      </c>
      <c r="B563" s="107">
        <f>YEAR(Table6[[#This Row],[Date]])+IF(MONTH(Table6[[#This Row],[Date]])&gt;=4,1,0)</f>
        <v>2026</v>
      </c>
      <c r="C563" s="105">
        <f>YEAR(Table6[[#This Row],[Date]])</f>
        <v>2025</v>
      </c>
      <c r="D563" s="105" t="s">
        <v>465</v>
      </c>
      <c r="E563" s="119">
        <f>Table6[[#This Row],[Date]]-DAY(Table6[[#This Row],[Date]])+1</f>
        <v>45778</v>
      </c>
      <c r="F563" s="118">
        <v>45794</v>
      </c>
      <c r="G563" s="105" t="s">
        <v>103</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466</v>
      </c>
      <c r="L563" s="39" t="str">
        <f>IFERROR(VLOOKUP(Table6[[#This Row],[Error Code]],'Basic Data'!$T:$U,2,0),"")</f>
        <v>Manual Stop - Safety Related</v>
      </c>
      <c r="M563" s="346" t="s">
        <v>467</v>
      </c>
      <c r="N563" s="39" t="s">
        <v>468</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469</v>
      </c>
      <c r="V563" s="351" t="s">
        <v>470</v>
      </c>
      <c r="W563" s="338">
        <f>Table6[[#This Row],[Breakdown Time]]*(1/39)</f>
        <v>0.61495726495726499</v>
      </c>
      <c r="X563" s="336" t="s">
        <v>486</v>
      </c>
      <c r="Y563" s="352" t="s">
        <v>100</v>
      </c>
      <c r="Z563" s="105">
        <v>4123</v>
      </c>
      <c r="AA563" s="107">
        <v>4120.1368055555558</v>
      </c>
      <c r="AB563" s="105" t="s">
        <v>472</v>
      </c>
    </row>
    <row r="564" spans="1:28">
      <c r="A564" s="105">
        <f t="shared" si="8"/>
        <v>563</v>
      </c>
      <c r="B564" s="107">
        <f>YEAR(Table6[[#This Row],[Date]])+IF(MONTH(Table6[[#This Row],[Date]])&gt;=4,1,0)</f>
        <v>2026</v>
      </c>
      <c r="C564" s="105">
        <f>YEAR(Table6[[#This Row],[Date]])</f>
        <v>2025</v>
      </c>
      <c r="D564" s="105" t="s">
        <v>465</v>
      </c>
      <c r="E564" s="119">
        <f>Table6[[#This Row],[Date]]-DAY(Table6[[#This Row],[Date]])+1</f>
        <v>45778</v>
      </c>
      <c r="F564" s="118">
        <v>45794</v>
      </c>
      <c r="G564" s="105" t="s">
        <v>101</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466</v>
      </c>
      <c r="L564" s="39" t="str">
        <f>IFERROR(VLOOKUP(Table6[[#This Row],[Error Code]],'Basic Data'!$T:$U,2,0),"")</f>
        <v>Manual Stop - Safety Related</v>
      </c>
      <c r="M564" s="346" t="s">
        <v>467</v>
      </c>
      <c r="N564" s="39" t="s">
        <v>468</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469</v>
      </c>
      <c r="V564" s="351" t="s">
        <v>470</v>
      </c>
      <c r="W564" s="338">
        <f>Table6[[#This Row],[Breakdown Time]]*(1/39)</f>
        <v>0.61495726495726499</v>
      </c>
      <c r="X564" s="336" t="s">
        <v>486</v>
      </c>
      <c r="Y564" s="352" t="s">
        <v>100</v>
      </c>
      <c r="Z564" s="105">
        <v>4123</v>
      </c>
      <c r="AA564" s="107">
        <v>4120.1368055555558</v>
      </c>
      <c r="AB564" s="105" t="s">
        <v>472</v>
      </c>
    </row>
    <row r="565" spans="1:28">
      <c r="A565" s="105">
        <f t="shared" si="8"/>
        <v>564</v>
      </c>
      <c r="B565" s="107">
        <f>YEAR(Table6[[#This Row],[Date]])+IF(MONTH(Table6[[#This Row],[Date]])&gt;=4,1,0)</f>
        <v>2026</v>
      </c>
      <c r="C565" s="105">
        <f>YEAR(Table6[[#This Row],[Date]])</f>
        <v>2025</v>
      </c>
      <c r="D565" s="105" t="s">
        <v>465</v>
      </c>
      <c r="E565" s="119">
        <f>Table6[[#This Row],[Date]]-DAY(Table6[[#This Row],[Date]])+1</f>
        <v>45778</v>
      </c>
      <c r="F565" s="118">
        <v>45794</v>
      </c>
      <c r="G565" s="105" t="s">
        <v>79</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517</v>
      </c>
      <c r="L565" s="39" t="str">
        <f>IFERROR(VLOOKUP(Table6[[#This Row],[Error Code]],'Basic Data'!$T:$U,2,0),"")</f>
        <v>General Work Stoppage</v>
      </c>
      <c r="M565" s="346" t="s">
        <v>499</v>
      </c>
      <c r="N565" s="39" t="s">
        <v>189</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607</v>
      </c>
      <c r="V565" s="351" t="s">
        <v>476</v>
      </c>
      <c r="W565" s="338">
        <f>Table6[[#This Row],[Breakdown Time]]*(1/39)</f>
        <v>7.9914529914529936E-2</v>
      </c>
      <c r="X565" s="336" t="s">
        <v>501</v>
      </c>
      <c r="Y565" s="352" t="s">
        <v>76</v>
      </c>
      <c r="Z565" s="105">
        <v>5684</v>
      </c>
      <c r="AA565" s="107">
        <v>738.13055555555582</v>
      </c>
      <c r="AB565" s="105" t="s">
        <v>472</v>
      </c>
    </row>
    <row r="566" spans="1:28">
      <c r="A566" s="105">
        <f t="shared" si="8"/>
        <v>565</v>
      </c>
      <c r="B566" s="107">
        <f>YEAR(Table6[[#This Row],[Date]])+IF(MONTH(Table6[[#This Row],[Date]])&gt;=4,1,0)</f>
        <v>2026</v>
      </c>
      <c r="C566" s="105">
        <f>YEAR(Table6[[#This Row],[Date]])</f>
        <v>2025</v>
      </c>
      <c r="D566" s="105" t="s">
        <v>465</v>
      </c>
      <c r="E566" s="119">
        <f>Table6[[#This Row],[Date]]-DAY(Table6[[#This Row],[Date]])+1</f>
        <v>45778</v>
      </c>
      <c r="F566" s="118">
        <v>45794</v>
      </c>
      <c r="G566" s="105" t="s">
        <v>92</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526</v>
      </c>
      <c r="L566" s="39" t="str">
        <f>IFERROR(VLOOKUP(Table6[[#This Row],[Error Code]],'Basic Data'!$T:$U,2,0),"")</f>
        <v>Manual Stop</v>
      </c>
      <c r="M566" s="346" t="s">
        <v>499</v>
      </c>
      <c r="N566" s="39" t="s">
        <v>189</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608</v>
      </c>
      <c r="V566" s="351" t="s">
        <v>476</v>
      </c>
      <c r="W566" s="338">
        <f>Table6[[#This Row],[Breakdown Time]]*(1/39)</f>
        <v>0.58333333333333326</v>
      </c>
      <c r="X566" s="336" t="s">
        <v>501</v>
      </c>
      <c r="Y566" s="352" t="s">
        <v>91</v>
      </c>
      <c r="Z566" s="105">
        <v>6475</v>
      </c>
      <c r="AA566" s="107">
        <v>6137.760416666667</v>
      </c>
      <c r="AB566" s="105" t="s">
        <v>472</v>
      </c>
    </row>
    <row r="567" spans="1:28">
      <c r="A567" s="105">
        <f t="shared" si="8"/>
        <v>566</v>
      </c>
      <c r="B567" s="107">
        <f>YEAR(Table6[[#This Row],[Date]])+IF(MONTH(Table6[[#This Row],[Date]])&gt;=4,1,0)</f>
        <v>2026</v>
      </c>
      <c r="C567" s="105">
        <f>YEAR(Table6[[#This Row],[Date]])</f>
        <v>2025</v>
      </c>
      <c r="D567" s="105" t="s">
        <v>465</v>
      </c>
      <c r="E567" s="119">
        <f>Table6[[#This Row],[Date]]-DAY(Table6[[#This Row],[Date]])+1</f>
        <v>45778</v>
      </c>
      <c r="F567" s="118">
        <v>45794</v>
      </c>
      <c r="G567" s="105" t="s">
        <v>98</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552</v>
      </c>
      <c r="L567" s="39" t="str">
        <f>IFERROR(VLOOKUP(Table6[[#This Row],[Error Code]],'Basic Data'!$T:$U,2,0),"")</f>
        <v>Manual Stop - Preventive Maintenance Activity</v>
      </c>
      <c r="M567" s="346" t="s">
        <v>553</v>
      </c>
      <c r="N567" s="39" t="s">
        <v>189</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574</v>
      </c>
      <c r="V567" s="351" t="s">
        <v>476</v>
      </c>
      <c r="W567" s="338">
        <f>Table6[[#This Row],[Breakdown Time]]*(1/39)</f>
        <v>0.19230769230769229</v>
      </c>
      <c r="X567" s="336" t="s">
        <v>555</v>
      </c>
      <c r="Y567" s="352" t="s">
        <v>104</v>
      </c>
      <c r="Z567" s="105">
        <v>3521</v>
      </c>
      <c r="AA567" s="107">
        <v>1100.3125</v>
      </c>
      <c r="AB567" s="105" t="s">
        <v>472</v>
      </c>
    </row>
    <row r="568" spans="1:28">
      <c r="A568" s="105">
        <f t="shared" si="8"/>
        <v>567</v>
      </c>
      <c r="B568" s="107">
        <f>YEAR(Table6[[#This Row],[Date]])+IF(MONTH(Table6[[#This Row],[Date]])&gt;=4,1,0)</f>
        <v>2026</v>
      </c>
      <c r="C568" s="105">
        <f>YEAR(Table6[[#This Row],[Date]])</f>
        <v>2025</v>
      </c>
      <c r="D568" s="105" t="s">
        <v>465</v>
      </c>
      <c r="E568" s="119">
        <f>Table6[[#This Row],[Date]]-DAY(Table6[[#This Row],[Date]])+1</f>
        <v>45778</v>
      </c>
      <c r="F568" s="118">
        <v>45794</v>
      </c>
      <c r="G568" s="105" t="s">
        <v>75</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473</v>
      </c>
      <c r="N568" s="39" t="s">
        <v>474</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475</v>
      </c>
      <c r="V568" s="351" t="s">
        <v>476</v>
      </c>
      <c r="W568" s="338">
        <f>Table6[[#This Row],[Breakdown Time]]*(1/39)</f>
        <v>1.4529914529914478E-2</v>
      </c>
      <c r="X568" s="336" t="s">
        <v>477</v>
      </c>
      <c r="Y568" s="352" t="s">
        <v>77</v>
      </c>
      <c r="Z568" s="105">
        <v>5681</v>
      </c>
      <c r="AA568" s="107">
        <v>134.13472222222174</v>
      </c>
      <c r="AB568" s="105" t="s">
        <v>472</v>
      </c>
    </row>
    <row r="569" spans="1:28">
      <c r="A569" s="105">
        <f t="shared" si="8"/>
        <v>568</v>
      </c>
      <c r="B569" s="107">
        <f>YEAR(Table6[[#This Row],[Date]])+IF(MONTH(Table6[[#This Row],[Date]])&gt;=4,1,0)</f>
        <v>2026</v>
      </c>
      <c r="C569" s="105">
        <f>YEAR(Table6[[#This Row],[Date]])</f>
        <v>2025</v>
      </c>
      <c r="D569" s="105" t="s">
        <v>465</v>
      </c>
      <c r="E569" s="119">
        <f>Table6[[#This Row],[Date]]-DAY(Table6[[#This Row],[Date]])+1</f>
        <v>45778</v>
      </c>
      <c r="F569" s="118">
        <v>45794</v>
      </c>
      <c r="G569" s="105" t="s">
        <v>80</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473</v>
      </c>
      <c r="N569" s="39" t="s">
        <v>474</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475</v>
      </c>
      <c r="V569" s="351" t="s">
        <v>476</v>
      </c>
      <c r="W569" s="338">
        <f>Table6[[#This Row],[Breakdown Time]]*(1/39)</f>
        <v>2.1794871794871783E-2</v>
      </c>
      <c r="X569" s="336" t="s">
        <v>477</v>
      </c>
      <c r="Y569" s="352" t="s">
        <v>74</v>
      </c>
      <c r="Z569" s="105">
        <v>5673</v>
      </c>
      <c r="AA569" s="107">
        <v>200.9187499999999</v>
      </c>
      <c r="AB569" s="105" t="s">
        <v>472</v>
      </c>
    </row>
    <row r="570" spans="1:28">
      <c r="A570" s="105">
        <f t="shared" si="8"/>
        <v>569</v>
      </c>
      <c r="B570" s="107">
        <f>YEAR(Table6[[#This Row],[Date]])+IF(MONTH(Table6[[#This Row],[Date]])&gt;=4,1,0)</f>
        <v>2026</v>
      </c>
      <c r="C570" s="105">
        <f>YEAR(Table6[[#This Row],[Date]])</f>
        <v>2025</v>
      </c>
      <c r="D570" s="105" t="s">
        <v>465</v>
      </c>
      <c r="E570" s="119">
        <f>Table6[[#This Row],[Date]]-DAY(Table6[[#This Row],[Date]])+1</f>
        <v>45778</v>
      </c>
      <c r="F570" s="118">
        <v>45795</v>
      </c>
      <c r="G570" s="105" t="s">
        <v>103</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466</v>
      </c>
      <c r="L570" s="39" t="str">
        <f>IFERROR(VLOOKUP(Table6[[#This Row],[Error Code]],'Basic Data'!$T:$U,2,0),"")</f>
        <v>Manual Stop - Safety Related</v>
      </c>
      <c r="M570" s="346" t="s">
        <v>467</v>
      </c>
      <c r="N570" s="39" t="s">
        <v>468</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469</v>
      </c>
      <c r="V570" s="351" t="s">
        <v>470</v>
      </c>
      <c r="W570" s="338">
        <f>Table6[[#This Row],[Breakdown Time]]*(1/39)</f>
        <v>0.61495726495726499</v>
      </c>
      <c r="X570" s="336" t="s">
        <v>486</v>
      </c>
      <c r="Y570" s="352" t="s">
        <v>100</v>
      </c>
      <c r="Z570" s="105">
        <v>3543</v>
      </c>
      <c r="AA570" s="107">
        <v>3540.5395833333337</v>
      </c>
      <c r="AB570" s="105" t="s">
        <v>472</v>
      </c>
    </row>
    <row r="571" spans="1:28">
      <c r="A571" s="105">
        <f t="shared" si="8"/>
        <v>570</v>
      </c>
      <c r="B571" s="107">
        <f>YEAR(Table6[[#This Row],[Date]])+IF(MONTH(Table6[[#This Row],[Date]])&gt;=4,1,0)</f>
        <v>2026</v>
      </c>
      <c r="C571" s="105">
        <f>YEAR(Table6[[#This Row],[Date]])</f>
        <v>2025</v>
      </c>
      <c r="D571" s="105" t="s">
        <v>465</v>
      </c>
      <c r="E571" s="119">
        <f>Table6[[#This Row],[Date]]-DAY(Table6[[#This Row],[Date]])+1</f>
        <v>45778</v>
      </c>
      <c r="F571" s="118">
        <v>45795</v>
      </c>
      <c r="G571" s="105" t="s">
        <v>101</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466</v>
      </c>
      <c r="L571" s="39" t="str">
        <f>IFERROR(VLOOKUP(Table6[[#This Row],[Error Code]],'Basic Data'!$T:$U,2,0),"")</f>
        <v>Manual Stop - Safety Related</v>
      </c>
      <c r="M571" s="346" t="s">
        <v>467</v>
      </c>
      <c r="N571" s="39" t="s">
        <v>468</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469</v>
      </c>
      <c r="V571" s="351" t="s">
        <v>470</v>
      </c>
      <c r="W571" s="338">
        <f>Table6[[#This Row],[Breakdown Time]]*(1/39)</f>
        <v>0.61495726495726499</v>
      </c>
      <c r="X571" s="336" t="s">
        <v>486</v>
      </c>
      <c r="Y571" s="352" t="s">
        <v>100</v>
      </c>
      <c r="Z571" s="105">
        <v>3572</v>
      </c>
      <c r="AA571" s="107">
        <v>3569.5194444444446</v>
      </c>
      <c r="AB571" s="105" t="s">
        <v>472</v>
      </c>
    </row>
    <row r="572" spans="1:28">
      <c r="A572" s="105">
        <f t="shared" si="8"/>
        <v>571</v>
      </c>
      <c r="B572" s="107">
        <f>YEAR(Table6[[#This Row],[Date]])+IF(MONTH(Table6[[#This Row],[Date]])&gt;=4,1,0)</f>
        <v>2026</v>
      </c>
      <c r="C572" s="105">
        <f>YEAR(Table6[[#This Row],[Date]])</f>
        <v>2025</v>
      </c>
      <c r="D572" s="105" t="s">
        <v>465</v>
      </c>
      <c r="E572" s="119">
        <f>Table6[[#This Row],[Date]]-DAY(Table6[[#This Row],[Date]])+1</f>
        <v>45778</v>
      </c>
      <c r="F572" s="118">
        <v>45795</v>
      </c>
      <c r="G572" s="105" t="s">
        <v>74</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473</v>
      </c>
      <c r="N572" s="39" t="s">
        <v>474</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609</v>
      </c>
      <c r="V572" s="351" t="s">
        <v>476</v>
      </c>
      <c r="W572" s="338">
        <f>Table6[[#This Row],[Breakdown Time]]*(1/39)</f>
        <v>2.9914529914529944E-2</v>
      </c>
      <c r="X572" s="336" t="s">
        <v>477</v>
      </c>
      <c r="Y572" s="352" t="s">
        <v>80</v>
      </c>
      <c r="Z572" s="105">
        <v>3537</v>
      </c>
      <c r="AA572" s="107">
        <v>171.93750000000017</v>
      </c>
      <c r="AB572" s="105" t="s">
        <v>472</v>
      </c>
    </row>
    <row r="573" spans="1:28">
      <c r="A573" s="105">
        <f t="shared" si="8"/>
        <v>572</v>
      </c>
      <c r="B573" s="107">
        <f>YEAR(Table6[[#This Row],[Date]])+IF(MONTH(Table6[[#This Row],[Date]])&gt;=4,1,0)</f>
        <v>2026</v>
      </c>
      <c r="C573" s="105">
        <f>YEAR(Table6[[#This Row],[Date]])</f>
        <v>2025</v>
      </c>
      <c r="D573" s="105" t="s">
        <v>465</v>
      </c>
      <c r="E573" s="119">
        <f>Table6[[#This Row],[Date]]-DAY(Table6[[#This Row],[Date]])+1</f>
        <v>45778</v>
      </c>
      <c r="F573" s="118">
        <v>45795</v>
      </c>
      <c r="G573" s="105" t="s">
        <v>104</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552</v>
      </c>
      <c r="L573" s="39" t="str">
        <f>IFERROR(VLOOKUP(Table6[[#This Row],[Error Code]],'Basic Data'!$T:$U,2,0),"")</f>
        <v>Manual Stop - Preventive Maintenance Activity</v>
      </c>
      <c r="M573" s="346" t="s">
        <v>553</v>
      </c>
      <c r="N573" s="39" t="s">
        <v>189</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574</v>
      </c>
      <c r="V573" s="351" t="s">
        <v>476</v>
      </c>
      <c r="W573" s="338">
        <f>Table6[[#This Row],[Breakdown Time]]*(1/39)</f>
        <v>0.14401709401709398</v>
      </c>
      <c r="X573" s="336" t="s">
        <v>555</v>
      </c>
      <c r="Y573" s="352" t="s">
        <v>98</v>
      </c>
      <c r="Z573" s="105">
        <v>3162</v>
      </c>
      <c r="AA573" s="107">
        <v>739.99583333333317</v>
      </c>
      <c r="AB573" s="105" t="s">
        <v>472</v>
      </c>
    </row>
    <row r="574" spans="1:28">
      <c r="A574" s="105">
        <f t="shared" si="8"/>
        <v>573</v>
      </c>
      <c r="B574" s="107">
        <f>YEAR(Table6[[#This Row],[Date]])+IF(MONTH(Table6[[#This Row],[Date]])&gt;=4,1,0)</f>
        <v>2026</v>
      </c>
      <c r="C574" s="105">
        <f>YEAR(Table6[[#This Row],[Date]])</f>
        <v>2025</v>
      </c>
      <c r="D574" s="105" t="s">
        <v>465</v>
      </c>
      <c r="E574" s="119">
        <f>Table6[[#This Row],[Date]]-DAY(Table6[[#This Row],[Date]])+1</f>
        <v>45778</v>
      </c>
      <c r="F574" s="118">
        <v>45795</v>
      </c>
      <c r="G574" s="105" t="s">
        <v>105</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473</v>
      </c>
      <c r="N574" s="39" t="s">
        <v>474</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484</v>
      </c>
      <c r="V574" s="351" t="s">
        <v>476</v>
      </c>
      <c r="W574" s="338">
        <f>Table6[[#This Row],[Breakdown Time]]*(1/39)</f>
        <v>1.4957264957264904E-2</v>
      </c>
      <c r="X574" s="336" t="s">
        <v>477</v>
      </c>
      <c r="Y574" s="352" t="s">
        <v>106</v>
      </c>
      <c r="Z574" s="105">
        <v>3121</v>
      </c>
      <c r="AA574" s="107">
        <v>75.857638888888616</v>
      </c>
      <c r="AB574" s="105" t="s">
        <v>472</v>
      </c>
    </row>
    <row r="575" spans="1:28">
      <c r="A575" s="105">
        <f t="shared" si="8"/>
        <v>574</v>
      </c>
      <c r="B575" s="107">
        <f>YEAR(Table6[[#This Row],[Date]])+IF(MONTH(Table6[[#This Row],[Date]])&gt;=4,1,0)</f>
        <v>2026</v>
      </c>
      <c r="C575" s="105">
        <f>YEAR(Table6[[#This Row],[Date]])</f>
        <v>2025</v>
      </c>
      <c r="D575" s="105" t="s">
        <v>465</v>
      </c>
      <c r="E575" s="119">
        <f>Table6[[#This Row],[Date]]-DAY(Table6[[#This Row],[Date]])+1</f>
        <v>45778</v>
      </c>
      <c r="F575" s="118">
        <v>45796</v>
      </c>
      <c r="G575" s="105" t="s">
        <v>103</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466</v>
      </c>
      <c r="L575" s="39" t="str">
        <f>IFERROR(VLOOKUP(Table6[[#This Row],[Error Code]],'Basic Data'!$T:$U,2,0),"")</f>
        <v>Manual Stop - Safety Related</v>
      </c>
      <c r="M575" s="346" t="s">
        <v>467</v>
      </c>
      <c r="N575" s="39" t="s">
        <v>468</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469</v>
      </c>
      <c r="V575" s="351" t="s">
        <v>470</v>
      </c>
      <c r="W575" s="338">
        <f>Table6[[#This Row],[Breakdown Time]]*(1/39)</f>
        <v>0.61495726495726499</v>
      </c>
      <c r="X575" s="336" t="s">
        <v>486</v>
      </c>
      <c r="Y575" s="352" t="s">
        <v>100</v>
      </c>
      <c r="Z575" s="105">
        <v>4109</v>
      </c>
      <c r="AA575" s="107">
        <v>4106.1465277777779</v>
      </c>
      <c r="AB575" s="105" t="s">
        <v>472</v>
      </c>
    </row>
    <row r="576" spans="1:28">
      <c r="A576" s="105">
        <f t="shared" si="8"/>
        <v>575</v>
      </c>
      <c r="B576" s="107">
        <f>YEAR(Table6[[#This Row],[Date]])+IF(MONTH(Table6[[#This Row],[Date]])&gt;=4,1,0)</f>
        <v>2026</v>
      </c>
      <c r="C576" s="105">
        <f>YEAR(Table6[[#This Row],[Date]])</f>
        <v>2025</v>
      </c>
      <c r="D576" s="105" t="s">
        <v>465</v>
      </c>
      <c r="E576" s="119">
        <f>Table6[[#This Row],[Date]]-DAY(Table6[[#This Row],[Date]])+1</f>
        <v>45778</v>
      </c>
      <c r="F576" s="118">
        <v>45796</v>
      </c>
      <c r="G576" s="105" t="s">
        <v>101</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466</v>
      </c>
      <c r="L576" s="39" t="str">
        <f>IFERROR(VLOOKUP(Table6[[#This Row],[Error Code]],'Basic Data'!$T:$U,2,0),"")</f>
        <v>Manual Stop - Safety Related</v>
      </c>
      <c r="M576" s="346" t="s">
        <v>467</v>
      </c>
      <c r="N576" s="39" t="s">
        <v>468</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469</v>
      </c>
      <c r="V576" s="351" t="s">
        <v>470</v>
      </c>
      <c r="W576" s="338">
        <f>Table6[[#This Row],[Breakdown Time]]*(1/39)</f>
        <v>0.61495726495726499</v>
      </c>
      <c r="X576" s="336" t="s">
        <v>486</v>
      </c>
      <c r="Y576" s="352" t="s">
        <v>100</v>
      </c>
      <c r="Z576" s="105">
        <v>4109</v>
      </c>
      <c r="AA576" s="107">
        <v>4106.1465277777779</v>
      </c>
      <c r="AB576" s="105" t="s">
        <v>472</v>
      </c>
    </row>
    <row r="577" spans="1:28">
      <c r="A577" s="105">
        <f t="shared" si="8"/>
        <v>576</v>
      </c>
      <c r="B577" s="107">
        <f>YEAR(Table6[[#This Row],[Date]])+IF(MONTH(Table6[[#This Row],[Date]])&gt;=4,1,0)</f>
        <v>2026</v>
      </c>
      <c r="C577" s="105">
        <f>YEAR(Table6[[#This Row],[Date]])</f>
        <v>2025</v>
      </c>
      <c r="D577" s="105" t="s">
        <v>465</v>
      </c>
      <c r="E577" s="119">
        <f>Table6[[#This Row],[Date]]-DAY(Table6[[#This Row],[Date]])+1</f>
        <v>45778</v>
      </c>
      <c r="F577" s="118">
        <v>45796</v>
      </c>
      <c r="G577" s="105" t="s">
        <v>78</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526</v>
      </c>
      <c r="L577" s="39" t="str">
        <f>IFERROR(VLOOKUP(Table6[[#This Row],[Error Code]],'Basic Data'!$T:$U,2,0),"")</f>
        <v>Manual Stop</v>
      </c>
      <c r="M577" s="346" t="s">
        <v>576</v>
      </c>
      <c r="N577" s="39" t="s">
        <v>189</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604</v>
      </c>
      <c r="V577" s="351" t="s">
        <v>476</v>
      </c>
      <c r="W577" s="338">
        <f>Table6[[#This Row],[Breakdown Time]]*(1/39)</f>
        <v>2.7350427350427319E-2</v>
      </c>
      <c r="X577" s="336" t="s">
        <v>501</v>
      </c>
      <c r="Y577" s="352" t="s">
        <v>96</v>
      </c>
      <c r="Z577" s="105">
        <v>4115</v>
      </c>
      <c r="AA577" s="107">
        <v>868.7222222222224</v>
      </c>
      <c r="AB577" s="105" t="s">
        <v>472</v>
      </c>
    </row>
    <row r="578" spans="1:28">
      <c r="A578" s="105">
        <f t="shared" si="8"/>
        <v>577</v>
      </c>
      <c r="B578" s="107">
        <f>YEAR(Table6[[#This Row],[Date]])+IF(MONTH(Table6[[#This Row],[Date]])&gt;=4,1,0)</f>
        <v>2026</v>
      </c>
      <c r="C578" s="105">
        <f>YEAR(Table6[[#This Row],[Date]])</f>
        <v>2025</v>
      </c>
      <c r="D578" s="105" t="s">
        <v>465</v>
      </c>
      <c r="E578" s="119">
        <f>Table6[[#This Row],[Date]]-DAY(Table6[[#This Row],[Date]])+1</f>
        <v>45778</v>
      </c>
      <c r="F578" s="118">
        <v>45796</v>
      </c>
      <c r="G578" s="105" t="s">
        <v>95</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552</v>
      </c>
      <c r="L578" s="39" t="str">
        <f>IFERROR(VLOOKUP(Table6[[#This Row],[Error Code]],'Basic Data'!$T:$U,2,0),"")</f>
        <v>Manual Stop - Preventive Maintenance Activity</v>
      </c>
      <c r="M578" s="346" t="s">
        <v>553</v>
      </c>
      <c r="N578" s="39" t="s">
        <v>189</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574</v>
      </c>
      <c r="V578" s="351" t="s">
        <v>476</v>
      </c>
      <c r="W578" s="338">
        <f>Table6[[#This Row],[Breakdown Time]]*(1/39)</f>
        <v>0.1649572649572649</v>
      </c>
      <c r="X578" s="336" t="s">
        <v>555</v>
      </c>
      <c r="Y578" s="352" t="s">
        <v>94</v>
      </c>
      <c r="Z578" s="105">
        <v>4102</v>
      </c>
      <c r="AA578" s="107">
        <v>1099.5638888888886</v>
      </c>
      <c r="AB578" s="105" t="s">
        <v>472</v>
      </c>
    </row>
    <row r="579" spans="1:28">
      <c r="A579" s="105">
        <f t="shared" si="8"/>
        <v>578</v>
      </c>
      <c r="B579" s="107">
        <f>YEAR(Table6[[#This Row],[Date]])+IF(MONTH(Table6[[#This Row],[Date]])&gt;=4,1,0)</f>
        <v>2026</v>
      </c>
      <c r="C579" s="105">
        <f>YEAR(Table6[[#This Row],[Date]])</f>
        <v>2025</v>
      </c>
      <c r="D579" s="105" t="s">
        <v>465</v>
      </c>
      <c r="E579" s="119">
        <f>Table6[[#This Row],[Date]]-DAY(Table6[[#This Row],[Date]])+1</f>
        <v>45778</v>
      </c>
      <c r="F579" s="118">
        <v>45796</v>
      </c>
      <c r="G579" s="105" t="s">
        <v>100</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473</v>
      </c>
      <c r="N579" s="39" t="s">
        <v>474</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484</v>
      </c>
      <c r="V579" s="351" t="s">
        <v>476</v>
      </c>
      <c r="W579" s="338">
        <f>Table6[[#This Row],[Breakdown Time]]*(1/39)</f>
        <v>1.6666666666666677E-2</v>
      </c>
      <c r="X579" s="336" t="s">
        <v>477</v>
      </c>
      <c r="Y579" s="352" t="s">
        <v>102</v>
      </c>
      <c r="Z579" s="105">
        <v>4121</v>
      </c>
      <c r="AA579" s="107">
        <v>111.61041666666674</v>
      </c>
      <c r="AB579" s="105" t="s">
        <v>472</v>
      </c>
    </row>
    <row r="580" spans="1:28">
      <c r="A580" s="105">
        <f t="shared" ref="A580:A643" si="9">A579+1</f>
        <v>579</v>
      </c>
      <c r="B580" s="107">
        <f>YEAR(Table6[[#This Row],[Date]])+IF(MONTH(Table6[[#This Row],[Date]])&gt;=4,1,0)</f>
        <v>2026</v>
      </c>
      <c r="C580" s="105">
        <f>YEAR(Table6[[#This Row],[Date]])</f>
        <v>2025</v>
      </c>
      <c r="D580" s="105" t="s">
        <v>465</v>
      </c>
      <c r="E580" s="119">
        <f>Table6[[#This Row],[Date]]-DAY(Table6[[#This Row],[Date]])+1</f>
        <v>45778</v>
      </c>
      <c r="F580" s="118">
        <v>45797</v>
      </c>
      <c r="G580" s="105" t="s">
        <v>103</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466</v>
      </c>
      <c r="L580" s="39" t="str">
        <f>IFERROR(VLOOKUP(Table6[[#This Row],[Error Code]],'Basic Data'!$T:$U,2,0),"")</f>
        <v>Manual Stop - Safety Related</v>
      </c>
      <c r="M580" s="346" t="s">
        <v>467</v>
      </c>
      <c r="N580" s="39" t="s">
        <v>468</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469</v>
      </c>
      <c r="V580" s="351" t="s">
        <v>470</v>
      </c>
      <c r="W580" s="338">
        <f>Table6[[#This Row],[Breakdown Time]]*(1/39)</f>
        <v>0.61495726495726499</v>
      </c>
      <c r="X580" s="336" t="s">
        <v>486</v>
      </c>
      <c r="Y580" s="352" t="s">
        <v>100</v>
      </c>
      <c r="Z580" s="105">
        <v>5242</v>
      </c>
      <c r="AA580" s="107">
        <v>5238.3597222222224</v>
      </c>
      <c r="AB580" s="105" t="s">
        <v>472</v>
      </c>
    </row>
    <row r="581" spans="1:28">
      <c r="A581" s="105">
        <f t="shared" si="9"/>
        <v>580</v>
      </c>
      <c r="B581" s="107">
        <f>YEAR(Table6[[#This Row],[Date]])+IF(MONTH(Table6[[#This Row],[Date]])&gt;=4,1,0)</f>
        <v>2026</v>
      </c>
      <c r="C581" s="105">
        <f>YEAR(Table6[[#This Row],[Date]])</f>
        <v>2025</v>
      </c>
      <c r="D581" s="105" t="s">
        <v>465</v>
      </c>
      <c r="E581" s="119">
        <f>Table6[[#This Row],[Date]]-DAY(Table6[[#This Row],[Date]])+1</f>
        <v>45778</v>
      </c>
      <c r="F581" s="118">
        <v>45797</v>
      </c>
      <c r="G581" s="105" t="s">
        <v>101</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466</v>
      </c>
      <c r="L581" s="39" t="str">
        <f>IFERROR(VLOOKUP(Table6[[#This Row],[Error Code]],'Basic Data'!$T:$U,2,0),"")</f>
        <v>Manual Stop - Safety Related</v>
      </c>
      <c r="M581" s="346" t="s">
        <v>467</v>
      </c>
      <c r="N581" s="39" t="s">
        <v>468</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469</v>
      </c>
      <c r="V581" s="351" t="s">
        <v>470</v>
      </c>
      <c r="W581" s="338">
        <f>Table6[[#This Row],[Breakdown Time]]*(1/39)</f>
        <v>0.61495726495726499</v>
      </c>
      <c r="X581" s="336" t="s">
        <v>486</v>
      </c>
      <c r="Y581" s="352" t="s">
        <v>100</v>
      </c>
      <c r="Z581" s="105">
        <v>5242</v>
      </c>
      <c r="AA581" s="107">
        <v>5238.3597222222224</v>
      </c>
      <c r="AB581" s="105" t="s">
        <v>472</v>
      </c>
    </row>
    <row r="582" spans="1:28">
      <c r="A582" s="105">
        <f t="shared" si="9"/>
        <v>581</v>
      </c>
      <c r="B582" s="107">
        <f>YEAR(Table6[[#This Row],[Date]])+IF(MONTH(Table6[[#This Row],[Date]])&gt;=4,1,0)</f>
        <v>2026</v>
      </c>
      <c r="C582" s="105">
        <f>YEAR(Table6[[#This Row],[Date]])</f>
        <v>2025</v>
      </c>
      <c r="D582" s="105" t="s">
        <v>465</v>
      </c>
      <c r="E582" s="119">
        <f>Table6[[#This Row],[Date]]-DAY(Table6[[#This Row],[Date]])+1</f>
        <v>45778</v>
      </c>
      <c r="F582" s="118">
        <v>45797</v>
      </c>
      <c r="G582" s="105" t="s">
        <v>75</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473</v>
      </c>
      <c r="N582" s="39" t="s">
        <v>474</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475</v>
      </c>
      <c r="V582" s="351" t="s">
        <v>476</v>
      </c>
      <c r="W582" s="338">
        <f>Table6[[#This Row],[Breakdown Time]]*(1/39)</f>
        <v>1.4957264957264972E-2</v>
      </c>
      <c r="X582" s="336" t="s">
        <v>477</v>
      </c>
      <c r="Y582" s="352" t="s">
        <v>77</v>
      </c>
      <c r="Z582" s="105">
        <v>5575</v>
      </c>
      <c r="AA582" s="107">
        <v>135.50347222222234</v>
      </c>
      <c r="AB582" s="105" t="s">
        <v>472</v>
      </c>
    </row>
    <row r="583" spans="1:28">
      <c r="A583" s="105">
        <f t="shared" si="9"/>
        <v>582</v>
      </c>
      <c r="B583" s="107">
        <f>YEAR(Table6[[#This Row],[Date]])+IF(MONTH(Table6[[#This Row],[Date]])&gt;=4,1,0)</f>
        <v>2026</v>
      </c>
      <c r="C583" s="105">
        <f>YEAR(Table6[[#This Row],[Date]])</f>
        <v>2025</v>
      </c>
      <c r="D583" s="105" t="s">
        <v>465</v>
      </c>
      <c r="E583" s="119">
        <f>Table6[[#This Row],[Date]]-DAY(Table6[[#This Row],[Date]])+1</f>
        <v>45778</v>
      </c>
      <c r="F583" s="118">
        <v>45797</v>
      </c>
      <c r="G583" s="105" t="s">
        <v>76</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473</v>
      </c>
      <c r="N583" s="39" t="s">
        <v>474</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475</v>
      </c>
      <c r="V583" s="351" t="s">
        <v>476</v>
      </c>
      <c r="W583" s="338">
        <f>Table6[[#This Row],[Breakdown Time]]*(1/39)</f>
        <v>1.6666666666666677E-2</v>
      </c>
      <c r="X583" s="336" t="s">
        <v>477</v>
      </c>
      <c r="Y583" s="352" t="s">
        <v>77</v>
      </c>
      <c r="Z583" s="105">
        <v>5575</v>
      </c>
      <c r="AA583" s="107">
        <v>150.9895833333334</v>
      </c>
      <c r="AB583" s="105" t="s">
        <v>472</v>
      </c>
    </row>
    <row r="584" spans="1:28">
      <c r="A584" s="105">
        <f t="shared" si="9"/>
        <v>583</v>
      </c>
      <c r="B584" s="107">
        <f>YEAR(Table6[[#This Row],[Date]])+IF(MONTH(Table6[[#This Row],[Date]])&gt;=4,1,0)</f>
        <v>2026</v>
      </c>
      <c r="C584" s="105">
        <f>YEAR(Table6[[#This Row],[Date]])</f>
        <v>2025</v>
      </c>
      <c r="D584" s="105" t="s">
        <v>465</v>
      </c>
      <c r="E584" s="119">
        <f>Table6[[#This Row],[Date]]-DAY(Table6[[#This Row],[Date]])+1</f>
        <v>45778</v>
      </c>
      <c r="F584" s="118">
        <v>45797</v>
      </c>
      <c r="G584" s="105" t="s">
        <v>82</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473</v>
      </c>
      <c r="N584" s="39" t="s">
        <v>474</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475</v>
      </c>
      <c r="V584" s="351" t="s">
        <v>476</v>
      </c>
      <c r="W584" s="338">
        <f>Table6[[#This Row],[Breakdown Time]]*(1/39)</f>
        <v>2.0940170940170932E-2</v>
      </c>
      <c r="X584" s="336" t="s">
        <v>477</v>
      </c>
      <c r="Y584" s="352" t="s">
        <v>85</v>
      </c>
      <c r="Z584" s="105">
        <v>5342</v>
      </c>
      <c r="AA584" s="107">
        <v>181.77638888888885</v>
      </c>
      <c r="AB584" s="105" t="s">
        <v>472</v>
      </c>
    </row>
    <row r="585" spans="1:28">
      <c r="A585" s="105">
        <f t="shared" si="9"/>
        <v>584</v>
      </c>
      <c r="B585" s="107">
        <f>YEAR(Table6[[#This Row],[Date]])+IF(MONTH(Table6[[#This Row],[Date]])&gt;=4,1,0)</f>
        <v>2026</v>
      </c>
      <c r="C585" s="105">
        <f>YEAR(Table6[[#This Row],[Date]])</f>
        <v>2025</v>
      </c>
      <c r="D585" s="105" t="s">
        <v>465</v>
      </c>
      <c r="E585" s="119">
        <f>Table6[[#This Row],[Date]]-DAY(Table6[[#This Row],[Date]])+1</f>
        <v>45778</v>
      </c>
      <c r="F585" s="118">
        <v>45797</v>
      </c>
      <c r="G585" s="105" t="s">
        <v>83</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517</v>
      </c>
      <c r="L585" s="39" t="str">
        <f>IFERROR(VLOOKUP(Table6[[#This Row],[Error Code]],'Basic Data'!$T:$U,2,0),"")</f>
        <v>General Work Stoppage</v>
      </c>
      <c r="M585" s="346" t="s">
        <v>499</v>
      </c>
      <c r="N585" s="39" t="s">
        <v>189</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610</v>
      </c>
      <c r="V585" s="351" t="s">
        <v>476</v>
      </c>
      <c r="W585" s="338">
        <f>Table6[[#This Row],[Breakdown Time]]*(1/39)</f>
        <v>0.12393162393162396</v>
      </c>
      <c r="X585" s="336" t="s">
        <v>501</v>
      </c>
      <c r="Y585" s="352" t="s">
        <v>84</v>
      </c>
      <c r="Z585" s="105">
        <v>5543</v>
      </c>
      <c r="AA585" s="107">
        <v>1116.2986111111115</v>
      </c>
      <c r="AB585" s="105" t="s">
        <v>472</v>
      </c>
    </row>
    <row r="586" spans="1:28">
      <c r="A586" s="105">
        <f t="shared" si="9"/>
        <v>585</v>
      </c>
      <c r="B586" s="107">
        <f>YEAR(Table6[[#This Row],[Date]])+IF(MONTH(Table6[[#This Row],[Date]])&gt;=4,1,0)</f>
        <v>2026</v>
      </c>
      <c r="C586" s="105">
        <f>YEAR(Table6[[#This Row],[Date]])</f>
        <v>2025</v>
      </c>
      <c r="D586" s="105" t="s">
        <v>465</v>
      </c>
      <c r="E586" s="119">
        <f>Table6[[#This Row],[Date]]-DAY(Table6[[#This Row],[Date]])+1</f>
        <v>45778</v>
      </c>
      <c r="F586" s="118">
        <v>45797</v>
      </c>
      <c r="G586" s="105" t="s">
        <v>94</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552</v>
      </c>
      <c r="L586" s="39" t="str">
        <f>IFERROR(VLOOKUP(Table6[[#This Row],[Error Code]],'Basic Data'!$T:$U,2,0),"")</f>
        <v>Manual Stop - Preventive Maintenance Activity</v>
      </c>
      <c r="M586" s="346" t="s">
        <v>553</v>
      </c>
      <c r="N586" s="39" t="s">
        <v>189</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574</v>
      </c>
      <c r="V586" s="351" t="s">
        <v>476</v>
      </c>
      <c r="W586" s="338">
        <f>Table6[[#This Row],[Breakdown Time]]*(1/39)</f>
        <v>0.15427350427350428</v>
      </c>
      <c r="X586" s="336" t="s">
        <v>555</v>
      </c>
      <c r="Y586" s="352" t="s">
        <v>95</v>
      </c>
      <c r="Z586" s="105">
        <v>5200</v>
      </c>
      <c r="AA586" s="107">
        <v>1303.6111111111113</v>
      </c>
      <c r="AB586" s="105" t="s">
        <v>472</v>
      </c>
    </row>
    <row r="587" spans="1:28">
      <c r="A587" s="105">
        <f t="shared" si="9"/>
        <v>586</v>
      </c>
      <c r="B587" s="107">
        <f>YEAR(Table6[[#This Row],[Date]])+IF(MONTH(Table6[[#This Row],[Date]])&gt;=4,1,0)</f>
        <v>2026</v>
      </c>
      <c r="C587" s="105">
        <f>YEAR(Table6[[#This Row],[Date]])</f>
        <v>2025</v>
      </c>
      <c r="D587" s="105" t="s">
        <v>465</v>
      </c>
      <c r="E587" s="119">
        <f>Table6[[#This Row],[Date]]-DAY(Table6[[#This Row],[Date]])+1</f>
        <v>45778</v>
      </c>
      <c r="F587" s="118">
        <v>45797</v>
      </c>
      <c r="G587" s="105" t="s">
        <v>104</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473</v>
      </c>
      <c r="N587" s="39" t="s">
        <v>474</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475</v>
      </c>
      <c r="V587" s="351" t="s">
        <v>476</v>
      </c>
      <c r="W587" s="338">
        <f>Table6[[#This Row],[Breakdown Time]]*(1/39)</f>
        <v>2.008547008547008E-2</v>
      </c>
      <c r="X587" s="336" t="s">
        <v>477</v>
      </c>
      <c r="Y587" s="352" t="s">
        <v>98</v>
      </c>
      <c r="Z587" s="105">
        <v>3501</v>
      </c>
      <c r="AA587" s="107">
        <v>114.26874999999998</v>
      </c>
      <c r="AB587" s="105" t="s">
        <v>472</v>
      </c>
    </row>
    <row r="588" spans="1:28">
      <c r="A588" s="105">
        <f t="shared" si="9"/>
        <v>587</v>
      </c>
      <c r="B588" s="107">
        <f>YEAR(Table6[[#This Row],[Date]])+IF(MONTH(Table6[[#This Row],[Date]])&gt;=4,1,0)</f>
        <v>2026</v>
      </c>
      <c r="C588" s="105">
        <f>YEAR(Table6[[#This Row],[Date]])</f>
        <v>2025</v>
      </c>
      <c r="D588" s="105" t="s">
        <v>465</v>
      </c>
      <c r="E588" s="119">
        <f>Table6[[#This Row],[Date]]-DAY(Table6[[#This Row],[Date]])+1</f>
        <v>45778</v>
      </c>
      <c r="F588" s="118">
        <v>45797</v>
      </c>
      <c r="G588" s="105" t="s">
        <v>98</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473</v>
      </c>
      <c r="N588" s="39" t="s">
        <v>474</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475</v>
      </c>
      <c r="V588" s="351" t="s">
        <v>476</v>
      </c>
      <c r="W588" s="338">
        <f>Table6[[#This Row],[Breakdown Time]]*(1/39)</f>
        <v>2.6495726495726537E-2</v>
      </c>
      <c r="X588" s="336" t="s">
        <v>477</v>
      </c>
      <c r="Y588" s="352" t="s">
        <v>112</v>
      </c>
      <c r="Z588" s="105">
        <v>3696</v>
      </c>
      <c r="AA588" s="107">
        <v>159.13333333333358</v>
      </c>
      <c r="AB588" s="105" t="s">
        <v>472</v>
      </c>
    </row>
    <row r="589" spans="1:28">
      <c r="A589" s="105">
        <f t="shared" si="9"/>
        <v>588</v>
      </c>
      <c r="B589" s="107">
        <f>YEAR(Table6[[#This Row],[Date]])+IF(MONTH(Table6[[#This Row],[Date]])&gt;=4,1,0)</f>
        <v>2026</v>
      </c>
      <c r="C589" s="105">
        <f>YEAR(Table6[[#This Row],[Date]])</f>
        <v>2025</v>
      </c>
      <c r="D589" s="105" t="s">
        <v>465</v>
      </c>
      <c r="E589" s="119">
        <f>Table6[[#This Row],[Date]]-DAY(Table6[[#This Row],[Date]])+1</f>
        <v>45778</v>
      </c>
      <c r="F589" s="118">
        <v>45797</v>
      </c>
      <c r="G589" s="105" t="s">
        <v>111</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473</v>
      </c>
      <c r="N589" s="39" t="s">
        <v>474</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475</v>
      </c>
      <c r="V589" s="351" t="s">
        <v>476</v>
      </c>
      <c r="W589" s="338">
        <f>Table6[[#This Row],[Breakdown Time]]*(1/39)</f>
        <v>3.4615384615384631E-2</v>
      </c>
      <c r="X589" s="336" t="s">
        <v>477</v>
      </c>
      <c r="Y589" s="352" t="s">
        <v>112</v>
      </c>
      <c r="Z589" s="105">
        <v>3696</v>
      </c>
      <c r="AA589" s="107">
        <v>207.90000000000009</v>
      </c>
      <c r="AB589" s="105" t="s">
        <v>472</v>
      </c>
    </row>
    <row r="590" spans="1:28">
      <c r="A590" s="105">
        <f t="shared" si="9"/>
        <v>589</v>
      </c>
      <c r="B590" s="107">
        <f>YEAR(Table6[[#This Row],[Date]])+IF(MONTH(Table6[[#This Row],[Date]])&gt;=4,1,0)</f>
        <v>2026</v>
      </c>
      <c r="C590" s="105">
        <f>YEAR(Table6[[#This Row],[Date]])</f>
        <v>2025</v>
      </c>
      <c r="D590" s="105" t="s">
        <v>465</v>
      </c>
      <c r="E590" s="119">
        <f>Table6[[#This Row],[Date]]-DAY(Table6[[#This Row],[Date]])+1</f>
        <v>45778</v>
      </c>
      <c r="F590" s="118">
        <v>45798</v>
      </c>
      <c r="G590" s="105" t="s">
        <v>103</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466</v>
      </c>
      <c r="L590" s="39" t="str">
        <f>IFERROR(VLOOKUP(Table6[[#This Row],[Error Code]],'Basic Data'!$T:$U,2,0),"")</f>
        <v>Manual Stop - Safety Related</v>
      </c>
      <c r="M590" s="346" t="s">
        <v>467</v>
      </c>
      <c r="N590" s="39" t="s">
        <v>468</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469</v>
      </c>
      <c r="V590" s="351" t="s">
        <v>470</v>
      </c>
      <c r="W590" s="338">
        <f>Table6[[#This Row],[Breakdown Time]]*(1/39)</f>
        <v>0.61495726495726499</v>
      </c>
      <c r="X590" s="336" t="s">
        <v>486</v>
      </c>
      <c r="Y590" s="352" t="s">
        <v>100</v>
      </c>
      <c r="Z590" s="105">
        <v>5644</v>
      </c>
      <c r="AA590" s="107">
        <v>5640.0805555555553</v>
      </c>
      <c r="AB590" s="105" t="s">
        <v>472</v>
      </c>
    </row>
    <row r="591" spans="1:28">
      <c r="A591" s="105">
        <f t="shared" si="9"/>
        <v>590</v>
      </c>
      <c r="B591" s="107">
        <f>YEAR(Table6[[#This Row],[Date]])+IF(MONTH(Table6[[#This Row],[Date]])&gt;=4,1,0)</f>
        <v>2026</v>
      </c>
      <c r="C591" s="105">
        <f>YEAR(Table6[[#This Row],[Date]])</f>
        <v>2025</v>
      </c>
      <c r="D591" s="105" t="s">
        <v>465</v>
      </c>
      <c r="E591" s="119">
        <f>Table6[[#This Row],[Date]]-DAY(Table6[[#This Row],[Date]])+1</f>
        <v>45778</v>
      </c>
      <c r="F591" s="118">
        <v>45798</v>
      </c>
      <c r="G591" s="105" t="s">
        <v>101</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466</v>
      </c>
      <c r="L591" s="39" t="str">
        <f>IFERROR(VLOOKUP(Table6[[#This Row],[Error Code]],'Basic Data'!$T:$U,2,0),"")</f>
        <v>Manual Stop - Safety Related</v>
      </c>
      <c r="M591" s="346" t="s">
        <v>467</v>
      </c>
      <c r="N591" s="39" t="s">
        <v>468</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469</v>
      </c>
      <c r="V591" s="351" t="s">
        <v>470</v>
      </c>
      <c r="W591" s="338">
        <f>Table6[[#This Row],[Breakdown Time]]*(1/39)</f>
        <v>0.61495726495726499</v>
      </c>
      <c r="X591" s="336" t="s">
        <v>486</v>
      </c>
      <c r="Y591" s="352" t="s">
        <v>100</v>
      </c>
      <c r="Z591" s="105">
        <v>5644</v>
      </c>
      <c r="AA591" s="107">
        <v>5640.0805555555553</v>
      </c>
      <c r="AB591" s="105" t="s">
        <v>472</v>
      </c>
    </row>
    <row r="592" spans="1:28">
      <c r="A592" s="105">
        <f t="shared" si="9"/>
        <v>591</v>
      </c>
      <c r="B592" s="107">
        <f>YEAR(Table6[[#This Row],[Date]])+IF(MONTH(Table6[[#This Row],[Date]])&gt;=4,1,0)</f>
        <v>2026</v>
      </c>
      <c r="C592" s="105">
        <f>YEAR(Table6[[#This Row],[Date]])</f>
        <v>2025</v>
      </c>
      <c r="D592" s="105" t="s">
        <v>465</v>
      </c>
      <c r="E592" s="119">
        <f>Table6[[#This Row],[Date]]-DAY(Table6[[#This Row],[Date]])+1</f>
        <v>45778</v>
      </c>
      <c r="F592" s="118">
        <v>45798</v>
      </c>
      <c r="G592" s="105" t="s">
        <v>74</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526</v>
      </c>
      <c r="L592" s="39" t="str">
        <f>IFERROR(VLOOKUP(Table6[[#This Row],[Error Code]],'Basic Data'!$T:$U,2,0),"")</f>
        <v>Manual Stop</v>
      </c>
      <c r="M592" s="346" t="s">
        <v>576</v>
      </c>
      <c r="N592" s="39" t="s">
        <v>189</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604</v>
      </c>
      <c r="V592" s="351" t="s">
        <v>476</v>
      </c>
      <c r="W592" s="338">
        <f>Table6[[#This Row],[Breakdown Time]]*(1/39)</f>
        <v>2.2222222222222209E-2</v>
      </c>
      <c r="X592" s="336" t="s">
        <v>501</v>
      </c>
      <c r="Y592" s="352" t="s">
        <v>80</v>
      </c>
      <c r="Z592" s="105">
        <v>5633</v>
      </c>
      <c r="AA592" s="107">
        <v>203.41388888888881</v>
      </c>
      <c r="AB592" s="105" t="s">
        <v>472</v>
      </c>
    </row>
    <row r="593" spans="1:28">
      <c r="A593" s="105">
        <f t="shared" si="9"/>
        <v>592</v>
      </c>
      <c r="B593" s="107">
        <f>YEAR(Table6[[#This Row],[Date]])+IF(MONTH(Table6[[#This Row],[Date]])&gt;=4,1,0)</f>
        <v>2026</v>
      </c>
      <c r="C593" s="105">
        <f>YEAR(Table6[[#This Row],[Date]])</f>
        <v>2025</v>
      </c>
      <c r="D593" s="105" t="s">
        <v>465</v>
      </c>
      <c r="E593" s="119">
        <f>Table6[[#This Row],[Date]]-DAY(Table6[[#This Row],[Date]])+1</f>
        <v>45778</v>
      </c>
      <c r="F593" s="118">
        <v>45798</v>
      </c>
      <c r="G593" s="105" t="s">
        <v>79</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473</v>
      </c>
      <c r="N593" s="39" t="s">
        <v>474</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481</v>
      </c>
      <c r="V593" s="351" t="s">
        <v>476</v>
      </c>
      <c r="W593" s="338">
        <f>Table6[[#This Row],[Breakdown Time]]*(1/39)</f>
        <v>4.6153846153846122E-2</v>
      </c>
      <c r="X593" s="336" t="s">
        <v>477</v>
      </c>
      <c r="Y593" s="352" t="s">
        <v>76</v>
      </c>
      <c r="Z593" s="105">
        <v>5632</v>
      </c>
      <c r="AA593" s="107">
        <v>422.39999999999975</v>
      </c>
      <c r="AB593" s="105" t="s">
        <v>472</v>
      </c>
    </row>
    <row r="594" spans="1:28">
      <c r="A594" s="105">
        <f t="shared" si="9"/>
        <v>593</v>
      </c>
      <c r="B594" s="107">
        <f>YEAR(Table6[[#This Row],[Date]])+IF(MONTH(Table6[[#This Row],[Date]])&gt;=4,1,0)</f>
        <v>2026</v>
      </c>
      <c r="C594" s="105">
        <f>YEAR(Table6[[#This Row],[Date]])</f>
        <v>2025</v>
      </c>
      <c r="D594" s="105" t="s">
        <v>465</v>
      </c>
      <c r="E594" s="119">
        <f>Table6[[#This Row],[Date]]-DAY(Table6[[#This Row],[Date]])+1</f>
        <v>45778</v>
      </c>
      <c r="F594" s="118">
        <v>45798</v>
      </c>
      <c r="G594" s="105" t="s">
        <v>96</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552</v>
      </c>
      <c r="L594" s="39" t="str">
        <f>IFERROR(VLOOKUP(Table6[[#This Row],[Error Code]],'Basic Data'!$T:$U,2,0),"")</f>
        <v>Manual Stop - Preventive Maintenance Activity</v>
      </c>
      <c r="M594" s="346" t="s">
        <v>553</v>
      </c>
      <c r="N594" s="39" t="s">
        <v>189</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574</v>
      </c>
      <c r="V594" s="351" t="s">
        <v>476</v>
      </c>
      <c r="W594" s="338">
        <f>Table6[[#This Row],[Breakdown Time]]*(1/39)</f>
        <v>0.1752136752136752</v>
      </c>
      <c r="X594" s="336" t="s">
        <v>555</v>
      </c>
      <c r="Y594" s="352" t="s">
        <v>78</v>
      </c>
      <c r="Z594" s="105">
        <v>5601</v>
      </c>
      <c r="AA594" s="107">
        <v>1594.7291666666665</v>
      </c>
      <c r="AB594" s="105" t="s">
        <v>472</v>
      </c>
    </row>
    <row r="595" spans="1:28">
      <c r="A595" s="105">
        <f t="shared" si="9"/>
        <v>594</v>
      </c>
      <c r="B595" s="107">
        <f>YEAR(Table6[[#This Row],[Date]])+IF(MONTH(Table6[[#This Row],[Date]])&gt;=4,1,0)</f>
        <v>2026</v>
      </c>
      <c r="C595" s="105">
        <f>YEAR(Table6[[#This Row],[Date]])</f>
        <v>2025</v>
      </c>
      <c r="D595" s="105" t="s">
        <v>465</v>
      </c>
      <c r="E595" s="119">
        <f>Table6[[#This Row],[Date]]-DAY(Table6[[#This Row],[Date]])+1</f>
        <v>45778</v>
      </c>
      <c r="F595" s="118">
        <v>45798</v>
      </c>
      <c r="G595" s="105" t="s">
        <v>105</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473</v>
      </c>
      <c r="N595" s="39" t="s">
        <v>474</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611</v>
      </c>
      <c r="V595" s="351" t="s">
        <v>476</v>
      </c>
      <c r="W595" s="338">
        <f>Table6[[#This Row],[Breakdown Time]]*(1/39)</f>
        <v>9.0598290598290609E-2</v>
      </c>
      <c r="X595" s="336" t="s">
        <v>477</v>
      </c>
      <c r="Y595" s="352" t="s">
        <v>106</v>
      </c>
      <c r="Z595" s="105">
        <v>4645</v>
      </c>
      <c r="AA595" s="107">
        <v>683.84722222222229</v>
      </c>
      <c r="AB595" s="105" t="s">
        <v>472</v>
      </c>
    </row>
    <row r="596" spans="1:28">
      <c r="A596" s="105">
        <f t="shared" si="9"/>
        <v>595</v>
      </c>
      <c r="B596" s="107">
        <f>YEAR(Table6[[#This Row],[Date]])+IF(MONTH(Table6[[#This Row],[Date]])&gt;=4,1,0)</f>
        <v>2026</v>
      </c>
      <c r="C596" s="105">
        <f>YEAR(Table6[[#This Row],[Date]])</f>
        <v>2025</v>
      </c>
      <c r="D596" s="105" t="s">
        <v>465</v>
      </c>
      <c r="E596" s="119">
        <f>Table6[[#This Row],[Date]]-DAY(Table6[[#This Row],[Date]])+1</f>
        <v>45778</v>
      </c>
      <c r="F596" s="118">
        <v>45799</v>
      </c>
      <c r="G596" s="105" t="s">
        <v>103</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466</v>
      </c>
      <c r="L596" s="39" t="str">
        <f>IFERROR(VLOOKUP(Table6[[#This Row],[Error Code]],'Basic Data'!$T:$U,2,0),"")</f>
        <v>Manual Stop - Safety Related</v>
      </c>
      <c r="M596" s="346" t="s">
        <v>467</v>
      </c>
      <c r="N596" s="39" t="s">
        <v>468</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469</v>
      </c>
      <c r="V596" s="351" t="s">
        <v>470</v>
      </c>
      <c r="W596" s="338">
        <f>Table6[[#This Row],[Breakdown Time]]*(1/39)</f>
        <v>0.61495726495726499</v>
      </c>
      <c r="X596" s="336" t="s">
        <v>486</v>
      </c>
      <c r="Y596" s="352" t="s">
        <v>100</v>
      </c>
      <c r="Z596" s="105">
        <v>8852</v>
      </c>
      <c r="AA596" s="107">
        <v>8845.8527777777781</v>
      </c>
      <c r="AB596" s="105" t="s">
        <v>472</v>
      </c>
    </row>
    <row r="597" spans="1:28">
      <c r="A597" s="105">
        <f t="shared" si="9"/>
        <v>596</v>
      </c>
      <c r="B597" s="107">
        <f>YEAR(Table6[[#This Row],[Date]])+IF(MONTH(Table6[[#This Row],[Date]])&gt;=4,1,0)</f>
        <v>2026</v>
      </c>
      <c r="C597" s="105">
        <f>YEAR(Table6[[#This Row],[Date]])</f>
        <v>2025</v>
      </c>
      <c r="D597" s="105" t="s">
        <v>465</v>
      </c>
      <c r="E597" s="119">
        <f>Table6[[#This Row],[Date]]-DAY(Table6[[#This Row],[Date]])+1</f>
        <v>45778</v>
      </c>
      <c r="F597" s="118">
        <v>45799</v>
      </c>
      <c r="G597" s="105" t="s">
        <v>101</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466</v>
      </c>
      <c r="L597" s="39" t="str">
        <f>IFERROR(VLOOKUP(Table6[[#This Row],[Error Code]],'Basic Data'!$T:$U,2,0),"")</f>
        <v>Manual Stop - Safety Related</v>
      </c>
      <c r="M597" s="346" t="s">
        <v>467</v>
      </c>
      <c r="N597" s="39" t="s">
        <v>468</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469</v>
      </c>
      <c r="V597" s="351" t="s">
        <v>470</v>
      </c>
      <c r="W597" s="338">
        <f>Table6[[#This Row],[Breakdown Time]]*(1/39)</f>
        <v>0.61495726495726499</v>
      </c>
      <c r="X597" s="336" t="s">
        <v>486</v>
      </c>
      <c r="Y597" s="352" t="s">
        <v>100</v>
      </c>
      <c r="Z597" s="105">
        <v>8852</v>
      </c>
      <c r="AA597" s="107">
        <v>8845.8527777777781</v>
      </c>
      <c r="AB597" s="105" t="s">
        <v>472</v>
      </c>
    </row>
    <row r="598" spans="1:28">
      <c r="A598" s="105">
        <f t="shared" si="9"/>
        <v>597</v>
      </c>
      <c r="B598" s="107">
        <f>YEAR(Table6[[#This Row],[Date]])+IF(MONTH(Table6[[#This Row],[Date]])&gt;=4,1,0)</f>
        <v>2026</v>
      </c>
      <c r="C598" s="105">
        <f>YEAR(Table6[[#This Row],[Date]])</f>
        <v>2025</v>
      </c>
      <c r="D598" s="105" t="s">
        <v>465</v>
      </c>
      <c r="E598" s="119">
        <f>Table6[[#This Row],[Date]]-DAY(Table6[[#This Row],[Date]])+1</f>
        <v>45778</v>
      </c>
      <c r="F598" s="118">
        <v>45799</v>
      </c>
      <c r="G598" s="105" t="s">
        <v>76</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526</v>
      </c>
      <c r="L598" s="39" t="str">
        <f>IFERROR(VLOOKUP(Table6[[#This Row],[Error Code]],'Basic Data'!$T:$U,2,0),"")</f>
        <v>Manual Stop</v>
      </c>
      <c r="M598" s="346" t="s">
        <v>576</v>
      </c>
      <c r="N598" s="39" t="s">
        <v>189</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604</v>
      </c>
      <c r="V598" s="351" t="s">
        <v>476</v>
      </c>
      <c r="W598" s="338">
        <f>Table6[[#This Row],[Breakdown Time]]*(1/39)</f>
        <v>3.7606837606837612E-2</v>
      </c>
      <c r="X598" s="336" t="s">
        <v>501</v>
      </c>
      <c r="Y598" s="352" t="s">
        <v>77</v>
      </c>
      <c r="Z598" s="105">
        <v>6263</v>
      </c>
      <c r="AA598" s="107">
        <v>382.73888888888888</v>
      </c>
      <c r="AB598" s="105" t="s">
        <v>472</v>
      </c>
    </row>
    <row r="599" spans="1:28">
      <c r="A599" s="105">
        <f t="shared" si="9"/>
        <v>598</v>
      </c>
      <c r="B599" s="107">
        <f>YEAR(Table6[[#This Row],[Date]])+IF(MONTH(Table6[[#This Row],[Date]])&gt;=4,1,0)</f>
        <v>2026</v>
      </c>
      <c r="C599" s="105">
        <f>YEAR(Table6[[#This Row],[Date]])</f>
        <v>2025</v>
      </c>
      <c r="D599" s="105" t="s">
        <v>465</v>
      </c>
      <c r="E599" s="119">
        <f>Table6[[#This Row],[Date]]-DAY(Table6[[#This Row],[Date]])+1</f>
        <v>45778</v>
      </c>
      <c r="F599" s="118">
        <v>45799</v>
      </c>
      <c r="G599" s="105" t="s">
        <v>77</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526</v>
      </c>
      <c r="L599" s="39" t="str">
        <f>IFERROR(VLOOKUP(Table6[[#This Row],[Error Code]],'Basic Data'!$T:$U,2,0),"")</f>
        <v>Manual Stop</v>
      </c>
      <c r="M599" s="346" t="s">
        <v>576</v>
      </c>
      <c r="N599" s="39" t="s">
        <v>189</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604</v>
      </c>
      <c r="V599" s="351" t="s">
        <v>476</v>
      </c>
      <c r="W599" s="338">
        <f>Table6[[#This Row],[Breakdown Time]]*(1/39)</f>
        <v>2.1367521367521427E-2</v>
      </c>
      <c r="X599" s="336" t="s">
        <v>501</v>
      </c>
      <c r="Y599" s="352" t="s">
        <v>76</v>
      </c>
      <c r="Z599" s="105">
        <v>6279</v>
      </c>
      <c r="AA599" s="107">
        <v>218.02083333333394</v>
      </c>
      <c r="AB599" s="105" t="s">
        <v>472</v>
      </c>
    </row>
    <row r="600" spans="1:28">
      <c r="A600" s="105">
        <f t="shared" si="9"/>
        <v>599</v>
      </c>
      <c r="B600" s="107">
        <f>YEAR(Table6[[#This Row],[Date]])+IF(MONTH(Table6[[#This Row],[Date]])&gt;=4,1,0)</f>
        <v>2026</v>
      </c>
      <c r="C600" s="105">
        <f>YEAR(Table6[[#This Row],[Date]])</f>
        <v>2025</v>
      </c>
      <c r="D600" s="105" t="s">
        <v>465</v>
      </c>
      <c r="E600" s="119">
        <f>Table6[[#This Row],[Date]]-DAY(Table6[[#This Row],[Date]])+1</f>
        <v>45778</v>
      </c>
      <c r="F600" s="118">
        <v>45799</v>
      </c>
      <c r="G600" s="105" t="s">
        <v>78</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552</v>
      </c>
      <c r="L600" s="39" t="str">
        <f>IFERROR(VLOOKUP(Table6[[#This Row],[Error Code]],'Basic Data'!$T:$U,2,0),"")</f>
        <v>Manual Stop - Preventive Maintenance Activity</v>
      </c>
      <c r="M600" s="346" t="s">
        <v>553</v>
      </c>
      <c r="N600" s="39" t="s">
        <v>189</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574</v>
      </c>
      <c r="V600" s="351" t="s">
        <v>476</v>
      </c>
      <c r="W600" s="338">
        <f>Table6[[#This Row],[Breakdown Time]]*(1/39)</f>
        <v>0.16239316239316234</v>
      </c>
      <c r="X600" s="336" t="s">
        <v>555</v>
      </c>
      <c r="Y600" s="352" t="s">
        <v>95</v>
      </c>
      <c r="Z600" s="105">
        <v>8842</v>
      </c>
      <c r="AA600" s="107">
        <v>2333.3055555555552</v>
      </c>
      <c r="AB600" s="105" t="s">
        <v>472</v>
      </c>
    </row>
    <row r="601" spans="1:28">
      <c r="A601" s="105">
        <f t="shared" si="9"/>
        <v>600</v>
      </c>
      <c r="B601" s="107">
        <f>YEAR(Table6[[#This Row],[Date]])+IF(MONTH(Table6[[#This Row],[Date]])&gt;=4,1,0)</f>
        <v>2026</v>
      </c>
      <c r="C601" s="105">
        <f>YEAR(Table6[[#This Row],[Date]])</f>
        <v>2025</v>
      </c>
      <c r="D601" s="105" t="s">
        <v>465</v>
      </c>
      <c r="E601" s="119">
        <f>Table6[[#This Row],[Date]]-DAY(Table6[[#This Row],[Date]])+1</f>
        <v>45778</v>
      </c>
      <c r="F601" s="118">
        <v>45799</v>
      </c>
      <c r="G601" s="105" t="s">
        <v>104</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473</v>
      </c>
      <c r="N601" s="39" t="s">
        <v>474</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475</v>
      </c>
      <c r="V601" s="351" t="s">
        <v>476</v>
      </c>
      <c r="W601" s="338">
        <f>Table6[[#This Row],[Breakdown Time]]*(1/39)</f>
        <v>2.6495726495726468E-2</v>
      </c>
      <c r="X601" s="336" t="s">
        <v>477</v>
      </c>
      <c r="Y601" s="352" t="s">
        <v>98</v>
      </c>
      <c r="Z601" s="105">
        <v>6041</v>
      </c>
      <c r="AA601" s="107">
        <v>260.09861111111087</v>
      </c>
      <c r="AB601" s="105" t="s">
        <v>472</v>
      </c>
    </row>
    <row r="602" spans="1:28">
      <c r="A602" s="105">
        <f t="shared" si="9"/>
        <v>601</v>
      </c>
      <c r="B602" s="107">
        <f>YEAR(Table6[[#This Row],[Date]])+IF(MONTH(Table6[[#This Row],[Date]])&gt;=4,1,0)</f>
        <v>2026</v>
      </c>
      <c r="C602" s="105">
        <f>YEAR(Table6[[#This Row],[Date]])</f>
        <v>2025</v>
      </c>
      <c r="D602" s="105" t="s">
        <v>465</v>
      </c>
      <c r="E602" s="119">
        <f>Table6[[#This Row],[Date]]-DAY(Table6[[#This Row],[Date]])+1</f>
        <v>45778</v>
      </c>
      <c r="F602" s="118">
        <v>45799</v>
      </c>
      <c r="G602" s="105" t="s">
        <v>110</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526</v>
      </c>
      <c r="L602" s="39" t="str">
        <f>IFERROR(VLOOKUP(Table6[[#This Row],[Error Code]],'Basic Data'!$T:$U,2,0),"")</f>
        <v>Manual Stop</v>
      </c>
      <c r="M602" s="346" t="s">
        <v>499</v>
      </c>
      <c r="N602" s="39" t="s">
        <v>189</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612</v>
      </c>
      <c r="V602" s="351" t="s">
        <v>476</v>
      </c>
      <c r="W602" s="338">
        <f>Table6[[#This Row],[Breakdown Time]]*(1/39)</f>
        <v>5.5555555555555559E-2</v>
      </c>
      <c r="X602" s="336" t="s">
        <v>501</v>
      </c>
      <c r="Y602" s="352" t="s">
        <v>111</v>
      </c>
      <c r="Z602" s="105">
        <v>6049</v>
      </c>
      <c r="AA602" s="107">
        <v>546.09027777777783</v>
      </c>
      <c r="AB602" s="105" t="s">
        <v>472</v>
      </c>
    </row>
    <row r="603" spans="1:28">
      <c r="A603" s="105">
        <f t="shared" si="9"/>
        <v>602</v>
      </c>
      <c r="B603" s="107">
        <f>YEAR(Table6[[#This Row],[Date]])+IF(MONTH(Table6[[#This Row],[Date]])&gt;=4,1,0)</f>
        <v>2026</v>
      </c>
      <c r="C603" s="105">
        <f>YEAR(Table6[[#This Row],[Date]])</f>
        <v>2025</v>
      </c>
      <c r="D603" s="105" t="s">
        <v>465</v>
      </c>
      <c r="E603" s="119">
        <f>Table6[[#This Row],[Date]]-DAY(Table6[[#This Row],[Date]])+1</f>
        <v>45778</v>
      </c>
      <c r="F603" s="118">
        <v>45800</v>
      </c>
      <c r="G603" s="105" t="s">
        <v>103</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466</v>
      </c>
      <c r="L603" s="39" t="str">
        <f>IFERROR(VLOOKUP(Table6[[#This Row],[Error Code]],'Basic Data'!$T:$U,2,0),"")</f>
        <v>Manual Stop - Safety Related</v>
      </c>
      <c r="M603" s="346" t="s">
        <v>467</v>
      </c>
      <c r="N603" s="39" t="s">
        <v>468</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469</v>
      </c>
      <c r="V603" s="351" t="s">
        <v>470</v>
      </c>
      <c r="W603" s="338">
        <f>Table6[[#This Row],[Breakdown Time]]*(1/39)</f>
        <v>0.61495726495726499</v>
      </c>
      <c r="X603" s="336" t="s">
        <v>486</v>
      </c>
      <c r="Y603" s="352" t="s">
        <v>100</v>
      </c>
      <c r="Z603" s="105">
        <v>2038</v>
      </c>
      <c r="AA603" s="107">
        <v>2036.5847222222224</v>
      </c>
      <c r="AB603" s="105" t="s">
        <v>472</v>
      </c>
    </row>
    <row r="604" spans="1:28">
      <c r="A604" s="105">
        <f t="shared" si="9"/>
        <v>603</v>
      </c>
      <c r="B604" s="107">
        <f>YEAR(Table6[[#This Row],[Date]])+IF(MONTH(Table6[[#This Row],[Date]])&gt;=4,1,0)</f>
        <v>2026</v>
      </c>
      <c r="C604" s="105">
        <f>YEAR(Table6[[#This Row],[Date]])</f>
        <v>2025</v>
      </c>
      <c r="D604" s="105" t="s">
        <v>465</v>
      </c>
      <c r="E604" s="119">
        <f>Table6[[#This Row],[Date]]-DAY(Table6[[#This Row],[Date]])+1</f>
        <v>45778</v>
      </c>
      <c r="F604" s="118">
        <v>45800</v>
      </c>
      <c r="G604" s="105" t="s">
        <v>101</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466</v>
      </c>
      <c r="L604" s="39" t="str">
        <f>IFERROR(VLOOKUP(Table6[[#This Row],[Error Code]],'Basic Data'!$T:$U,2,0),"")</f>
        <v>Manual Stop - Safety Related</v>
      </c>
      <c r="M604" s="346" t="s">
        <v>467</v>
      </c>
      <c r="N604" s="39" t="s">
        <v>468</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469</v>
      </c>
      <c r="V604" s="351" t="s">
        <v>470</v>
      </c>
      <c r="W604" s="338">
        <f>Table6[[#This Row],[Breakdown Time]]*(1/39)</f>
        <v>0.61495726495726499</v>
      </c>
      <c r="X604" s="336" t="s">
        <v>486</v>
      </c>
      <c r="Y604" s="352" t="s">
        <v>100</v>
      </c>
      <c r="Z604" s="105">
        <v>2038</v>
      </c>
      <c r="AA604" s="107">
        <v>2036.5847222222224</v>
      </c>
      <c r="AB604" s="105" t="s">
        <v>472</v>
      </c>
    </row>
    <row r="605" spans="1:28">
      <c r="A605" s="105">
        <f t="shared" si="9"/>
        <v>604</v>
      </c>
      <c r="B605" s="107">
        <f>YEAR(Table6[[#This Row],[Date]])+IF(MONTH(Table6[[#This Row],[Date]])&gt;=4,1,0)</f>
        <v>2026</v>
      </c>
      <c r="C605" s="105">
        <f>YEAR(Table6[[#This Row],[Date]])</f>
        <v>2025</v>
      </c>
      <c r="D605" s="105" t="s">
        <v>465</v>
      </c>
      <c r="E605" s="119">
        <f>Table6[[#This Row],[Date]]-DAY(Table6[[#This Row],[Date]])+1</f>
        <v>45778</v>
      </c>
      <c r="F605" s="118">
        <v>45800</v>
      </c>
      <c r="G605" s="105" t="s">
        <v>84</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473</v>
      </c>
      <c r="N605" s="39" t="s">
        <v>474</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475</v>
      </c>
      <c r="V605" s="351" t="s">
        <v>476</v>
      </c>
      <c r="W605" s="338">
        <f>Table6[[#This Row],[Breakdown Time]]*(1/39)</f>
        <v>2.0512820512820506E-2</v>
      </c>
      <c r="X605" s="336" t="s">
        <v>477</v>
      </c>
      <c r="Y605" s="352" t="s">
        <v>83</v>
      </c>
      <c r="Z605" s="105">
        <v>2830</v>
      </c>
      <c r="AA605" s="107">
        <v>94.333333333333314</v>
      </c>
      <c r="AB605" s="105" t="s">
        <v>472</v>
      </c>
    </row>
    <row r="606" spans="1:28">
      <c r="A606" s="105">
        <f t="shared" si="9"/>
        <v>605</v>
      </c>
      <c r="B606" s="107">
        <f>YEAR(Table6[[#This Row],[Date]])+IF(MONTH(Table6[[#This Row],[Date]])&gt;=4,1,0)</f>
        <v>2026</v>
      </c>
      <c r="C606" s="105">
        <f>YEAR(Table6[[#This Row],[Date]])</f>
        <v>2025</v>
      </c>
      <c r="D606" s="105" t="s">
        <v>465</v>
      </c>
      <c r="E606" s="119">
        <f>Table6[[#This Row],[Date]]-DAY(Table6[[#This Row],[Date]])+1</f>
        <v>45778</v>
      </c>
      <c r="F606" s="118">
        <v>45800</v>
      </c>
      <c r="G606" s="105" t="s">
        <v>85</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499</v>
      </c>
      <c r="N606" s="39" t="s">
        <v>189</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613</v>
      </c>
      <c r="V606" s="351" t="s">
        <v>476</v>
      </c>
      <c r="W606" s="338">
        <f>Table6[[#This Row],[Breakdown Time]]*(1/39)</f>
        <v>5.5555555555555559E-2</v>
      </c>
      <c r="X606" s="336" t="s">
        <v>501</v>
      </c>
      <c r="Y606" s="352" t="s">
        <v>86</v>
      </c>
      <c r="Z606" s="105">
        <v>3107</v>
      </c>
      <c r="AA606" s="107">
        <v>280.4930555555556</v>
      </c>
      <c r="AB606" s="105" t="s">
        <v>472</v>
      </c>
    </row>
    <row r="607" spans="1:28">
      <c r="A607" s="105">
        <f t="shared" si="9"/>
        <v>606</v>
      </c>
      <c r="B607" s="107">
        <f>YEAR(Table6[[#This Row],[Date]])+IF(MONTH(Table6[[#This Row],[Date]])&gt;=4,1,0)</f>
        <v>2026</v>
      </c>
      <c r="C607" s="105">
        <f>YEAR(Table6[[#This Row],[Date]])</f>
        <v>2025</v>
      </c>
      <c r="D607" s="105" t="s">
        <v>465</v>
      </c>
      <c r="E607" s="119">
        <f>Table6[[#This Row],[Date]]-DAY(Table6[[#This Row],[Date]])+1</f>
        <v>45778</v>
      </c>
      <c r="F607" s="118">
        <v>45800</v>
      </c>
      <c r="G607" s="105" t="s">
        <v>88</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552</v>
      </c>
      <c r="L607" s="39" t="str">
        <f>IFERROR(VLOOKUP(Table6[[#This Row],[Error Code]],'Basic Data'!$T:$U,2,0),"")</f>
        <v>Manual Stop - Preventive Maintenance Activity</v>
      </c>
      <c r="M607" s="346" t="s">
        <v>553</v>
      </c>
      <c r="N607" s="39" t="s">
        <v>189</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574</v>
      </c>
      <c r="V607" s="351" t="s">
        <v>476</v>
      </c>
      <c r="W607" s="338">
        <f>Table6[[#This Row],[Breakdown Time]]*(1/39)</f>
        <v>0.17094017094017094</v>
      </c>
      <c r="X607" s="336" t="s">
        <v>555</v>
      </c>
      <c r="Y607" s="352" t="s">
        <v>89</v>
      </c>
      <c r="Z607" s="105">
        <v>3109</v>
      </c>
      <c r="AA607" s="107">
        <v>863.61111111111109</v>
      </c>
      <c r="AB607" s="105" t="s">
        <v>472</v>
      </c>
    </row>
    <row r="608" spans="1:28">
      <c r="A608" s="105">
        <f t="shared" si="9"/>
        <v>607</v>
      </c>
      <c r="B608" s="107">
        <f>YEAR(Table6[[#This Row],[Date]])+IF(MONTH(Table6[[#This Row],[Date]])&gt;=4,1,0)</f>
        <v>2026</v>
      </c>
      <c r="C608" s="105">
        <f>YEAR(Table6[[#This Row],[Date]])</f>
        <v>2025</v>
      </c>
      <c r="D608" s="105" t="s">
        <v>465</v>
      </c>
      <c r="E608" s="119">
        <f>Table6[[#This Row],[Date]]-DAY(Table6[[#This Row],[Date]])+1</f>
        <v>45778</v>
      </c>
      <c r="F608" s="118">
        <v>45800</v>
      </c>
      <c r="G608" s="105" t="s">
        <v>89</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473</v>
      </c>
      <c r="N608" s="39" t="s">
        <v>474</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475</v>
      </c>
      <c r="V608" s="351" t="s">
        <v>476</v>
      </c>
      <c r="W608" s="338">
        <f>Table6[[#This Row],[Breakdown Time]]*(1/39)</f>
        <v>1.1111111111111139E-2</v>
      </c>
      <c r="X608" s="336" t="s">
        <v>477</v>
      </c>
      <c r="Y608" s="352" t="s">
        <v>90</v>
      </c>
      <c r="Z608" s="105">
        <v>3111</v>
      </c>
      <c r="AA608" s="107">
        <v>56.170833333333476</v>
      </c>
      <c r="AB608" s="105" t="s">
        <v>472</v>
      </c>
    </row>
    <row r="609" spans="1:28">
      <c r="A609" s="105">
        <f t="shared" si="9"/>
        <v>608</v>
      </c>
      <c r="B609" s="107">
        <f>YEAR(Table6[[#This Row],[Date]])+IF(MONTH(Table6[[#This Row],[Date]])&gt;=4,1,0)</f>
        <v>2026</v>
      </c>
      <c r="C609" s="105">
        <f>YEAR(Table6[[#This Row],[Date]])</f>
        <v>2025</v>
      </c>
      <c r="D609" s="105" t="s">
        <v>465</v>
      </c>
      <c r="E609" s="119">
        <f>Table6[[#This Row],[Date]]-DAY(Table6[[#This Row],[Date]])+1</f>
        <v>45778</v>
      </c>
      <c r="F609" s="118">
        <v>45800</v>
      </c>
      <c r="G609" s="105" t="s">
        <v>97</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526</v>
      </c>
      <c r="L609" s="39" t="str">
        <f>IFERROR(VLOOKUP(Table6[[#This Row],[Error Code]],'Basic Data'!$T:$U,2,0),"")</f>
        <v>Manual Stop</v>
      </c>
      <c r="M609" s="346" t="s">
        <v>576</v>
      </c>
      <c r="N609" s="39" t="s">
        <v>189</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614</v>
      </c>
      <c r="V609" s="351" t="s">
        <v>476</v>
      </c>
      <c r="W609" s="338">
        <f>Table6[[#This Row],[Breakdown Time]]*(1/39)</f>
        <v>1.9230769230769232E-2</v>
      </c>
      <c r="X609" s="336" t="s">
        <v>501</v>
      </c>
      <c r="Y609" s="352" t="s">
        <v>99</v>
      </c>
      <c r="Z609" s="105">
        <v>2014</v>
      </c>
      <c r="AA609" s="107">
        <v>62.9375</v>
      </c>
      <c r="AB609" s="105" t="s">
        <v>472</v>
      </c>
    </row>
    <row r="610" spans="1:28">
      <c r="A610" s="105">
        <f t="shared" si="9"/>
        <v>609</v>
      </c>
      <c r="B610" s="107">
        <f>YEAR(Table6[[#This Row],[Date]])+IF(MONTH(Table6[[#This Row],[Date]])&gt;=4,1,0)</f>
        <v>2026</v>
      </c>
      <c r="C610" s="105">
        <f>YEAR(Table6[[#This Row],[Date]])</f>
        <v>2025</v>
      </c>
      <c r="D610" s="105" t="s">
        <v>465</v>
      </c>
      <c r="E610" s="119">
        <f>Table6[[#This Row],[Date]]-DAY(Table6[[#This Row],[Date]])+1</f>
        <v>45778</v>
      </c>
      <c r="F610" s="118">
        <v>45801</v>
      </c>
      <c r="G610" s="105" t="s">
        <v>103</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466</v>
      </c>
      <c r="L610" s="39" t="str">
        <f>IFERROR(VLOOKUP(Table6[[#This Row],[Error Code]],'Basic Data'!$T:$U,2,0),"")</f>
        <v>Manual Stop - Safety Related</v>
      </c>
      <c r="M610" s="346" t="s">
        <v>467</v>
      </c>
      <c r="N610" s="39" t="s">
        <v>468</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469</v>
      </c>
      <c r="V610" s="351" t="s">
        <v>470</v>
      </c>
      <c r="W610" s="338">
        <f>Table6[[#This Row],[Breakdown Time]]*(1/39)</f>
        <v>0.61495726495726499</v>
      </c>
      <c r="X610" s="336" t="s">
        <v>486</v>
      </c>
      <c r="Y610" s="352" t="s">
        <v>100</v>
      </c>
      <c r="Z610" s="105">
        <v>7772</v>
      </c>
      <c r="AA610" s="107">
        <v>7766.6027777777772</v>
      </c>
      <c r="AB610" s="105" t="s">
        <v>472</v>
      </c>
    </row>
    <row r="611" spans="1:28">
      <c r="A611" s="105">
        <f t="shared" si="9"/>
        <v>610</v>
      </c>
      <c r="B611" s="107">
        <f>YEAR(Table6[[#This Row],[Date]])+IF(MONTH(Table6[[#This Row],[Date]])&gt;=4,1,0)</f>
        <v>2026</v>
      </c>
      <c r="C611" s="105">
        <f>YEAR(Table6[[#This Row],[Date]])</f>
        <v>2025</v>
      </c>
      <c r="D611" s="105" t="s">
        <v>465</v>
      </c>
      <c r="E611" s="119">
        <f>Table6[[#This Row],[Date]]-DAY(Table6[[#This Row],[Date]])+1</f>
        <v>45778</v>
      </c>
      <c r="F611" s="118">
        <v>45801</v>
      </c>
      <c r="G611" s="105" t="s">
        <v>101</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466</v>
      </c>
      <c r="L611" s="39" t="str">
        <f>IFERROR(VLOOKUP(Table6[[#This Row],[Error Code]],'Basic Data'!$T:$U,2,0),"")</f>
        <v>Manual Stop - Safety Related</v>
      </c>
      <c r="M611" s="346" t="s">
        <v>467</v>
      </c>
      <c r="N611" s="39" t="s">
        <v>468</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469</v>
      </c>
      <c r="V611" s="351" t="s">
        <v>470</v>
      </c>
      <c r="W611" s="338">
        <f>Table6[[#This Row],[Breakdown Time]]*(1/39)</f>
        <v>0.61495726495726499</v>
      </c>
      <c r="X611" s="336" t="s">
        <v>486</v>
      </c>
      <c r="Y611" s="352" t="s">
        <v>100</v>
      </c>
      <c r="Z611" s="105">
        <v>7772</v>
      </c>
      <c r="AA611" s="107">
        <v>7766.6027777777772</v>
      </c>
      <c r="AB611" s="105" t="s">
        <v>472</v>
      </c>
    </row>
    <row r="612" spans="1:28">
      <c r="A612" s="105">
        <f t="shared" si="9"/>
        <v>611</v>
      </c>
      <c r="B612" s="107">
        <f>YEAR(Table6[[#This Row],[Date]])+IF(MONTH(Table6[[#This Row],[Date]])&gt;=4,1,0)</f>
        <v>2026</v>
      </c>
      <c r="C612" s="105">
        <f>YEAR(Table6[[#This Row],[Date]])</f>
        <v>2025</v>
      </c>
      <c r="D612" s="105" t="s">
        <v>465</v>
      </c>
      <c r="E612" s="119">
        <f>Table6[[#This Row],[Date]]-DAY(Table6[[#This Row],[Date]])+1</f>
        <v>45778</v>
      </c>
      <c r="F612" s="118">
        <v>45801</v>
      </c>
      <c r="G612" s="105" t="s">
        <v>89</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552</v>
      </c>
      <c r="L612" s="39" t="str">
        <f>IFERROR(VLOOKUP(Table6[[#This Row],[Error Code]],'Basic Data'!$T:$U,2,0),"")</f>
        <v>Manual Stop - Preventive Maintenance Activity</v>
      </c>
      <c r="M612" s="346" t="s">
        <v>553</v>
      </c>
      <c r="N612" s="39" t="s">
        <v>189</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574</v>
      </c>
      <c r="V612" s="351" t="s">
        <v>476</v>
      </c>
      <c r="W612" s="338">
        <f>Table6[[#This Row],[Breakdown Time]]*(1/39)</f>
        <v>0.19871794871794876</v>
      </c>
      <c r="X612" s="336" t="s">
        <v>555</v>
      </c>
      <c r="Y612" s="352" t="s">
        <v>90</v>
      </c>
      <c r="Z612" s="105">
        <v>7365</v>
      </c>
      <c r="AA612" s="107">
        <v>2378.2812500000005</v>
      </c>
      <c r="AB612" s="105" t="s">
        <v>472</v>
      </c>
    </row>
    <row r="613" spans="1:28">
      <c r="A613" s="105">
        <f t="shared" si="9"/>
        <v>612</v>
      </c>
      <c r="B613" s="107">
        <f>YEAR(Table6[[#This Row],[Date]])+IF(MONTH(Table6[[#This Row],[Date]])&gt;=4,1,0)</f>
        <v>2026</v>
      </c>
      <c r="C613" s="105">
        <f>YEAR(Table6[[#This Row],[Date]])</f>
        <v>2025</v>
      </c>
      <c r="D613" s="105" t="s">
        <v>465</v>
      </c>
      <c r="E613" s="119">
        <f>Table6[[#This Row],[Date]]-DAY(Table6[[#This Row],[Date]])+1</f>
        <v>45778</v>
      </c>
      <c r="F613" s="118">
        <v>45801</v>
      </c>
      <c r="G613" s="105" t="s">
        <v>98</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517</v>
      </c>
      <c r="L613" s="39" t="str">
        <f>IFERROR(VLOOKUP(Table6[[#This Row],[Error Code]],'Basic Data'!$T:$U,2,0),"")</f>
        <v>General Work Stoppage</v>
      </c>
      <c r="M613" s="346" t="s">
        <v>499</v>
      </c>
      <c r="N613" s="39" t="s">
        <v>189</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615</v>
      </c>
      <c r="V613" s="351" t="s">
        <v>476</v>
      </c>
      <c r="W613" s="338">
        <f>Table6[[#This Row],[Breakdown Time]]*(1/39)</f>
        <v>5.3846153846153787E-2</v>
      </c>
      <c r="X613" s="336" t="s">
        <v>501</v>
      </c>
      <c r="Y613" s="352" t="s">
        <v>104</v>
      </c>
      <c r="Z613" s="105">
        <v>6467</v>
      </c>
      <c r="AA613" s="107">
        <v>565.86249999999939</v>
      </c>
      <c r="AB613" s="105" t="s">
        <v>472</v>
      </c>
    </row>
    <row r="614" spans="1:28">
      <c r="A614" s="105">
        <f t="shared" si="9"/>
        <v>613</v>
      </c>
      <c r="B614" s="107">
        <f>YEAR(Table6[[#This Row],[Date]])+IF(MONTH(Table6[[#This Row],[Date]])&gt;=4,1,0)</f>
        <v>2026</v>
      </c>
      <c r="C614" s="105">
        <f>YEAR(Table6[[#This Row],[Date]])</f>
        <v>2025</v>
      </c>
      <c r="D614" s="105" t="s">
        <v>465</v>
      </c>
      <c r="E614" s="119">
        <f>Table6[[#This Row],[Date]]-DAY(Table6[[#This Row],[Date]])+1</f>
        <v>45778</v>
      </c>
      <c r="F614" s="118">
        <v>45801</v>
      </c>
      <c r="G614" s="105" t="s">
        <v>106</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473</v>
      </c>
      <c r="N614" s="39" t="s">
        <v>474</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475</v>
      </c>
      <c r="V614" s="351" t="s">
        <v>476</v>
      </c>
      <c r="W614" s="338">
        <f>Table6[[#This Row],[Breakdown Time]]*(1/39)</f>
        <v>1.7094017094017103E-2</v>
      </c>
      <c r="X614" s="336" t="s">
        <v>477</v>
      </c>
      <c r="Y614" s="352" t="s">
        <v>105</v>
      </c>
      <c r="Z614" s="105">
        <v>6457</v>
      </c>
      <c r="AA614" s="107">
        <v>179.3611111111112</v>
      </c>
      <c r="AB614" s="105" t="s">
        <v>472</v>
      </c>
    </row>
    <row r="615" spans="1:28">
      <c r="A615" s="105">
        <f t="shared" si="9"/>
        <v>614</v>
      </c>
      <c r="B615" s="107">
        <f>YEAR(Table6[[#This Row],[Date]])+IF(MONTH(Table6[[#This Row],[Date]])&gt;=4,1,0)</f>
        <v>2026</v>
      </c>
      <c r="C615" s="105">
        <f>YEAR(Table6[[#This Row],[Date]])</f>
        <v>2025</v>
      </c>
      <c r="D615" s="105" t="s">
        <v>465</v>
      </c>
      <c r="E615" s="119">
        <f>Table6[[#This Row],[Date]]-DAY(Table6[[#This Row],[Date]])+1</f>
        <v>45778</v>
      </c>
      <c r="F615" s="118">
        <v>45802</v>
      </c>
      <c r="G615" s="105" t="s">
        <v>103</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466</v>
      </c>
      <c r="L615" s="39" t="str">
        <f>IFERROR(VLOOKUP(Table6[[#This Row],[Error Code]],'Basic Data'!$T:$U,2,0),"")</f>
        <v>Manual Stop - Safety Related</v>
      </c>
      <c r="M615" s="346" t="s">
        <v>467</v>
      </c>
      <c r="N615" s="39" t="s">
        <v>468</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469</v>
      </c>
      <c r="V615" s="351" t="s">
        <v>470</v>
      </c>
      <c r="W615" s="338">
        <f>Table6[[#This Row],[Breakdown Time]]*(1/39)</f>
        <v>0.61495726495726499</v>
      </c>
      <c r="X615" s="336" t="s">
        <v>486</v>
      </c>
      <c r="Y615" s="352" t="s">
        <v>100</v>
      </c>
      <c r="Z615" s="105">
        <v>5528</v>
      </c>
      <c r="AA615" s="107">
        <v>5524.1611111111115</v>
      </c>
      <c r="AB615" s="105" t="s">
        <v>472</v>
      </c>
    </row>
    <row r="616" spans="1:28">
      <c r="A616" s="105">
        <f t="shared" si="9"/>
        <v>615</v>
      </c>
      <c r="B616" s="107">
        <f>YEAR(Table6[[#This Row],[Date]])+IF(MONTH(Table6[[#This Row],[Date]])&gt;=4,1,0)</f>
        <v>2026</v>
      </c>
      <c r="C616" s="105">
        <f>YEAR(Table6[[#This Row],[Date]])</f>
        <v>2025</v>
      </c>
      <c r="D616" s="105" t="s">
        <v>465</v>
      </c>
      <c r="E616" s="119">
        <f>Table6[[#This Row],[Date]]-DAY(Table6[[#This Row],[Date]])+1</f>
        <v>45778</v>
      </c>
      <c r="F616" s="118">
        <v>45802</v>
      </c>
      <c r="G616" s="105" t="s">
        <v>101</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466</v>
      </c>
      <c r="L616" s="39" t="str">
        <f>IFERROR(VLOOKUP(Table6[[#This Row],[Error Code]],'Basic Data'!$T:$U,2,0),"")</f>
        <v>Manual Stop - Safety Related</v>
      </c>
      <c r="M616" s="346" t="s">
        <v>467</v>
      </c>
      <c r="N616" s="39" t="s">
        <v>468</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469</v>
      </c>
      <c r="V616" s="351" t="s">
        <v>470</v>
      </c>
      <c r="W616" s="338">
        <f>Table6[[#This Row],[Breakdown Time]]*(1/39)</f>
        <v>0.61495726495726499</v>
      </c>
      <c r="X616" s="336" t="s">
        <v>486</v>
      </c>
      <c r="Y616" s="352" t="s">
        <v>100</v>
      </c>
      <c r="Z616" s="105">
        <v>5528</v>
      </c>
      <c r="AA616" s="107">
        <v>5524.1611111111115</v>
      </c>
      <c r="AB616" s="105" t="s">
        <v>472</v>
      </c>
    </row>
    <row r="617" spans="1:28">
      <c r="A617" s="105">
        <f t="shared" si="9"/>
        <v>616</v>
      </c>
      <c r="B617" s="107">
        <f>YEAR(Table6[[#This Row],[Date]])+IF(MONTH(Table6[[#This Row],[Date]])&gt;=4,1,0)</f>
        <v>2026</v>
      </c>
      <c r="C617" s="105">
        <f>YEAR(Table6[[#This Row],[Date]])</f>
        <v>2025</v>
      </c>
      <c r="D617" s="105" t="s">
        <v>465</v>
      </c>
      <c r="E617" s="119">
        <f>Table6[[#This Row],[Date]]-DAY(Table6[[#This Row],[Date]])+1</f>
        <v>45778</v>
      </c>
      <c r="F617" s="118">
        <v>45802</v>
      </c>
      <c r="G617" s="105" t="s">
        <v>83</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473</v>
      </c>
      <c r="N617" s="39" t="s">
        <v>474</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475</v>
      </c>
      <c r="V617" s="351" t="s">
        <v>476</v>
      </c>
      <c r="W617" s="338">
        <f>Table6[[#This Row],[Breakdown Time]]*(1/39)</f>
        <v>1.3247863247863268E-2</v>
      </c>
      <c r="X617" s="336" t="s">
        <v>477</v>
      </c>
      <c r="Y617" s="352" t="s">
        <v>84</v>
      </c>
      <c r="Z617" s="105">
        <v>7164</v>
      </c>
      <c r="AA617" s="107">
        <v>154.22500000000025</v>
      </c>
      <c r="AB617" s="105" t="s">
        <v>472</v>
      </c>
    </row>
    <row r="618" spans="1:28">
      <c r="A618" s="105">
        <f t="shared" si="9"/>
        <v>617</v>
      </c>
      <c r="B618" s="107">
        <f>YEAR(Table6[[#This Row],[Date]])+IF(MONTH(Table6[[#This Row],[Date]])&gt;=4,1,0)</f>
        <v>2026</v>
      </c>
      <c r="C618" s="105">
        <f>YEAR(Table6[[#This Row],[Date]])</f>
        <v>2025</v>
      </c>
      <c r="D618" s="105" t="s">
        <v>465</v>
      </c>
      <c r="E618" s="119">
        <f>Table6[[#This Row],[Date]]-DAY(Table6[[#This Row],[Date]])+1</f>
        <v>45778</v>
      </c>
      <c r="F618" s="118">
        <v>45802</v>
      </c>
      <c r="G618" s="105" t="s">
        <v>89</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473</v>
      </c>
      <c r="N618" s="39" t="s">
        <v>474</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484</v>
      </c>
      <c r="V618" s="351" t="s">
        <v>476</v>
      </c>
      <c r="W618" s="338">
        <f>Table6[[#This Row],[Breakdown Time]]*(1/39)</f>
        <v>3.5042735042735036E-2</v>
      </c>
      <c r="X618" s="336" t="s">
        <v>477</v>
      </c>
      <c r="Y618" s="352" t="s">
        <v>88</v>
      </c>
      <c r="Z618" s="105">
        <v>7129</v>
      </c>
      <c r="AA618" s="107">
        <v>405.95694444444439</v>
      </c>
      <c r="AB618" s="105" t="s">
        <v>472</v>
      </c>
    </row>
    <row r="619" spans="1:28">
      <c r="A619" s="105">
        <f t="shared" si="9"/>
        <v>618</v>
      </c>
      <c r="B619" s="107">
        <f>YEAR(Table6[[#This Row],[Date]])+IF(MONTH(Table6[[#This Row],[Date]])&gt;=4,1,0)</f>
        <v>2026</v>
      </c>
      <c r="C619" s="105">
        <f>YEAR(Table6[[#This Row],[Date]])</f>
        <v>2025</v>
      </c>
      <c r="D619" s="105" t="s">
        <v>465</v>
      </c>
      <c r="E619" s="119">
        <f>Table6[[#This Row],[Date]]-DAY(Table6[[#This Row],[Date]])+1</f>
        <v>45778</v>
      </c>
      <c r="F619" s="118">
        <v>45802</v>
      </c>
      <c r="G619" s="105" t="s">
        <v>90</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552</v>
      </c>
      <c r="L619" s="39" t="str">
        <f>IFERROR(VLOOKUP(Table6[[#This Row],[Error Code]],'Basic Data'!$T:$U,2,0),"")</f>
        <v>Manual Stop - Preventive Maintenance Activity</v>
      </c>
      <c r="M619" s="346" t="s">
        <v>553</v>
      </c>
      <c r="N619" s="39" t="s">
        <v>189</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574</v>
      </c>
      <c r="V619" s="351" t="s">
        <v>476</v>
      </c>
      <c r="W619" s="338">
        <f>Table6[[#This Row],[Breakdown Time]]*(1/39)</f>
        <v>0.17991452991452994</v>
      </c>
      <c r="X619" s="336" t="s">
        <v>555</v>
      </c>
      <c r="Y619" s="352" t="s">
        <v>89</v>
      </c>
      <c r="Z619" s="105">
        <v>6898</v>
      </c>
      <c r="AA619" s="107">
        <v>2016.7069444444448</v>
      </c>
      <c r="AB619" s="105" t="s">
        <v>472</v>
      </c>
    </row>
    <row r="620" spans="1:28" ht="14.1" customHeight="1">
      <c r="A620" s="105">
        <f t="shared" si="9"/>
        <v>619</v>
      </c>
      <c r="B620" s="107">
        <f>YEAR(Table6[[#This Row],[Date]])+IF(MONTH(Table6[[#This Row],[Date]])&gt;=4,1,0)</f>
        <v>2026</v>
      </c>
      <c r="C620" s="105">
        <f>YEAR(Table6[[#This Row],[Date]])</f>
        <v>2025</v>
      </c>
      <c r="D620" s="105" t="s">
        <v>465</v>
      </c>
      <c r="E620" s="119">
        <f>Table6[[#This Row],[Date]]-DAY(Table6[[#This Row],[Date]])+1</f>
        <v>45778</v>
      </c>
      <c r="F620" s="118">
        <v>45802</v>
      </c>
      <c r="G620" s="105" t="s">
        <v>104</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466</v>
      </c>
      <c r="L620" s="39" t="str">
        <f>IFERROR(VLOOKUP(Table6[[#This Row],[Error Code]],'Basic Data'!$T:$U,2,0),"")</f>
        <v>Manual Stop - Safety Related</v>
      </c>
      <c r="M620" s="346" t="s">
        <v>467</v>
      </c>
      <c r="N620" s="39" t="s">
        <v>189</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506</v>
      </c>
      <c r="V620" s="351" t="s">
        <v>476</v>
      </c>
      <c r="W620" s="338">
        <f>Table6[[#This Row],[Breakdown Time]]*(1/39)</f>
        <v>3.8034188034188038E-2</v>
      </c>
      <c r="X620" s="336" t="s">
        <v>486</v>
      </c>
      <c r="Y620" s="352" t="s">
        <v>98</v>
      </c>
      <c r="Z620" s="105">
        <v>5842</v>
      </c>
      <c r="AA620" s="107">
        <v>361.06805555555553</v>
      </c>
      <c r="AB620" s="105" t="s">
        <v>472</v>
      </c>
    </row>
    <row r="621" spans="1:28">
      <c r="A621" s="105">
        <f t="shared" si="9"/>
        <v>620</v>
      </c>
      <c r="B621" s="107">
        <f>YEAR(Table6[[#This Row],[Date]])+IF(MONTH(Table6[[#This Row],[Date]])&gt;=4,1,0)</f>
        <v>2026</v>
      </c>
      <c r="C621" s="105">
        <f>YEAR(Table6[[#This Row],[Date]])</f>
        <v>2025</v>
      </c>
      <c r="D621" s="105" t="s">
        <v>465</v>
      </c>
      <c r="E621" s="119">
        <f>Table6[[#This Row],[Date]]-DAY(Table6[[#This Row],[Date]])+1</f>
        <v>45778</v>
      </c>
      <c r="F621" s="118">
        <v>45803</v>
      </c>
      <c r="G621" s="105" t="s">
        <v>103</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466</v>
      </c>
      <c r="L621" s="39" t="str">
        <f>IFERROR(VLOOKUP(Table6[[#This Row],[Error Code]],'Basic Data'!$T:$U,2,0),"")</f>
        <v>Manual Stop - Safety Related</v>
      </c>
      <c r="M621" s="346" t="s">
        <v>467</v>
      </c>
      <c r="N621" s="39" t="s">
        <v>468</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469</v>
      </c>
      <c r="V621" s="351" t="s">
        <v>470</v>
      </c>
      <c r="W621" s="338">
        <f>Table6[[#This Row],[Breakdown Time]]*(1/39)</f>
        <v>0.61495726495726499</v>
      </c>
      <c r="X621" s="336" t="s">
        <v>486</v>
      </c>
      <c r="Y621" s="352" t="s">
        <v>100</v>
      </c>
      <c r="Z621" s="105">
        <v>3649</v>
      </c>
      <c r="AA621" s="107">
        <v>3646.4659722222223</v>
      </c>
      <c r="AB621" s="105" t="s">
        <v>472</v>
      </c>
    </row>
    <row r="622" spans="1:28">
      <c r="A622" s="105">
        <f t="shared" si="9"/>
        <v>621</v>
      </c>
      <c r="B622" s="107">
        <f>YEAR(Table6[[#This Row],[Date]])+IF(MONTH(Table6[[#This Row],[Date]])&gt;=4,1,0)</f>
        <v>2026</v>
      </c>
      <c r="C622" s="105">
        <f>YEAR(Table6[[#This Row],[Date]])</f>
        <v>2025</v>
      </c>
      <c r="D622" s="105" t="s">
        <v>465</v>
      </c>
      <c r="E622" s="119">
        <f>Table6[[#This Row],[Date]]-DAY(Table6[[#This Row],[Date]])+1</f>
        <v>45778</v>
      </c>
      <c r="F622" s="118">
        <v>45803</v>
      </c>
      <c r="G622" s="105" t="s">
        <v>101</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466</v>
      </c>
      <c r="L622" s="39" t="str">
        <f>IFERROR(VLOOKUP(Table6[[#This Row],[Error Code]],'Basic Data'!$T:$U,2,0),"")</f>
        <v>Manual Stop - Safety Related</v>
      </c>
      <c r="M622" s="346" t="s">
        <v>467</v>
      </c>
      <c r="N622" s="39" t="s">
        <v>468</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469</v>
      </c>
      <c r="V622" s="351" t="s">
        <v>470</v>
      </c>
      <c r="W622" s="338">
        <f>Table6[[#This Row],[Breakdown Time]]*(1/39)</f>
        <v>0.61495726495726499</v>
      </c>
      <c r="X622" s="336" t="s">
        <v>486</v>
      </c>
      <c r="Y622" s="352" t="s">
        <v>100</v>
      </c>
      <c r="Z622" s="105">
        <v>3649</v>
      </c>
      <c r="AA622" s="107">
        <v>3646.4659722222223</v>
      </c>
      <c r="AB622" s="105" t="s">
        <v>472</v>
      </c>
    </row>
    <row r="623" spans="1:28">
      <c r="A623" s="105">
        <f t="shared" si="9"/>
        <v>622</v>
      </c>
      <c r="B623" s="107">
        <f>YEAR(Table6[[#This Row],[Date]])+IF(MONTH(Table6[[#This Row],[Date]])&gt;=4,1,0)</f>
        <v>2026</v>
      </c>
      <c r="C623" s="105">
        <f>YEAR(Table6[[#This Row],[Date]])</f>
        <v>2025</v>
      </c>
      <c r="D623" s="105" t="s">
        <v>465</v>
      </c>
      <c r="E623" s="119">
        <f>Table6[[#This Row],[Date]]-DAY(Table6[[#This Row],[Date]])+1</f>
        <v>45778</v>
      </c>
      <c r="F623" s="118">
        <v>45803</v>
      </c>
      <c r="G623" s="105" t="s">
        <v>77</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473</v>
      </c>
      <c r="N623" s="39" t="s">
        <v>474</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475</v>
      </c>
      <c r="V623" s="351" t="s">
        <v>476</v>
      </c>
      <c r="W623" s="338">
        <f>Table6[[#This Row],[Breakdown Time]]*(1/39)</f>
        <v>2.5641025641025616E-2</v>
      </c>
      <c r="X623" s="336" t="s">
        <v>477</v>
      </c>
      <c r="Y623" s="352" t="s">
        <v>76</v>
      </c>
      <c r="Z623" s="105">
        <v>4421</v>
      </c>
      <c r="AA623" s="107">
        <v>184.20833333333317</v>
      </c>
      <c r="AB623" s="105" t="s">
        <v>472</v>
      </c>
    </row>
    <row r="624" spans="1:28">
      <c r="A624" s="105">
        <f t="shared" si="9"/>
        <v>623</v>
      </c>
      <c r="B624" s="107">
        <f>YEAR(Table6[[#This Row],[Date]])+IF(MONTH(Table6[[#This Row],[Date]])&gt;=4,1,0)</f>
        <v>2026</v>
      </c>
      <c r="C624" s="105">
        <f>YEAR(Table6[[#This Row],[Date]])</f>
        <v>2025</v>
      </c>
      <c r="D624" s="105" t="s">
        <v>465</v>
      </c>
      <c r="E624" s="119">
        <f>Table6[[#This Row],[Date]]-DAY(Table6[[#This Row],[Date]])+1</f>
        <v>45778</v>
      </c>
      <c r="F624" s="118">
        <v>45803</v>
      </c>
      <c r="G624" s="105" t="s">
        <v>91</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552</v>
      </c>
      <c r="L624" s="39" t="str">
        <f>IFERROR(VLOOKUP(Table6[[#This Row],[Error Code]],'Basic Data'!$T:$U,2,0),"")</f>
        <v>Manual Stop - Preventive Maintenance Activity</v>
      </c>
      <c r="M624" s="346" t="s">
        <v>553</v>
      </c>
      <c r="N624" s="39" t="s">
        <v>189</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574</v>
      </c>
      <c r="V624" s="351" t="s">
        <v>476</v>
      </c>
      <c r="W624" s="338">
        <f>Table6[[#This Row],[Breakdown Time]]*(1/39)</f>
        <v>0.1735042735042735</v>
      </c>
      <c r="X624" s="336" t="s">
        <v>555</v>
      </c>
      <c r="Y624" s="352" t="s">
        <v>90</v>
      </c>
      <c r="Z624" s="105">
        <v>3753</v>
      </c>
      <c r="AA624" s="107">
        <v>1058.1375</v>
      </c>
      <c r="AB624" s="105" t="s">
        <v>472</v>
      </c>
    </row>
    <row r="625" spans="1:28">
      <c r="A625" s="105">
        <f t="shared" si="9"/>
        <v>624</v>
      </c>
      <c r="B625" s="107">
        <f>YEAR(Table6[[#This Row],[Date]])+IF(MONTH(Table6[[#This Row],[Date]])&gt;=4,1,0)</f>
        <v>2026</v>
      </c>
      <c r="C625" s="105">
        <f>YEAR(Table6[[#This Row],[Date]])</f>
        <v>2025</v>
      </c>
      <c r="D625" s="105" t="s">
        <v>465</v>
      </c>
      <c r="E625" s="119">
        <f>Table6[[#This Row],[Date]]-DAY(Table6[[#This Row],[Date]])+1</f>
        <v>45778</v>
      </c>
      <c r="F625" s="118">
        <v>45803</v>
      </c>
      <c r="G625" s="105" t="s">
        <v>92</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552</v>
      </c>
      <c r="L625" s="39" t="str">
        <f>IFERROR(VLOOKUP(Table6[[#This Row],[Error Code]],'Basic Data'!$T:$U,2,0),"")</f>
        <v>Manual Stop - Preventive Maintenance Activity</v>
      </c>
      <c r="M625" s="346" t="s">
        <v>553</v>
      </c>
      <c r="N625" s="39" t="s">
        <v>189</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574</v>
      </c>
      <c r="V625" s="351" t="s">
        <v>476</v>
      </c>
      <c r="W625" s="338">
        <f>Table6[[#This Row],[Breakdown Time]]*(1/39)</f>
        <v>0.17692307692307691</v>
      </c>
      <c r="X625" s="336" t="s">
        <v>555</v>
      </c>
      <c r="Y625" s="352" t="s">
        <v>93</v>
      </c>
      <c r="Z625" s="105">
        <v>3758</v>
      </c>
      <c r="AA625" s="107">
        <v>1080.425</v>
      </c>
      <c r="AB625" s="105" t="s">
        <v>472</v>
      </c>
    </row>
    <row r="626" spans="1:28">
      <c r="A626" s="105">
        <f t="shared" si="9"/>
        <v>625</v>
      </c>
      <c r="B626" s="107">
        <f>YEAR(Table6[[#This Row],[Date]])+IF(MONTH(Table6[[#This Row],[Date]])&gt;=4,1,0)</f>
        <v>2026</v>
      </c>
      <c r="C626" s="105">
        <f>YEAR(Table6[[#This Row],[Date]])</f>
        <v>2025</v>
      </c>
      <c r="D626" s="105" t="s">
        <v>465</v>
      </c>
      <c r="E626" s="119">
        <f>Table6[[#This Row],[Date]]-DAY(Table6[[#This Row],[Date]])+1</f>
        <v>45778</v>
      </c>
      <c r="F626" s="118">
        <v>45803</v>
      </c>
      <c r="G626" s="105" t="s">
        <v>97</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473</v>
      </c>
      <c r="N626" s="39" t="s">
        <v>474</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616</v>
      </c>
      <c r="V626" s="351" t="s">
        <v>476</v>
      </c>
      <c r="W626" s="338">
        <f>Table6[[#This Row],[Breakdown Time]]*(1/39)</f>
        <v>5.4700854700854708E-2</v>
      </c>
      <c r="X626" s="336" t="s">
        <v>477</v>
      </c>
      <c r="Y626" s="352" t="s">
        <v>99</v>
      </c>
      <c r="Z626" s="105">
        <v>3652</v>
      </c>
      <c r="AA626" s="107">
        <v>324.62222222222226</v>
      </c>
      <c r="AB626" s="105" t="s">
        <v>472</v>
      </c>
    </row>
    <row r="627" spans="1:28">
      <c r="A627" s="105">
        <f t="shared" si="9"/>
        <v>626</v>
      </c>
      <c r="B627" s="107">
        <f>YEAR(Table6[[#This Row],[Date]])+IF(MONTH(Table6[[#This Row],[Date]])&gt;=4,1,0)</f>
        <v>2026</v>
      </c>
      <c r="C627" s="105">
        <f>YEAR(Table6[[#This Row],[Date]])</f>
        <v>2025</v>
      </c>
      <c r="D627" s="105" t="s">
        <v>465</v>
      </c>
      <c r="E627" s="119">
        <f>Table6[[#This Row],[Date]]-DAY(Table6[[#This Row],[Date]])+1</f>
        <v>45778</v>
      </c>
      <c r="F627" s="118">
        <v>45803</v>
      </c>
      <c r="G627" s="105" t="s">
        <v>97</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473</v>
      </c>
      <c r="N627" s="39" t="s">
        <v>474</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489</v>
      </c>
      <c r="V627" s="351" t="s">
        <v>470</v>
      </c>
      <c r="W627" s="338">
        <f>Table6[[#This Row],[Breakdown Time]]*(1/39)</f>
        <v>1.837606837606838E-2</v>
      </c>
      <c r="X627" s="336" t="s">
        <v>477</v>
      </c>
      <c r="Y627" s="352" t="s">
        <v>99</v>
      </c>
      <c r="Z627" s="105">
        <v>3652</v>
      </c>
      <c r="AA627" s="107">
        <v>109.05277777777779</v>
      </c>
      <c r="AB627" s="105" t="s">
        <v>472</v>
      </c>
    </row>
    <row r="628" spans="1:28">
      <c r="A628" s="105">
        <f t="shared" si="9"/>
        <v>627</v>
      </c>
      <c r="B628" s="107">
        <f>YEAR(Table6[[#This Row],[Date]])+IF(MONTH(Table6[[#This Row],[Date]])&gt;=4,1,0)</f>
        <v>2026</v>
      </c>
      <c r="C628" s="105">
        <f>YEAR(Table6[[#This Row],[Date]])</f>
        <v>2025</v>
      </c>
      <c r="D628" s="105" t="s">
        <v>465</v>
      </c>
      <c r="E628" s="119">
        <f>Table6[[#This Row],[Date]]-DAY(Table6[[#This Row],[Date]])+1</f>
        <v>45778</v>
      </c>
      <c r="F628" s="118">
        <v>45803</v>
      </c>
      <c r="G628" s="105" t="s">
        <v>102</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473</v>
      </c>
      <c r="N628" s="39" t="s">
        <v>474</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566</v>
      </c>
      <c r="V628" s="351" t="s">
        <v>476</v>
      </c>
      <c r="W628" s="338">
        <f>Table6[[#This Row],[Breakdown Time]]*(1/39)</f>
        <v>3.2051282051282007E-2</v>
      </c>
      <c r="X628" s="336" t="s">
        <v>477</v>
      </c>
      <c r="Y628" s="352" t="s">
        <v>100</v>
      </c>
      <c r="Z628" s="105">
        <v>3649</v>
      </c>
      <c r="AA628" s="107">
        <v>190.05208333333306</v>
      </c>
      <c r="AB628" s="105" t="s">
        <v>472</v>
      </c>
    </row>
    <row r="629" spans="1:28">
      <c r="A629" s="105">
        <f t="shared" si="9"/>
        <v>628</v>
      </c>
      <c r="B629" s="107">
        <f>YEAR(Table6[[#This Row],[Date]])+IF(MONTH(Table6[[#This Row],[Date]])&gt;=4,1,0)</f>
        <v>2026</v>
      </c>
      <c r="C629" s="105">
        <f>YEAR(Table6[[#This Row],[Date]])</f>
        <v>2025</v>
      </c>
      <c r="D629" s="105" t="s">
        <v>465</v>
      </c>
      <c r="E629" s="119">
        <f>Table6[[#This Row],[Date]]-DAY(Table6[[#This Row],[Date]])+1</f>
        <v>45778</v>
      </c>
      <c r="F629" s="118">
        <v>45803</v>
      </c>
      <c r="G629" s="105" t="s">
        <v>112</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473</v>
      </c>
      <c r="N629" s="39" t="s">
        <v>474</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475</v>
      </c>
      <c r="V629" s="351" t="s">
        <v>476</v>
      </c>
      <c r="W629" s="338">
        <f>Table6[[#This Row],[Breakdown Time]]*(1/39)</f>
        <v>2.5641025641025616E-2</v>
      </c>
      <c r="X629" s="336" t="s">
        <v>477</v>
      </c>
      <c r="Y629" s="352" t="s">
        <v>111</v>
      </c>
      <c r="Z629" s="105">
        <v>3529</v>
      </c>
      <c r="AA629" s="107">
        <v>147.04166666666652</v>
      </c>
      <c r="AB629" s="105" t="s">
        <v>472</v>
      </c>
    </row>
    <row r="630" spans="1:28">
      <c r="A630" s="105">
        <f t="shared" si="9"/>
        <v>629</v>
      </c>
      <c r="B630" s="107">
        <f>YEAR(Table6[[#This Row],[Date]])+IF(MONTH(Table6[[#This Row],[Date]])&gt;=4,1,0)</f>
        <v>2026</v>
      </c>
      <c r="C630" s="105">
        <f>YEAR(Table6[[#This Row],[Date]])</f>
        <v>2025</v>
      </c>
      <c r="D630" s="105" t="s">
        <v>465</v>
      </c>
      <c r="E630" s="119">
        <f>Table6[[#This Row],[Date]]-DAY(Table6[[#This Row],[Date]])+1</f>
        <v>45778</v>
      </c>
      <c r="F630" s="118">
        <v>45804</v>
      </c>
      <c r="G630" s="105" t="s">
        <v>103</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466</v>
      </c>
      <c r="L630" s="39" t="str">
        <f>IFERROR(VLOOKUP(Table6[[#This Row],[Error Code]],'Basic Data'!$T:$U,2,0),"")</f>
        <v>Manual Stop - Safety Related</v>
      </c>
      <c r="M630" s="346" t="s">
        <v>467</v>
      </c>
      <c r="N630" s="39" t="s">
        <v>468</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469</v>
      </c>
      <c r="V630" s="351" t="s">
        <v>470</v>
      </c>
      <c r="W630" s="338">
        <f>Table6[[#This Row],[Breakdown Time]]*(1/39)</f>
        <v>0.61495726495726499</v>
      </c>
      <c r="X630" s="336" t="s">
        <v>486</v>
      </c>
      <c r="Y630" s="352" t="s">
        <v>100</v>
      </c>
      <c r="Z630" s="105">
        <v>11859</v>
      </c>
      <c r="AA630" s="107">
        <v>11850.764583333334</v>
      </c>
      <c r="AB630" s="105" t="s">
        <v>472</v>
      </c>
    </row>
    <row r="631" spans="1:28">
      <c r="A631" s="105">
        <f t="shared" si="9"/>
        <v>630</v>
      </c>
      <c r="B631" s="107">
        <f>YEAR(Table6[[#This Row],[Date]])+IF(MONTH(Table6[[#This Row],[Date]])&gt;=4,1,0)</f>
        <v>2026</v>
      </c>
      <c r="C631" s="105">
        <f>YEAR(Table6[[#This Row],[Date]])</f>
        <v>2025</v>
      </c>
      <c r="D631" s="105" t="s">
        <v>465</v>
      </c>
      <c r="E631" s="119">
        <f>Table6[[#This Row],[Date]]-DAY(Table6[[#This Row],[Date]])+1</f>
        <v>45778</v>
      </c>
      <c r="F631" s="118">
        <v>45804</v>
      </c>
      <c r="G631" s="105" t="s">
        <v>101</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466</v>
      </c>
      <c r="L631" s="39" t="str">
        <f>IFERROR(VLOOKUP(Table6[[#This Row],[Error Code]],'Basic Data'!$T:$U,2,0),"")</f>
        <v>Manual Stop - Safety Related</v>
      </c>
      <c r="M631" s="346" t="s">
        <v>467</v>
      </c>
      <c r="N631" s="39" t="s">
        <v>468</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469</v>
      </c>
      <c r="V631" s="351" t="s">
        <v>470</v>
      </c>
      <c r="W631" s="338">
        <f>Table6[[#This Row],[Breakdown Time]]*(1/39)</f>
        <v>0.61495726495726499</v>
      </c>
      <c r="X631" s="336" t="s">
        <v>486</v>
      </c>
      <c r="Y631" s="352" t="s">
        <v>100</v>
      </c>
      <c r="Z631" s="105">
        <v>11859</v>
      </c>
      <c r="AA631" s="107">
        <v>11850.764583333334</v>
      </c>
      <c r="AB631" s="105" t="s">
        <v>472</v>
      </c>
    </row>
    <row r="632" spans="1:28">
      <c r="A632" s="105">
        <f t="shared" si="9"/>
        <v>631</v>
      </c>
      <c r="B632" s="107">
        <f>YEAR(Table6[[#This Row],[Date]])+IF(MONTH(Table6[[#This Row],[Date]])&gt;=4,1,0)</f>
        <v>2026</v>
      </c>
      <c r="C632" s="105">
        <f>YEAR(Table6[[#This Row],[Date]])</f>
        <v>2025</v>
      </c>
      <c r="D632" s="105" t="s">
        <v>465</v>
      </c>
      <c r="E632" s="119">
        <f>Table6[[#This Row],[Date]]-DAY(Table6[[#This Row],[Date]])+1</f>
        <v>45778</v>
      </c>
      <c r="F632" s="118">
        <v>45804</v>
      </c>
      <c r="G632" s="105" t="s">
        <v>74</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473</v>
      </c>
      <c r="N632" s="39" t="s">
        <v>474</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617</v>
      </c>
      <c r="V632" s="351" t="s">
        <v>476</v>
      </c>
      <c r="W632" s="338">
        <f>Table6[[#This Row],[Breakdown Time]]*(1/39)</f>
        <v>0.10641025641025643</v>
      </c>
      <c r="X632" s="336" t="s">
        <v>477</v>
      </c>
      <c r="Y632" s="352" t="s">
        <v>80</v>
      </c>
      <c r="Z632" s="105">
        <v>10615</v>
      </c>
      <c r="AA632" s="107">
        <v>1835.5104166666672</v>
      </c>
      <c r="AB632" s="105" t="s">
        <v>472</v>
      </c>
    </row>
    <row r="633" spans="1:28">
      <c r="A633" s="105">
        <f t="shared" si="9"/>
        <v>632</v>
      </c>
      <c r="B633" s="107">
        <f>YEAR(Table6[[#This Row],[Date]])+IF(MONTH(Table6[[#This Row],[Date]])&gt;=4,1,0)</f>
        <v>2026</v>
      </c>
      <c r="C633" s="105">
        <f>YEAR(Table6[[#This Row],[Date]])</f>
        <v>2025</v>
      </c>
      <c r="D633" s="105" t="s">
        <v>465</v>
      </c>
      <c r="E633" s="119">
        <f>Table6[[#This Row],[Date]]-DAY(Table6[[#This Row],[Date]])+1</f>
        <v>45778</v>
      </c>
      <c r="F633" s="118">
        <v>45804</v>
      </c>
      <c r="G633" s="105" t="s">
        <v>77</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618</v>
      </c>
      <c r="L633" s="39" t="str">
        <f>IFERROR(VLOOKUP(Table6[[#This Row],[Error Code]],'Basic Data'!$T:$U,2,0),"")</f>
        <v>Manual Stop - Audit</v>
      </c>
      <c r="M633" s="346" t="s">
        <v>576</v>
      </c>
      <c r="N633" s="39" t="s">
        <v>189</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619</v>
      </c>
      <c r="V633" s="351" t="s">
        <v>476</v>
      </c>
      <c r="W633" s="338">
        <f>Table6[[#This Row],[Breakdown Time]]*(1/39)</f>
        <v>3.8461538461538464E-2</v>
      </c>
      <c r="X633" s="336" t="s">
        <v>501</v>
      </c>
      <c r="Y633" s="352" t="s">
        <v>76</v>
      </c>
      <c r="Z633" s="105">
        <v>10623</v>
      </c>
      <c r="AA633" s="107">
        <v>663.9375</v>
      </c>
      <c r="AB633" s="105" t="s">
        <v>472</v>
      </c>
    </row>
    <row r="634" spans="1:28">
      <c r="A634" s="105">
        <f t="shared" si="9"/>
        <v>633</v>
      </c>
      <c r="B634" s="107">
        <f>YEAR(Table6[[#This Row],[Date]])+IF(MONTH(Table6[[#This Row],[Date]])&gt;=4,1,0)</f>
        <v>2026</v>
      </c>
      <c r="C634" s="105">
        <f>YEAR(Table6[[#This Row],[Date]])</f>
        <v>2025</v>
      </c>
      <c r="D634" s="105" t="s">
        <v>465</v>
      </c>
      <c r="E634" s="119">
        <f>Table6[[#This Row],[Date]]-DAY(Table6[[#This Row],[Date]])+1</f>
        <v>45778</v>
      </c>
      <c r="F634" s="118">
        <v>45804</v>
      </c>
      <c r="G634" s="105" t="s">
        <v>79</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618</v>
      </c>
      <c r="L634" s="39" t="str">
        <f>IFERROR(VLOOKUP(Table6[[#This Row],[Error Code]],'Basic Data'!$T:$U,2,0),"")</f>
        <v>Manual Stop - Audit</v>
      </c>
      <c r="M634" s="346" t="s">
        <v>576</v>
      </c>
      <c r="N634" s="39" t="s">
        <v>189</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619</v>
      </c>
      <c r="V634" s="351" t="s">
        <v>476</v>
      </c>
      <c r="W634" s="338">
        <f>Table6[[#This Row],[Breakdown Time]]*(1/39)</f>
        <v>4.7008547008546973E-2</v>
      </c>
      <c r="X634" s="336" t="s">
        <v>501</v>
      </c>
      <c r="Y634" s="352" t="s">
        <v>76</v>
      </c>
      <c r="Z634" s="105">
        <v>10623</v>
      </c>
      <c r="AA634" s="107">
        <v>811.47916666666617</v>
      </c>
      <c r="AB634" s="105" t="s">
        <v>472</v>
      </c>
    </row>
    <row r="635" spans="1:28">
      <c r="A635" s="105">
        <f t="shared" si="9"/>
        <v>634</v>
      </c>
      <c r="B635" s="107">
        <f>YEAR(Table6[[#This Row],[Date]])+IF(MONTH(Table6[[#This Row],[Date]])&gt;=4,1,0)</f>
        <v>2026</v>
      </c>
      <c r="C635" s="105">
        <f>YEAR(Table6[[#This Row],[Date]])</f>
        <v>2025</v>
      </c>
      <c r="D635" s="105" t="s">
        <v>465</v>
      </c>
      <c r="E635" s="119">
        <f>Table6[[#This Row],[Date]]-DAY(Table6[[#This Row],[Date]])+1</f>
        <v>45778</v>
      </c>
      <c r="F635" s="118">
        <v>45804</v>
      </c>
      <c r="G635" s="105" t="s">
        <v>93</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552</v>
      </c>
      <c r="L635" s="39" t="str">
        <f>IFERROR(VLOOKUP(Table6[[#This Row],[Error Code]],'Basic Data'!$T:$U,2,0),"")</f>
        <v>Manual Stop - Preventive Maintenance Activity</v>
      </c>
      <c r="M635" s="346" t="s">
        <v>553</v>
      </c>
      <c r="N635" s="39" t="s">
        <v>189</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574</v>
      </c>
      <c r="V635" s="351" t="s">
        <v>476</v>
      </c>
      <c r="W635" s="338">
        <f>Table6[[#This Row],[Breakdown Time]]*(1/39)</f>
        <v>0.17820512820512824</v>
      </c>
      <c r="X635" s="336" t="s">
        <v>555</v>
      </c>
      <c r="Y635" s="352" t="s">
        <v>92</v>
      </c>
      <c r="Z635" s="105">
        <v>14782</v>
      </c>
      <c r="AA635" s="107">
        <v>4280.6208333333334</v>
      </c>
      <c r="AB635" s="105" t="s">
        <v>472</v>
      </c>
    </row>
    <row r="636" spans="1:28">
      <c r="A636" s="105">
        <f t="shared" si="9"/>
        <v>635</v>
      </c>
      <c r="B636" s="107">
        <f>YEAR(Table6[[#This Row],[Date]])+IF(MONTH(Table6[[#This Row],[Date]])&gt;=4,1,0)</f>
        <v>2026</v>
      </c>
      <c r="C636" s="105">
        <f>YEAR(Table6[[#This Row],[Date]])</f>
        <v>2025</v>
      </c>
      <c r="D636" s="105" t="s">
        <v>465</v>
      </c>
      <c r="E636" s="119">
        <f>Table6[[#This Row],[Date]]-DAY(Table6[[#This Row],[Date]])+1</f>
        <v>45778</v>
      </c>
      <c r="F636" s="118">
        <v>45804</v>
      </c>
      <c r="G636" s="105" t="s">
        <v>97</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473</v>
      </c>
      <c r="N636" s="39" t="s">
        <v>474</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503</v>
      </c>
      <c r="V636" s="351" t="s">
        <v>476</v>
      </c>
      <c r="W636" s="338">
        <f>Table6[[#This Row],[Breakdown Time]]*(1/39)</f>
        <v>3.3333333333333333E-2</v>
      </c>
      <c r="X636" s="336" t="s">
        <v>477</v>
      </c>
      <c r="Y636" s="352" t="s">
        <v>99</v>
      </c>
      <c r="Z636" s="105">
        <v>11852</v>
      </c>
      <c r="AA636" s="107">
        <v>641.98333333333335</v>
      </c>
      <c r="AB636" s="105" t="s">
        <v>472</v>
      </c>
    </row>
    <row r="637" spans="1:28">
      <c r="A637" s="105">
        <f t="shared" si="9"/>
        <v>636</v>
      </c>
      <c r="B637" s="107">
        <f>YEAR(Table6[[#This Row],[Date]])+IF(MONTH(Table6[[#This Row],[Date]])&gt;=4,1,0)</f>
        <v>2026</v>
      </c>
      <c r="C637" s="105">
        <f>YEAR(Table6[[#This Row],[Date]])</f>
        <v>2025</v>
      </c>
      <c r="D637" s="105" t="s">
        <v>465</v>
      </c>
      <c r="E637" s="119">
        <f>Table6[[#This Row],[Date]]-DAY(Table6[[#This Row],[Date]])+1</f>
        <v>45778</v>
      </c>
      <c r="F637" s="118">
        <v>45804</v>
      </c>
      <c r="G637" s="105" t="s">
        <v>102</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618</v>
      </c>
      <c r="L637" s="39" t="str">
        <f>IFERROR(VLOOKUP(Table6[[#This Row],[Error Code]],'Basic Data'!$T:$U,2,0),"")</f>
        <v>Manual Stop - Audit</v>
      </c>
      <c r="M637" s="346" t="s">
        <v>576</v>
      </c>
      <c r="N637" s="39" t="s">
        <v>189</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619</v>
      </c>
      <c r="V637" s="351" t="s">
        <v>476</v>
      </c>
      <c r="W637" s="338">
        <f>Table6[[#This Row],[Breakdown Time]]*(1/39)</f>
        <v>3.4188034188034205E-2</v>
      </c>
      <c r="X637" s="336" t="s">
        <v>501</v>
      </c>
      <c r="Y637" s="352" t="s">
        <v>100</v>
      </c>
      <c r="Z637" s="105">
        <v>11859</v>
      </c>
      <c r="AA637" s="107">
        <v>658.8333333333336</v>
      </c>
      <c r="AB637" s="105" t="s">
        <v>472</v>
      </c>
    </row>
    <row r="638" spans="1:28">
      <c r="A638" s="105">
        <f t="shared" si="9"/>
        <v>637</v>
      </c>
      <c r="B638" s="107">
        <f>YEAR(Table6[[#This Row],[Date]])+IF(MONTH(Table6[[#This Row],[Date]])&gt;=4,1,0)</f>
        <v>2026</v>
      </c>
      <c r="C638" s="105">
        <f>YEAR(Table6[[#This Row],[Date]])</f>
        <v>2025</v>
      </c>
      <c r="D638" s="105" t="s">
        <v>465</v>
      </c>
      <c r="E638" s="119">
        <f>Table6[[#This Row],[Date]]-DAY(Table6[[#This Row],[Date]])+1</f>
        <v>45778</v>
      </c>
      <c r="F638" s="118">
        <v>45804</v>
      </c>
      <c r="G638" s="105" t="s">
        <v>105</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618</v>
      </c>
      <c r="L638" s="39" t="str">
        <f>IFERROR(VLOOKUP(Table6[[#This Row],[Error Code]],'Basic Data'!$T:$U,2,0),"")</f>
        <v>Manual Stop - Audit</v>
      </c>
      <c r="M638" s="346" t="s">
        <v>576</v>
      </c>
      <c r="N638" s="39" t="s">
        <v>189</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619</v>
      </c>
      <c r="V638" s="351" t="s">
        <v>476</v>
      </c>
      <c r="W638" s="338">
        <f>Table6[[#This Row],[Breakdown Time]]*(1/39)</f>
        <v>2.9914529914529874E-2</v>
      </c>
      <c r="X638" s="336" t="s">
        <v>501</v>
      </c>
      <c r="Y638" s="352" t="s">
        <v>106</v>
      </c>
      <c r="Z638" s="105">
        <v>10421</v>
      </c>
      <c r="AA638" s="107">
        <v>506.57638888888823</v>
      </c>
      <c r="AB638" s="105" t="s">
        <v>472</v>
      </c>
    </row>
    <row r="639" spans="1:28">
      <c r="A639" s="105">
        <f t="shared" si="9"/>
        <v>638</v>
      </c>
      <c r="B639" s="107">
        <f>YEAR(Table6[[#This Row],[Date]])+IF(MONTH(Table6[[#This Row],[Date]])&gt;=4,1,0)</f>
        <v>2026</v>
      </c>
      <c r="C639" s="105">
        <f>YEAR(Table6[[#This Row],[Date]])</f>
        <v>2025</v>
      </c>
      <c r="D639" s="105" t="s">
        <v>465</v>
      </c>
      <c r="E639" s="119">
        <f>Table6[[#This Row],[Date]]-DAY(Table6[[#This Row],[Date]])+1</f>
        <v>45778</v>
      </c>
      <c r="F639" s="118">
        <v>45805</v>
      </c>
      <c r="G639" s="105" t="s">
        <v>103</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466</v>
      </c>
      <c r="L639" s="39" t="str">
        <f>IFERROR(VLOOKUP(Table6[[#This Row],[Error Code]],'Basic Data'!$T:$U,2,0),"")</f>
        <v>Manual Stop - Safety Related</v>
      </c>
      <c r="M639" s="346" t="s">
        <v>467</v>
      </c>
      <c r="N639" s="39" t="s">
        <v>468</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469</v>
      </c>
      <c r="V639" s="351" t="s">
        <v>470</v>
      </c>
      <c r="W639" s="338">
        <f>Table6[[#This Row],[Breakdown Time]]*(1/39)</f>
        <v>0.61495726495726499</v>
      </c>
      <c r="X639" s="336" t="s">
        <v>486</v>
      </c>
      <c r="Y639" s="352" t="s">
        <v>100</v>
      </c>
      <c r="Z639" s="105">
        <v>9969</v>
      </c>
      <c r="AA639" s="107">
        <v>9962.0770833333336</v>
      </c>
      <c r="AB639" s="105" t="s">
        <v>472</v>
      </c>
    </row>
    <row r="640" spans="1:28">
      <c r="A640" s="105">
        <f t="shared" si="9"/>
        <v>639</v>
      </c>
      <c r="B640" s="107">
        <f>YEAR(Table6[[#This Row],[Date]])+IF(MONTH(Table6[[#This Row],[Date]])&gt;=4,1,0)</f>
        <v>2026</v>
      </c>
      <c r="C640" s="105">
        <f>YEAR(Table6[[#This Row],[Date]])</f>
        <v>2025</v>
      </c>
      <c r="D640" s="105" t="s">
        <v>465</v>
      </c>
      <c r="E640" s="119">
        <f>Table6[[#This Row],[Date]]-DAY(Table6[[#This Row],[Date]])+1</f>
        <v>45778</v>
      </c>
      <c r="F640" s="118">
        <v>45805</v>
      </c>
      <c r="G640" s="105" t="s">
        <v>101</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466</v>
      </c>
      <c r="L640" s="39" t="str">
        <f>IFERROR(VLOOKUP(Table6[[#This Row],[Error Code]],'Basic Data'!$T:$U,2,0),"")</f>
        <v>Manual Stop - Safety Related</v>
      </c>
      <c r="M640" s="346" t="s">
        <v>467</v>
      </c>
      <c r="N640" s="39" t="s">
        <v>468</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469</v>
      </c>
      <c r="V640" s="351" t="s">
        <v>470</v>
      </c>
      <c r="W640" s="338">
        <f>Table6[[#This Row],[Breakdown Time]]*(1/39)</f>
        <v>0.61495726495726499</v>
      </c>
      <c r="X640" s="336" t="s">
        <v>486</v>
      </c>
      <c r="Y640" s="352" t="s">
        <v>100</v>
      </c>
      <c r="Z640" s="105">
        <v>9969</v>
      </c>
      <c r="AA640" s="107">
        <v>9962.0770833333336</v>
      </c>
      <c r="AB640" s="105" t="s">
        <v>472</v>
      </c>
    </row>
    <row r="641" spans="1:28">
      <c r="A641" s="105">
        <f t="shared" si="9"/>
        <v>640</v>
      </c>
      <c r="B641" s="107">
        <f>YEAR(Table6[[#This Row],[Date]])+IF(MONTH(Table6[[#This Row],[Date]])&gt;=4,1,0)</f>
        <v>2026</v>
      </c>
      <c r="C641" s="105">
        <f>YEAR(Table6[[#This Row],[Date]])</f>
        <v>2025</v>
      </c>
      <c r="D641" s="105" t="s">
        <v>465</v>
      </c>
      <c r="E641" s="119">
        <f>Table6[[#This Row],[Date]]-DAY(Table6[[#This Row],[Date]])+1</f>
        <v>45778</v>
      </c>
      <c r="F641" s="118">
        <v>45805</v>
      </c>
      <c r="G641" s="105" t="s">
        <v>74</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473</v>
      </c>
      <c r="N641" s="39" t="s">
        <v>474</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620</v>
      </c>
      <c r="V641" s="351" t="s">
        <v>476</v>
      </c>
      <c r="W641" s="338">
        <f>Table6[[#This Row],[Breakdown Time]]*(1/39)</f>
        <v>0.41452991452991456</v>
      </c>
      <c r="X641" s="336" t="s">
        <v>477</v>
      </c>
      <c r="Y641" s="352" t="s">
        <v>80</v>
      </c>
      <c r="Z641" s="105">
        <v>15953</v>
      </c>
      <c r="AA641" s="107">
        <v>10746.118055555557</v>
      </c>
      <c r="AB641" s="105" t="s">
        <v>472</v>
      </c>
    </row>
    <row r="642" spans="1:28">
      <c r="A642" s="105">
        <f t="shared" si="9"/>
        <v>641</v>
      </c>
      <c r="B642" s="107">
        <f>YEAR(Table6[[#This Row],[Date]])+IF(MONTH(Table6[[#This Row],[Date]])&gt;=4,1,0)</f>
        <v>2026</v>
      </c>
      <c r="C642" s="105">
        <f>YEAR(Table6[[#This Row],[Date]])</f>
        <v>2025</v>
      </c>
      <c r="D642" s="105" t="s">
        <v>465</v>
      </c>
      <c r="E642" s="119">
        <f>Table6[[#This Row],[Date]]-DAY(Table6[[#This Row],[Date]])+1</f>
        <v>45778</v>
      </c>
      <c r="F642" s="118">
        <v>45805</v>
      </c>
      <c r="G642" s="105" t="s">
        <v>80</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473</v>
      </c>
      <c r="N642" s="39" t="s">
        <v>474</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475</v>
      </c>
      <c r="V642" s="351" t="s">
        <v>476</v>
      </c>
      <c r="W642" s="338">
        <f>Table6[[#This Row],[Breakdown Time]]*(1/39)</f>
        <v>1.3675213675213677E-2</v>
      </c>
      <c r="X642" s="336" t="s">
        <v>477</v>
      </c>
      <c r="Y642" s="352" t="s">
        <v>76</v>
      </c>
      <c r="Z642" s="105">
        <v>16385</v>
      </c>
      <c r="AA642" s="107">
        <v>364.1111111111112</v>
      </c>
      <c r="AB642" s="105" t="s">
        <v>472</v>
      </c>
    </row>
    <row r="643" spans="1:28">
      <c r="A643" s="105">
        <f t="shared" si="9"/>
        <v>642</v>
      </c>
      <c r="B643" s="107">
        <f>YEAR(Table6[[#This Row],[Date]])+IF(MONTH(Table6[[#This Row],[Date]])&gt;=4,1,0)</f>
        <v>2026</v>
      </c>
      <c r="C643" s="105">
        <f>YEAR(Table6[[#This Row],[Date]])</f>
        <v>2025</v>
      </c>
      <c r="D643" s="105" t="s">
        <v>465</v>
      </c>
      <c r="E643" s="119">
        <f>Table6[[#This Row],[Date]]-DAY(Table6[[#This Row],[Date]])+1</f>
        <v>45778</v>
      </c>
      <c r="F643" s="118">
        <v>45805</v>
      </c>
      <c r="G643" s="105" t="s">
        <v>87</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552</v>
      </c>
      <c r="L643" s="39" t="str">
        <f>IFERROR(VLOOKUP(Table6[[#This Row],[Error Code]],'Basic Data'!$T:$U,2,0),"")</f>
        <v>Manual Stop - Preventive Maintenance Activity</v>
      </c>
      <c r="M643" s="346" t="s">
        <v>553</v>
      </c>
      <c r="N643" s="39" t="s">
        <v>189</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574</v>
      </c>
      <c r="V643" s="351" t="s">
        <v>476</v>
      </c>
      <c r="W643" s="338">
        <f>Table6[[#This Row],[Breakdown Time]]*(1/39)</f>
        <v>0.18846153846153846</v>
      </c>
      <c r="X643" s="336" t="s">
        <v>555</v>
      </c>
      <c r="Y643" s="352" t="s">
        <v>88</v>
      </c>
      <c r="Z643" s="105">
        <v>13759</v>
      </c>
      <c r="AA643" s="107">
        <v>4213.6937499999995</v>
      </c>
      <c r="AB643" s="105" t="s">
        <v>472</v>
      </c>
    </row>
    <row r="644" spans="1:28">
      <c r="A644" s="105">
        <f t="shared" ref="A644:A707" si="10">A643+1</f>
        <v>643</v>
      </c>
      <c r="B644" s="107">
        <f>YEAR(Table6[[#This Row],[Date]])+IF(MONTH(Table6[[#This Row],[Date]])&gt;=4,1,0)</f>
        <v>2026</v>
      </c>
      <c r="C644" s="105">
        <f>YEAR(Table6[[#This Row],[Date]])</f>
        <v>2025</v>
      </c>
      <c r="D644" s="105" t="s">
        <v>465</v>
      </c>
      <c r="E644" s="119">
        <f>Table6[[#This Row],[Date]]-DAY(Table6[[#This Row],[Date]])+1</f>
        <v>45778</v>
      </c>
      <c r="F644" s="118">
        <v>45805</v>
      </c>
      <c r="G644" s="105" t="s">
        <v>89</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473</v>
      </c>
      <c r="N644" s="39" t="s">
        <v>474</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479</v>
      </c>
      <c r="V644" s="351" t="s">
        <v>476</v>
      </c>
      <c r="W644" s="338">
        <f>Table6[[#This Row],[Breakdown Time]]*(1/39)</f>
        <v>1.7521367521367494E-2</v>
      </c>
      <c r="X644" s="336" t="s">
        <v>477</v>
      </c>
      <c r="Y644" s="352" t="s">
        <v>90</v>
      </c>
      <c r="Z644" s="105">
        <v>13752</v>
      </c>
      <c r="AA644" s="107">
        <v>391.54999999999939</v>
      </c>
      <c r="AB644" s="105" t="s">
        <v>472</v>
      </c>
    </row>
    <row r="645" spans="1:28">
      <c r="A645" s="105">
        <f t="shared" si="10"/>
        <v>644</v>
      </c>
      <c r="B645" s="107">
        <f>YEAR(Table6[[#This Row],[Date]])+IF(MONTH(Table6[[#This Row],[Date]])&gt;=4,1,0)</f>
        <v>2026</v>
      </c>
      <c r="C645" s="105">
        <f>YEAR(Table6[[#This Row],[Date]])</f>
        <v>2025</v>
      </c>
      <c r="D645" s="105" t="s">
        <v>465</v>
      </c>
      <c r="E645" s="119">
        <f>Table6[[#This Row],[Date]]-DAY(Table6[[#This Row],[Date]])+1</f>
        <v>45778</v>
      </c>
      <c r="F645" s="118">
        <v>45805</v>
      </c>
      <c r="G645" s="105" t="s">
        <v>105</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473</v>
      </c>
      <c r="N645" s="39" t="s">
        <v>474</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621</v>
      </c>
      <c r="V645" s="351" t="s">
        <v>476</v>
      </c>
      <c r="W645" s="338">
        <f>Table6[[#This Row],[Breakdown Time]]*(1/39)</f>
        <v>0.11367521367521367</v>
      </c>
      <c r="X645" s="336" t="s">
        <v>477</v>
      </c>
      <c r="Y645" s="352" t="s">
        <v>106</v>
      </c>
      <c r="Z645" s="105">
        <v>7422</v>
      </c>
      <c r="AA645" s="107">
        <v>1371.0083333333334</v>
      </c>
      <c r="AB645" s="105" t="s">
        <v>472</v>
      </c>
    </row>
    <row r="646" spans="1:28">
      <c r="A646" s="105">
        <f t="shared" si="10"/>
        <v>645</v>
      </c>
      <c r="B646" s="107">
        <f>YEAR(Table6[[#This Row],[Date]])+IF(MONTH(Table6[[#This Row],[Date]])&gt;=4,1,0)</f>
        <v>2026</v>
      </c>
      <c r="C646" s="105">
        <f>YEAR(Table6[[#This Row],[Date]])</f>
        <v>2025</v>
      </c>
      <c r="D646" s="105" t="s">
        <v>465</v>
      </c>
      <c r="E646" s="119">
        <f>Table6[[#This Row],[Date]]-DAY(Table6[[#This Row],[Date]])+1</f>
        <v>45778</v>
      </c>
      <c r="F646" s="118">
        <v>45806</v>
      </c>
      <c r="G646" s="105" t="s">
        <v>103</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466</v>
      </c>
      <c r="L646" s="39" t="str">
        <f>IFERROR(VLOOKUP(Table6[[#This Row],[Error Code]],'Basic Data'!$T:$U,2,0),"")</f>
        <v>Manual Stop - Safety Related</v>
      </c>
      <c r="M646" s="346" t="s">
        <v>467</v>
      </c>
      <c r="N646" s="39" t="s">
        <v>468</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469</v>
      </c>
      <c r="V646" s="351" t="s">
        <v>470</v>
      </c>
      <c r="W646" s="338">
        <f>Table6[[#This Row],[Breakdown Time]]*(1/39)</f>
        <v>0.61495726495726499</v>
      </c>
      <c r="X646" s="336" t="s">
        <v>486</v>
      </c>
      <c r="Y646" s="352" t="s">
        <v>100</v>
      </c>
      <c r="Z646" s="105">
        <v>12268</v>
      </c>
      <c r="AA646" s="107">
        <v>12259.480555555556</v>
      </c>
      <c r="AB646" s="105" t="s">
        <v>472</v>
      </c>
    </row>
    <row r="647" spans="1:28">
      <c r="A647" s="105">
        <f t="shared" si="10"/>
        <v>646</v>
      </c>
      <c r="B647" s="107">
        <f>YEAR(Table6[[#This Row],[Date]])+IF(MONTH(Table6[[#This Row],[Date]])&gt;=4,1,0)</f>
        <v>2026</v>
      </c>
      <c r="C647" s="105">
        <f>YEAR(Table6[[#This Row],[Date]])</f>
        <v>2025</v>
      </c>
      <c r="D647" s="105" t="s">
        <v>465</v>
      </c>
      <c r="E647" s="119">
        <f>Table6[[#This Row],[Date]]-DAY(Table6[[#This Row],[Date]])+1</f>
        <v>45778</v>
      </c>
      <c r="F647" s="118">
        <v>45806</v>
      </c>
      <c r="G647" s="105" t="s">
        <v>101</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466</v>
      </c>
      <c r="L647" s="39" t="str">
        <f>IFERROR(VLOOKUP(Table6[[#This Row],[Error Code]],'Basic Data'!$T:$U,2,0),"")</f>
        <v>Manual Stop - Safety Related</v>
      </c>
      <c r="M647" s="346" t="s">
        <v>467</v>
      </c>
      <c r="N647" s="39" t="s">
        <v>468</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469</v>
      </c>
      <c r="V647" s="351" t="s">
        <v>470</v>
      </c>
      <c r="W647" s="338">
        <f>Table6[[#This Row],[Breakdown Time]]*(1/39)</f>
        <v>0.61495726495726499</v>
      </c>
      <c r="X647" s="336" t="s">
        <v>486</v>
      </c>
      <c r="Y647" s="352" t="s">
        <v>100</v>
      </c>
      <c r="Z647" s="105">
        <v>12268</v>
      </c>
      <c r="AA647" s="107">
        <v>12259.480555555556</v>
      </c>
      <c r="AB647" s="105" t="s">
        <v>472</v>
      </c>
    </row>
    <row r="648" spans="1:28">
      <c r="A648" s="105">
        <f t="shared" si="10"/>
        <v>647</v>
      </c>
      <c r="B648" s="107">
        <f>YEAR(Table6[[#This Row],[Date]])+IF(MONTH(Table6[[#This Row],[Date]])&gt;=4,1,0)</f>
        <v>2026</v>
      </c>
      <c r="C648" s="105">
        <f>YEAR(Table6[[#This Row],[Date]])</f>
        <v>2025</v>
      </c>
      <c r="D648" s="105" t="s">
        <v>465</v>
      </c>
      <c r="E648" s="119">
        <f>Table6[[#This Row],[Date]]-DAY(Table6[[#This Row],[Date]])+1</f>
        <v>45778</v>
      </c>
      <c r="F648" s="118">
        <v>45806</v>
      </c>
      <c r="G648" s="105" t="s">
        <v>77</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473</v>
      </c>
      <c r="N648" s="39" t="s">
        <v>474</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475</v>
      </c>
      <c r="V648" s="351" t="s">
        <v>476</v>
      </c>
      <c r="W648" s="338">
        <f>Table6[[#This Row],[Breakdown Time]]*(1/39)</f>
        <v>2.008547008547008E-2</v>
      </c>
      <c r="X648" s="336" t="s">
        <v>477</v>
      </c>
      <c r="Y648" s="352" t="s">
        <v>76</v>
      </c>
      <c r="Z648" s="105">
        <v>16454</v>
      </c>
      <c r="AA648" s="107">
        <v>537.04027777777776</v>
      </c>
      <c r="AB648" s="105" t="s">
        <v>472</v>
      </c>
    </row>
    <row r="649" spans="1:28">
      <c r="A649" s="105">
        <f t="shared" si="10"/>
        <v>648</v>
      </c>
      <c r="B649" s="107">
        <f>YEAR(Table6[[#This Row],[Date]])+IF(MONTH(Table6[[#This Row],[Date]])&gt;=4,1,0)</f>
        <v>2026</v>
      </c>
      <c r="C649" s="105">
        <f>YEAR(Table6[[#This Row],[Date]])</f>
        <v>2025</v>
      </c>
      <c r="D649" s="105" t="s">
        <v>465</v>
      </c>
      <c r="E649" s="119">
        <f>Table6[[#This Row],[Date]]-DAY(Table6[[#This Row],[Date]])+1</f>
        <v>45778</v>
      </c>
      <c r="F649" s="118">
        <v>45806</v>
      </c>
      <c r="G649" s="105" t="s">
        <v>86</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552</v>
      </c>
      <c r="L649" s="39" t="str">
        <f>IFERROR(VLOOKUP(Table6[[#This Row],[Error Code]],'Basic Data'!$T:$U,2,0),"")</f>
        <v>Manual Stop - Preventive Maintenance Activity</v>
      </c>
      <c r="M649" s="346" t="s">
        <v>553</v>
      </c>
      <c r="N649" s="39" t="s">
        <v>189</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574</v>
      </c>
      <c r="V649" s="351" t="s">
        <v>476</v>
      </c>
      <c r="W649" s="338">
        <f>Table6[[#This Row],[Breakdown Time]]*(1/39)</f>
        <v>0.1858974358974359</v>
      </c>
      <c r="X649" s="336" t="s">
        <v>555</v>
      </c>
      <c r="Y649" s="352" t="s">
        <v>85</v>
      </c>
      <c r="Z649" s="105">
        <v>16467</v>
      </c>
      <c r="AA649" s="107">
        <v>4974.40625</v>
      </c>
      <c r="AB649" s="105" t="s">
        <v>472</v>
      </c>
    </row>
    <row r="650" spans="1:28">
      <c r="A650" s="105">
        <f t="shared" si="10"/>
        <v>649</v>
      </c>
      <c r="B650" s="107">
        <f>YEAR(Table6[[#This Row],[Date]])+IF(MONTH(Table6[[#This Row],[Date]])&gt;=4,1,0)</f>
        <v>2026</v>
      </c>
      <c r="C650" s="105">
        <f>YEAR(Table6[[#This Row],[Date]])</f>
        <v>2025</v>
      </c>
      <c r="D650" s="105" t="s">
        <v>465</v>
      </c>
      <c r="E650" s="119">
        <f>Table6[[#This Row],[Date]]-DAY(Table6[[#This Row],[Date]])+1</f>
        <v>45778</v>
      </c>
      <c r="F650" s="118">
        <v>45806</v>
      </c>
      <c r="G650" s="105" t="s">
        <v>87</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473</v>
      </c>
      <c r="N650" s="39" t="s">
        <v>474</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622</v>
      </c>
      <c r="V650" s="351" t="s">
        <v>476</v>
      </c>
      <c r="W650" s="338">
        <f>Table6[[#This Row],[Breakdown Time]]*(1/39)</f>
        <v>8.5470085470085472E-2</v>
      </c>
      <c r="X650" s="336" t="s">
        <v>477</v>
      </c>
      <c r="Y650" s="352" t="s">
        <v>88</v>
      </c>
      <c r="Z650" s="105">
        <v>16061</v>
      </c>
      <c r="AA650" s="107">
        <v>2230.6944444444448</v>
      </c>
      <c r="AB650" s="105" t="s">
        <v>472</v>
      </c>
    </row>
    <row r="651" spans="1:28">
      <c r="A651" s="105">
        <f t="shared" si="10"/>
        <v>650</v>
      </c>
      <c r="B651" s="107">
        <f>YEAR(Table6[[#This Row],[Date]])+IF(MONTH(Table6[[#This Row],[Date]])&gt;=4,1,0)</f>
        <v>2026</v>
      </c>
      <c r="C651" s="105">
        <f>YEAR(Table6[[#This Row],[Date]])</f>
        <v>2025</v>
      </c>
      <c r="D651" s="105" t="s">
        <v>465</v>
      </c>
      <c r="E651" s="119">
        <f>Table6[[#This Row],[Date]]-DAY(Table6[[#This Row],[Date]])+1</f>
        <v>45778</v>
      </c>
      <c r="F651" s="118">
        <v>45806</v>
      </c>
      <c r="G651" s="105" t="s">
        <v>97</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473</v>
      </c>
      <c r="N651" s="39" t="s">
        <v>474</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475</v>
      </c>
      <c r="V651" s="351" t="s">
        <v>476</v>
      </c>
      <c r="W651" s="338">
        <f>Table6[[#This Row],[Breakdown Time]]*(1/39)</f>
        <v>8.54700854700855E-2</v>
      </c>
      <c r="X651" s="336" t="s">
        <v>477</v>
      </c>
      <c r="Y651" s="352" t="s">
        <v>99</v>
      </c>
      <c r="Z651" s="105">
        <v>12264</v>
      </c>
      <c r="AA651" s="107">
        <v>1703.3333333333342</v>
      </c>
      <c r="AB651" s="105" t="s">
        <v>472</v>
      </c>
    </row>
    <row r="652" spans="1:28">
      <c r="A652" s="105">
        <f t="shared" si="10"/>
        <v>651</v>
      </c>
      <c r="B652" s="107">
        <f>YEAR(Table6[[#This Row],[Date]])+IF(MONTH(Table6[[#This Row],[Date]])&gt;=4,1,0)</f>
        <v>2026</v>
      </c>
      <c r="C652" s="105">
        <f>YEAR(Table6[[#This Row],[Date]])</f>
        <v>2025</v>
      </c>
      <c r="D652" s="105" t="s">
        <v>465</v>
      </c>
      <c r="E652" s="119">
        <f>Table6[[#This Row],[Date]]-DAY(Table6[[#This Row],[Date]])+1</f>
        <v>45778</v>
      </c>
      <c r="F652" s="118">
        <v>45806</v>
      </c>
      <c r="G652" s="105" t="s">
        <v>105</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517</v>
      </c>
      <c r="L652" s="39" t="str">
        <f>IFERROR(VLOOKUP(Table6[[#This Row],[Error Code]],'Basic Data'!$T:$U,2,0),"")</f>
        <v>General Work Stoppage</v>
      </c>
      <c r="M652" s="346" t="s">
        <v>499</v>
      </c>
      <c r="N652" s="39" t="s">
        <v>189</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623</v>
      </c>
      <c r="V652" s="351" t="s">
        <v>476</v>
      </c>
      <c r="W652" s="338">
        <f>Table6[[#This Row],[Breakdown Time]]*(1/39)</f>
        <v>0.1858974358974359</v>
      </c>
      <c r="X652" s="336" t="s">
        <v>501</v>
      </c>
      <c r="Y652" s="352" t="s">
        <v>106</v>
      </c>
      <c r="Z652" s="105">
        <v>13853</v>
      </c>
      <c r="AA652" s="107">
        <v>4184.7604166666679</v>
      </c>
      <c r="AB652" s="105" t="s">
        <v>472</v>
      </c>
    </row>
    <row r="653" spans="1:28">
      <c r="A653" s="105">
        <f t="shared" si="10"/>
        <v>652</v>
      </c>
      <c r="B653" s="107">
        <f>YEAR(Table6[[#This Row],[Date]])+IF(MONTH(Table6[[#This Row],[Date]])&gt;=4,1,0)</f>
        <v>2026</v>
      </c>
      <c r="C653" s="105">
        <f>YEAR(Table6[[#This Row],[Date]])</f>
        <v>2025</v>
      </c>
      <c r="D653" s="105" t="s">
        <v>465</v>
      </c>
      <c r="E653" s="119">
        <f>Table6[[#This Row],[Date]]-DAY(Table6[[#This Row],[Date]])+1</f>
        <v>45778</v>
      </c>
      <c r="F653" s="118">
        <v>45806</v>
      </c>
      <c r="G653" s="105" t="s">
        <v>108</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473</v>
      </c>
      <c r="N653" s="39" t="s">
        <v>474</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484</v>
      </c>
      <c r="V653" s="351" t="s">
        <v>476</v>
      </c>
      <c r="W653" s="338">
        <f>Table6[[#This Row],[Breakdown Time]]*(1/39)</f>
        <v>3.2905982905982858E-2</v>
      </c>
      <c r="X653" s="336" t="s">
        <v>477</v>
      </c>
      <c r="Y653" s="352" t="s">
        <v>109</v>
      </c>
      <c r="Z653" s="105">
        <v>13857</v>
      </c>
      <c r="AA653" s="107">
        <v>740.96458333333226</v>
      </c>
      <c r="AB653" s="105" t="s">
        <v>472</v>
      </c>
    </row>
    <row r="654" spans="1:28">
      <c r="A654" s="105">
        <f t="shared" si="10"/>
        <v>653</v>
      </c>
      <c r="B654" s="107">
        <f>YEAR(Table6[[#This Row],[Date]])+IF(MONTH(Table6[[#This Row],[Date]])&gt;=4,1,0)</f>
        <v>2026</v>
      </c>
      <c r="C654" s="105">
        <f>YEAR(Table6[[#This Row],[Date]])</f>
        <v>2025</v>
      </c>
      <c r="D654" s="105" t="s">
        <v>465</v>
      </c>
      <c r="E654" s="119">
        <f>Table6[[#This Row],[Date]]-DAY(Table6[[#This Row],[Date]])+1</f>
        <v>45778</v>
      </c>
      <c r="F654" s="118">
        <v>45807</v>
      </c>
      <c r="G654" s="105" t="s">
        <v>103</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466</v>
      </c>
      <c r="L654" s="39" t="str">
        <f>IFERROR(VLOOKUP(Table6[[#This Row],[Error Code]],'Basic Data'!$T:$U,2,0),"")</f>
        <v>Manual Stop - Safety Related</v>
      </c>
      <c r="M654" s="346" t="s">
        <v>467</v>
      </c>
      <c r="N654" s="39" t="s">
        <v>468</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469</v>
      </c>
      <c r="V654" s="351" t="s">
        <v>470</v>
      </c>
      <c r="W654" s="338">
        <f>Table6[[#This Row],[Breakdown Time]]*(1/39)</f>
        <v>0.61495726495726499</v>
      </c>
      <c r="X654" s="336" t="s">
        <v>486</v>
      </c>
      <c r="Y654" s="352" t="s">
        <v>100</v>
      </c>
      <c r="Z654" s="105">
        <v>10990</v>
      </c>
      <c r="AA654" s="107">
        <v>10982.368055555557</v>
      </c>
      <c r="AB654" s="105" t="s">
        <v>472</v>
      </c>
    </row>
    <row r="655" spans="1:28">
      <c r="A655" s="105">
        <f t="shared" si="10"/>
        <v>654</v>
      </c>
      <c r="B655" s="107">
        <f>YEAR(Table6[[#This Row],[Date]])+IF(MONTH(Table6[[#This Row],[Date]])&gt;=4,1,0)</f>
        <v>2026</v>
      </c>
      <c r="C655" s="105">
        <f>YEAR(Table6[[#This Row],[Date]])</f>
        <v>2025</v>
      </c>
      <c r="D655" s="105" t="s">
        <v>465</v>
      </c>
      <c r="E655" s="119">
        <f>Table6[[#This Row],[Date]]-DAY(Table6[[#This Row],[Date]])+1</f>
        <v>45778</v>
      </c>
      <c r="F655" s="118">
        <v>45807</v>
      </c>
      <c r="G655" s="105" t="s">
        <v>101</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466</v>
      </c>
      <c r="L655" s="39" t="str">
        <f>IFERROR(VLOOKUP(Table6[[#This Row],[Error Code]],'Basic Data'!$T:$U,2,0),"")</f>
        <v>Manual Stop - Safety Related</v>
      </c>
      <c r="M655" s="346" t="s">
        <v>467</v>
      </c>
      <c r="N655" s="39" t="s">
        <v>468</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469</v>
      </c>
      <c r="V655" s="351" t="s">
        <v>470</v>
      </c>
      <c r="W655" s="338">
        <f>Table6[[#This Row],[Breakdown Time]]*(1/39)</f>
        <v>0.61495726495726499</v>
      </c>
      <c r="X655" s="336" t="s">
        <v>486</v>
      </c>
      <c r="Y655" s="352" t="s">
        <v>100</v>
      </c>
      <c r="Z655" s="105">
        <v>10990</v>
      </c>
      <c r="AA655" s="107">
        <v>10982.368055555557</v>
      </c>
      <c r="AB655" s="105" t="s">
        <v>472</v>
      </c>
    </row>
    <row r="656" spans="1:28">
      <c r="A656" s="105">
        <f t="shared" si="10"/>
        <v>655</v>
      </c>
      <c r="B656" s="107">
        <f>YEAR(Table6[[#This Row],[Date]])+IF(MONTH(Table6[[#This Row],[Date]])&gt;=4,1,0)</f>
        <v>2026</v>
      </c>
      <c r="C656" s="105">
        <f>YEAR(Table6[[#This Row],[Date]])</f>
        <v>2025</v>
      </c>
      <c r="D656" s="105" t="s">
        <v>465</v>
      </c>
      <c r="E656" s="119">
        <f>Table6[[#This Row],[Date]]-DAY(Table6[[#This Row],[Date]])+1</f>
        <v>45778</v>
      </c>
      <c r="F656" s="118">
        <v>45807</v>
      </c>
      <c r="G656" s="105" t="s">
        <v>75</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526</v>
      </c>
      <c r="L656" s="39" t="str">
        <f>IFERROR(VLOOKUP(Table6[[#This Row],[Error Code]],'Basic Data'!$T:$U,2,0),"")</f>
        <v>Manual Stop</v>
      </c>
      <c r="M656" s="346" t="s">
        <v>576</v>
      </c>
      <c r="N656" s="39" t="s">
        <v>189</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624</v>
      </c>
      <c r="V656" s="351" t="s">
        <v>476</v>
      </c>
      <c r="W656" s="338">
        <f>Table6[[#This Row],[Breakdown Time]]*(1/39)</f>
        <v>8.034188034188032E-2</v>
      </c>
      <c r="X656" s="336" t="s">
        <v>501</v>
      </c>
      <c r="Y656" s="352" t="s">
        <v>77</v>
      </c>
      <c r="Z656" s="105">
        <v>14797</v>
      </c>
      <c r="AA656" s="107">
        <v>1931.8305555555551</v>
      </c>
      <c r="AB656" s="105" t="s">
        <v>472</v>
      </c>
    </row>
    <row r="657" spans="1:28">
      <c r="A657" s="105">
        <f t="shared" si="10"/>
        <v>656</v>
      </c>
      <c r="B657" s="107">
        <f>YEAR(Table6[[#This Row],[Date]])+IF(MONTH(Table6[[#This Row],[Date]])&gt;=4,1,0)</f>
        <v>2026</v>
      </c>
      <c r="C657" s="105">
        <f>YEAR(Table6[[#This Row],[Date]])</f>
        <v>2025</v>
      </c>
      <c r="D657" s="105" t="s">
        <v>465</v>
      </c>
      <c r="E657" s="119">
        <f>Table6[[#This Row],[Date]]-DAY(Table6[[#This Row],[Date]])+1</f>
        <v>45778</v>
      </c>
      <c r="F657" s="118">
        <v>45807</v>
      </c>
      <c r="G657" s="105" t="s">
        <v>77</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473</v>
      </c>
      <c r="N657" s="39" t="s">
        <v>474</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625</v>
      </c>
      <c r="V657" s="351" t="s">
        <v>476</v>
      </c>
      <c r="W657" s="338">
        <f>Table6[[#This Row],[Breakdown Time]]*(1/39)</f>
        <v>2.9059829059829092E-2</v>
      </c>
      <c r="X657" s="336" t="s">
        <v>477</v>
      </c>
      <c r="Y657" s="352" t="s">
        <v>76</v>
      </c>
      <c r="Z657" s="105">
        <v>15869</v>
      </c>
      <c r="AA657" s="107">
        <v>749.36944444444532</v>
      </c>
      <c r="AB657" s="105" t="s">
        <v>472</v>
      </c>
    </row>
    <row r="658" spans="1:28">
      <c r="A658" s="105">
        <f t="shared" si="10"/>
        <v>657</v>
      </c>
      <c r="B658" s="107">
        <f>YEAR(Table6[[#This Row],[Date]])+IF(MONTH(Table6[[#This Row],[Date]])&gt;=4,1,0)</f>
        <v>2026</v>
      </c>
      <c r="C658" s="105">
        <f>YEAR(Table6[[#This Row],[Date]])</f>
        <v>2025</v>
      </c>
      <c r="D658" s="105" t="s">
        <v>465</v>
      </c>
      <c r="E658" s="119">
        <f>Table6[[#This Row],[Date]]-DAY(Table6[[#This Row],[Date]])+1</f>
        <v>45778</v>
      </c>
      <c r="F658" s="118">
        <v>45807</v>
      </c>
      <c r="G658" s="105" t="s">
        <v>89</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473</v>
      </c>
      <c r="N658" s="39" t="s">
        <v>474</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626</v>
      </c>
      <c r="V658" s="351" t="s">
        <v>476</v>
      </c>
      <c r="W658" s="338">
        <f>Table6[[#This Row],[Breakdown Time]]*(1/39)</f>
        <v>0.10940170940170942</v>
      </c>
      <c r="X658" s="336" t="s">
        <v>477</v>
      </c>
      <c r="Y658" s="352" t="s">
        <v>90</v>
      </c>
      <c r="Z658" s="105">
        <v>18675</v>
      </c>
      <c r="AA658" s="107">
        <v>3320.0000000000005</v>
      </c>
      <c r="AB658" s="105" t="s">
        <v>472</v>
      </c>
    </row>
    <row r="659" spans="1:28">
      <c r="A659" s="105">
        <f t="shared" si="10"/>
        <v>658</v>
      </c>
      <c r="B659" s="107">
        <f>YEAR(Table6[[#This Row],[Date]])+IF(MONTH(Table6[[#This Row],[Date]])&gt;=4,1,0)</f>
        <v>2026</v>
      </c>
      <c r="C659" s="105">
        <f>YEAR(Table6[[#This Row],[Date]])</f>
        <v>2025</v>
      </c>
      <c r="D659" s="105" t="s">
        <v>465</v>
      </c>
      <c r="E659" s="119">
        <f>Table6[[#This Row],[Date]]-DAY(Table6[[#This Row],[Date]])+1</f>
        <v>45778</v>
      </c>
      <c r="F659" s="118">
        <v>45807</v>
      </c>
      <c r="G659" s="105" t="s">
        <v>97</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473</v>
      </c>
      <c r="N659" s="39" t="s">
        <v>474</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627</v>
      </c>
      <c r="V659" s="351" t="s">
        <v>476</v>
      </c>
      <c r="W659" s="338">
        <f>Table6[[#This Row],[Breakdown Time]]*(1/39)</f>
        <v>0.25641025641025639</v>
      </c>
      <c r="X659" s="336" t="s">
        <v>477</v>
      </c>
      <c r="Y659" s="352" t="s">
        <v>99</v>
      </c>
      <c r="Z659" s="105">
        <v>11795</v>
      </c>
      <c r="AA659" s="107">
        <v>4914.583333333333</v>
      </c>
      <c r="AB659" s="105" t="s">
        <v>472</v>
      </c>
    </row>
    <row r="660" spans="1:28">
      <c r="A660" s="105">
        <f t="shared" si="10"/>
        <v>659</v>
      </c>
      <c r="B660" s="107">
        <f>YEAR(Table6[[#This Row],[Date]])+IF(MONTH(Table6[[#This Row],[Date]])&gt;=4,1,0)</f>
        <v>2026</v>
      </c>
      <c r="C660" s="105">
        <f>YEAR(Table6[[#This Row],[Date]])</f>
        <v>2025</v>
      </c>
      <c r="D660" s="105" t="s">
        <v>465</v>
      </c>
      <c r="E660" s="119">
        <f>Table6[[#This Row],[Date]]-DAY(Table6[[#This Row],[Date]])+1</f>
        <v>45778</v>
      </c>
      <c r="F660" s="118">
        <v>45807</v>
      </c>
      <c r="G660" s="105" t="s">
        <v>100</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473</v>
      </c>
      <c r="N660" s="39" t="s">
        <v>474</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628</v>
      </c>
      <c r="V660" s="351" t="s">
        <v>476</v>
      </c>
      <c r="W660" s="338">
        <f>Table6[[#This Row],[Breakdown Time]]*(1/39)</f>
        <v>4.7008547008547008E-2</v>
      </c>
      <c r="X660" s="336" t="s">
        <v>477</v>
      </c>
      <c r="Y660" s="352" t="s">
        <v>102</v>
      </c>
      <c r="Z660" s="105">
        <v>11786</v>
      </c>
      <c r="AA660" s="107">
        <v>900.31944444444446</v>
      </c>
      <c r="AB660" s="105" t="s">
        <v>472</v>
      </c>
    </row>
    <row r="661" spans="1:28">
      <c r="A661" s="105">
        <f t="shared" si="10"/>
        <v>660</v>
      </c>
      <c r="B661" s="107">
        <f>YEAR(Table6[[#This Row],[Date]])+IF(MONTH(Table6[[#This Row],[Date]])&gt;=4,1,0)</f>
        <v>2026</v>
      </c>
      <c r="C661" s="105">
        <f>YEAR(Table6[[#This Row],[Date]])</f>
        <v>2025</v>
      </c>
      <c r="D661" s="105" t="s">
        <v>465</v>
      </c>
      <c r="E661" s="119">
        <f>Table6[[#This Row],[Date]]-DAY(Table6[[#This Row],[Date]])+1</f>
        <v>45778</v>
      </c>
      <c r="F661" s="118">
        <v>45808</v>
      </c>
      <c r="G661" s="105" t="s">
        <v>103</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466</v>
      </c>
      <c r="L661" s="39" t="str">
        <f>IFERROR(VLOOKUP(Table6[[#This Row],[Error Code]],'Basic Data'!$T:$U,2,0),"")</f>
        <v>Manual Stop - Safety Related</v>
      </c>
      <c r="M661" s="346" t="s">
        <v>467</v>
      </c>
      <c r="N661" s="39" t="s">
        <v>468</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469</v>
      </c>
      <c r="V661" s="351" t="s">
        <v>470</v>
      </c>
      <c r="W661" s="338">
        <f>Table6[[#This Row],[Breakdown Time]]*(1/39)</f>
        <v>0.61495726495726499</v>
      </c>
      <c r="X661" s="336" t="s">
        <v>486</v>
      </c>
      <c r="Y661" s="352" t="s">
        <v>100</v>
      </c>
      <c r="Z661" s="105">
        <v>17189</v>
      </c>
      <c r="AA661" s="107">
        <v>17177.063194444447</v>
      </c>
      <c r="AB661" s="105" t="s">
        <v>472</v>
      </c>
    </row>
    <row r="662" spans="1:28">
      <c r="A662" s="105">
        <f t="shared" si="10"/>
        <v>661</v>
      </c>
      <c r="B662" s="107">
        <f>YEAR(Table6[[#This Row],[Date]])+IF(MONTH(Table6[[#This Row],[Date]])&gt;=4,1,0)</f>
        <v>2026</v>
      </c>
      <c r="C662" s="105">
        <f>YEAR(Table6[[#This Row],[Date]])</f>
        <v>2025</v>
      </c>
      <c r="D662" s="105" t="s">
        <v>465</v>
      </c>
      <c r="E662" s="119">
        <f>Table6[[#This Row],[Date]]-DAY(Table6[[#This Row],[Date]])+1</f>
        <v>45778</v>
      </c>
      <c r="F662" s="118">
        <v>45808</v>
      </c>
      <c r="G662" s="105" t="s">
        <v>101</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466</v>
      </c>
      <c r="L662" s="39" t="str">
        <f>IFERROR(VLOOKUP(Table6[[#This Row],[Error Code]],'Basic Data'!$T:$U,2,0),"")</f>
        <v>Manual Stop - Safety Related</v>
      </c>
      <c r="M662" s="346" t="s">
        <v>467</v>
      </c>
      <c r="N662" s="39" t="s">
        <v>468</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469</v>
      </c>
      <c r="V662" s="351" t="s">
        <v>470</v>
      </c>
      <c r="W662" s="338">
        <f>Table6[[#This Row],[Breakdown Time]]*(1/39)</f>
        <v>0.61495726495726499</v>
      </c>
      <c r="X662" s="336" t="s">
        <v>486</v>
      </c>
      <c r="Y662" s="352" t="s">
        <v>100</v>
      </c>
      <c r="Z662" s="105">
        <v>17189</v>
      </c>
      <c r="AA662" s="107">
        <v>17177.063194444447</v>
      </c>
      <c r="AB662" s="105" t="s">
        <v>472</v>
      </c>
    </row>
    <row r="663" spans="1:28">
      <c r="A663" s="105">
        <f t="shared" si="10"/>
        <v>662</v>
      </c>
      <c r="B663" s="107">
        <f>YEAR(Table6[[#This Row],[Date]])+IF(MONTH(Table6[[#This Row],[Date]])&gt;=4,1,0)</f>
        <v>2026</v>
      </c>
      <c r="C663" s="105">
        <f>YEAR(Table6[[#This Row],[Date]])</f>
        <v>2025</v>
      </c>
      <c r="D663" s="105" t="s">
        <v>465</v>
      </c>
      <c r="E663" s="119">
        <f>Table6[[#This Row],[Date]]-DAY(Table6[[#This Row],[Date]])+1</f>
        <v>45778</v>
      </c>
      <c r="F663" s="118">
        <v>45808</v>
      </c>
      <c r="G663" s="105" t="s">
        <v>85</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552</v>
      </c>
      <c r="L663" s="39" t="str">
        <f>IFERROR(VLOOKUP(Table6[[#This Row],[Error Code]],'Basic Data'!$T:$U,2,0),"")</f>
        <v>Manual Stop - Preventive Maintenance Activity</v>
      </c>
      <c r="M663" s="346" t="s">
        <v>553</v>
      </c>
      <c r="N663" s="39" t="s">
        <v>189</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574</v>
      </c>
      <c r="V663" s="351" t="s">
        <v>476</v>
      </c>
      <c r="W663" s="338">
        <f>Table6[[#This Row],[Breakdown Time]]*(1/39)</f>
        <v>0.18205128205128202</v>
      </c>
      <c r="X663" s="336" t="s">
        <v>555</v>
      </c>
      <c r="Y663" s="352" t="s">
        <v>86</v>
      </c>
      <c r="Z663" s="105">
        <v>26906</v>
      </c>
      <c r="AA663" s="107">
        <v>7959.6916666666648</v>
      </c>
      <c r="AB663" s="105" t="s">
        <v>472</v>
      </c>
    </row>
    <row r="664" spans="1:28">
      <c r="A664" s="105">
        <f t="shared" si="10"/>
        <v>663</v>
      </c>
      <c r="B664" s="107">
        <f>YEAR(Table6[[#This Row],[Date]])+IF(MONTH(Table6[[#This Row],[Date]])&gt;=4,1,0)</f>
        <v>2026</v>
      </c>
      <c r="C664" s="105">
        <f>YEAR(Table6[[#This Row],[Date]])</f>
        <v>2025</v>
      </c>
      <c r="D664" s="105" t="s">
        <v>465</v>
      </c>
      <c r="E664" s="119">
        <f>Table6[[#This Row],[Date]]-DAY(Table6[[#This Row],[Date]])+1</f>
        <v>45778</v>
      </c>
      <c r="F664" s="118">
        <v>45808</v>
      </c>
      <c r="G664" s="105" t="s">
        <v>78</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473</v>
      </c>
      <c r="N664" s="39" t="s">
        <v>474</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475</v>
      </c>
      <c r="V664" s="351" t="s">
        <v>476</v>
      </c>
      <c r="W664" s="338">
        <f>Table6[[#This Row],[Breakdown Time]]*(1/39)</f>
        <v>2.4358974358974338E-2</v>
      </c>
      <c r="X664" s="336" t="s">
        <v>477</v>
      </c>
      <c r="Y664" s="352" t="s">
        <v>95</v>
      </c>
      <c r="Z664" s="105">
        <v>17167</v>
      </c>
      <c r="AA664" s="107">
        <v>679.52708333333283</v>
      </c>
      <c r="AB664" s="105" t="s">
        <v>472</v>
      </c>
    </row>
    <row r="665" spans="1:28">
      <c r="A665" s="105">
        <f t="shared" si="10"/>
        <v>664</v>
      </c>
      <c r="B665" s="107">
        <f>YEAR(Table6[[#This Row],[Date]])+IF(MONTH(Table6[[#This Row],[Date]])&gt;=4,1,0)</f>
        <v>2026</v>
      </c>
      <c r="C665" s="105">
        <f>YEAR(Table6[[#This Row],[Date]])</f>
        <v>2025</v>
      </c>
      <c r="D665" s="105" t="s">
        <v>465</v>
      </c>
      <c r="E665" s="119">
        <f>Table6[[#This Row],[Date]]-DAY(Table6[[#This Row],[Date]])+1</f>
        <v>45778</v>
      </c>
      <c r="F665" s="118">
        <v>45808</v>
      </c>
      <c r="G665" s="105" t="s">
        <v>94</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473</v>
      </c>
      <c r="N665" s="39" t="s">
        <v>474</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481</v>
      </c>
      <c r="V665" s="351" t="s">
        <v>476</v>
      </c>
      <c r="W665" s="338">
        <f>Table6[[#This Row],[Breakdown Time]]*(1/39)</f>
        <v>4.0598290598290586E-2</v>
      </c>
      <c r="X665" s="336" t="s">
        <v>477</v>
      </c>
      <c r="Y665" s="352" t="s">
        <v>95</v>
      </c>
      <c r="Z665" s="105">
        <v>17167</v>
      </c>
      <c r="AA665" s="107">
        <v>1132.5451388888887</v>
      </c>
      <c r="AB665" s="105" t="s">
        <v>472</v>
      </c>
    </row>
    <row r="666" spans="1:28">
      <c r="A666" s="105">
        <f t="shared" si="10"/>
        <v>665</v>
      </c>
      <c r="B666" s="107">
        <f>YEAR(Table6[[#This Row],[Date]])+IF(MONTH(Table6[[#This Row],[Date]])&gt;=4,1,0)</f>
        <v>2026</v>
      </c>
      <c r="C666" s="105">
        <f>YEAR(Table6[[#This Row],[Date]])</f>
        <v>2025</v>
      </c>
      <c r="D666" s="105" t="s">
        <v>465</v>
      </c>
      <c r="E666" s="119">
        <f>Table6[[#This Row],[Date]]-DAY(Table6[[#This Row],[Date]])+1</f>
        <v>45778</v>
      </c>
      <c r="F666" s="118">
        <v>45808</v>
      </c>
      <c r="G666" s="105" t="s">
        <v>95</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473</v>
      </c>
      <c r="N666" s="39" t="s">
        <v>474</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475</v>
      </c>
      <c r="V666" s="351" t="s">
        <v>476</v>
      </c>
      <c r="W666" s="338">
        <f>Table6[[#This Row],[Breakdown Time]]*(1/39)</f>
        <v>1.1538461538461565E-2</v>
      </c>
      <c r="X666" s="336" t="s">
        <v>477</v>
      </c>
      <c r="Y666" s="352" t="s">
        <v>94</v>
      </c>
      <c r="Z666" s="105">
        <v>17115</v>
      </c>
      <c r="AA666" s="107">
        <v>320.90625000000074</v>
      </c>
      <c r="AB666" s="105" t="s">
        <v>472</v>
      </c>
    </row>
    <row r="667" spans="1:28">
      <c r="A667" s="105">
        <f t="shared" si="10"/>
        <v>666</v>
      </c>
      <c r="B667" s="107">
        <f>YEAR(Table6[[#This Row],[Date]])+IF(MONTH(Table6[[#This Row],[Date]])&gt;=4,1,0)</f>
        <v>2026</v>
      </c>
      <c r="C667" s="105">
        <f>YEAR(Table6[[#This Row],[Date]])</f>
        <v>2025</v>
      </c>
      <c r="D667" s="105" t="s">
        <v>465</v>
      </c>
      <c r="E667" s="119">
        <f>Table6[[#This Row],[Date]]-DAY(Table6[[#This Row],[Date]])+1</f>
        <v>45778</v>
      </c>
      <c r="F667" s="118">
        <v>45808</v>
      </c>
      <c r="G667" s="105" t="s">
        <v>96</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473</v>
      </c>
      <c r="N667" s="39" t="s">
        <v>474</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475</v>
      </c>
      <c r="V667" s="351" t="s">
        <v>476</v>
      </c>
      <c r="W667" s="338">
        <f>Table6[[#This Row],[Breakdown Time]]*(1/39)</f>
        <v>2.008547008547008E-2</v>
      </c>
      <c r="X667" s="336" t="s">
        <v>477</v>
      </c>
      <c r="Y667" s="352" t="s">
        <v>78</v>
      </c>
      <c r="Z667" s="105">
        <v>17106</v>
      </c>
      <c r="AA667" s="107">
        <v>558.32083333333321</v>
      </c>
      <c r="AB667" s="105" t="s">
        <v>472</v>
      </c>
    </row>
    <row r="668" spans="1:28">
      <c r="A668" s="105">
        <f t="shared" si="10"/>
        <v>667</v>
      </c>
      <c r="B668" s="107">
        <f>YEAR(Table6[[#This Row],[Date]])+IF(MONTH(Table6[[#This Row],[Date]])&gt;=4,1,0)</f>
        <v>2026</v>
      </c>
      <c r="C668" s="105">
        <f>YEAR(Table6[[#This Row],[Date]])</f>
        <v>2025</v>
      </c>
      <c r="D668" s="105" t="s">
        <v>465</v>
      </c>
      <c r="E668" s="119">
        <f>Table6[[#This Row],[Date]]-DAY(Table6[[#This Row],[Date]])+1</f>
        <v>45778</v>
      </c>
      <c r="F668" s="118">
        <v>45808</v>
      </c>
      <c r="G668" s="105" t="s">
        <v>97</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473</v>
      </c>
      <c r="N668" s="39" t="s">
        <v>474</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475</v>
      </c>
      <c r="V668" s="351" t="s">
        <v>476</v>
      </c>
      <c r="W668" s="338">
        <f>Table6[[#This Row],[Breakdown Time]]*(1/39)</f>
        <v>2.2222222222222227E-2</v>
      </c>
      <c r="X668" s="336" t="s">
        <v>477</v>
      </c>
      <c r="Y668" s="352" t="s">
        <v>99</v>
      </c>
      <c r="Z668" s="105">
        <v>17190</v>
      </c>
      <c r="AA668" s="107">
        <v>620.75000000000023</v>
      </c>
      <c r="AB668" s="105" t="s">
        <v>472</v>
      </c>
    </row>
    <row r="669" spans="1:28">
      <c r="A669" s="105">
        <f t="shared" si="10"/>
        <v>668</v>
      </c>
      <c r="B669" s="107">
        <f>YEAR(Table6[[#This Row],[Date]])+IF(MONTH(Table6[[#This Row],[Date]])&gt;=4,1,0)</f>
        <v>2026</v>
      </c>
      <c r="C669" s="105">
        <f>YEAR(Table6[[#This Row],[Date]])</f>
        <v>2025</v>
      </c>
      <c r="D669" s="105" t="s">
        <v>465</v>
      </c>
      <c r="E669" s="119">
        <f>Table6[[#This Row],[Date]]-DAY(Table6[[#This Row],[Date]])+1</f>
        <v>45778</v>
      </c>
      <c r="F669" s="118">
        <v>45808</v>
      </c>
      <c r="G669" s="105" t="s">
        <v>97</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473</v>
      </c>
      <c r="N669" s="39" t="s">
        <v>474</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629</v>
      </c>
      <c r="V669" s="351" t="s">
        <v>476</v>
      </c>
      <c r="W669" s="338">
        <f>Table6[[#This Row],[Breakdown Time]]*(1/39)</f>
        <v>0.12521367521367524</v>
      </c>
      <c r="X669" s="336" t="s">
        <v>477</v>
      </c>
      <c r="Y669" s="352" t="s">
        <v>99</v>
      </c>
      <c r="Z669" s="105">
        <v>17190</v>
      </c>
      <c r="AA669" s="107">
        <v>3497.6875000000009</v>
      </c>
      <c r="AB669" s="105" t="s">
        <v>472</v>
      </c>
    </row>
    <row r="670" spans="1:28">
      <c r="A670" s="105">
        <f t="shared" si="10"/>
        <v>669</v>
      </c>
      <c r="B670" s="107">
        <f>YEAR(Table6[[#This Row],[Date]])+IF(MONTH(Table6[[#This Row],[Date]])&gt;=4,1,0)</f>
        <v>2026</v>
      </c>
      <c r="C670" s="105">
        <f>YEAR(Table6[[#This Row],[Date]])</f>
        <v>2025</v>
      </c>
      <c r="D670" s="105" t="s">
        <v>465</v>
      </c>
      <c r="E670" s="119">
        <f>Table6[[#This Row],[Date]]-DAY(Table6[[#This Row],[Date]])+1</f>
        <v>45778</v>
      </c>
      <c r="F670" s="118">
        <v>45808</v>
      </c>
      <c r="G670" s="105" t="s">
        <v>98</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473</v>
      </c>
      <c r="N670" s="39" t="s">
        <v>474</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557</v>
      </c>
      <c r="V670" s="351" t="s">
        <v>476</v>
      </c>
      <c r="W670" s="338">
        <f>Table6[[#This Row],[Breakdown Time]]*(1/39)</f>
        <v>0.12606837606837604</v>
      </c>
      <c r="X670" s="336" t="s">
        <v>477</v>
      </c>
      <c r="Y670" s="352" t="s">
        <v>104</v>
      </c>
      <c r="Z670" s="105">
        <v>17851</v>
      </c>
      <c r="AA670" s="107">
        <v>3656.9756944444439</v>
      </c>
      <c r="AB670" s="105" t="s">
        <v>472</v>
      </c>
    </row>
    <row r="671" spans="1:28">
      <c r="A671" s="105">
        <f t="shared" si="10"/>
        <v>670</v>
      </c>
      <c r="B671" s="107">
        <f>YEAR(Table6[[#This Row],[Date]])+IF(MONTH(Table6[[#This Row],[Date]])&gt;=4,1,0)</f>
        <v>2026</v>
      </c>
      <c r="C671" s="105">
        <f>YEAR(Table6[[#This Row],[Date]])</f>
        <v>2025</v>
      </c>
      <c r="D671" s="105" t="s">
        <v>465</v>
      </c>
      <c r="E671" s="119">
        <f>Table6[[#This Row],[Date]]-DAY(Table6[[#This Row],[Date]])+1</f>
        <v>45778</v>
      </c>
      <c r="F671" s="118">
        <v>45808</v>
      </c>
      <c r="G671" s="105" t="s">
        <v>98</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473</v>
      </c>
      <c r="N671" s="39" t="s">
        <v>474</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630</v>
      </c>
      <c r="V671" s="351" t="s">
        <v>476</v>
      </c>
      <c r="W671" s="338">
        <f>Table6[[#This Row],[Breakdown Time]]*(1/39)</f>
        <v>4.9145299145299172E-2</v>
      </c>
      <c r="X671" s="336" t="s">
        <v>477</v>
      </c>
      <c r="Y671" s="352" t="s">
        <v>104</v>
      </c>
      <c r="Z671" s="105">
        <v>17851</v>
      </c>
      <c r="AA671" s="107">
        <v>1425.6006944444453</v>
      </c>
      <c r="AB671" s="105" t="s">
        <v>472</v>
      </c>
    </row>
    <row r="672" spans="1:28">
      <c r="A672" s="105">
        <f t="shared" si="10"/>
        <v>671</v>
      </c>
      <c r="B672" s="107">
        <f>YEAR(Table6[[#This Row],[Date]])+IF(MONTH(Table6[[#This Row],[Date]])&gt;=4,1,0)</f>
        <v>2026</v>
      </c>
      <c r="C672" s="105">
        <f>YEAR(Table6[[#This Row],[Date]])</f>
        <v>2025</v>
      </c>
      <c r="D672" s="105" t="s">
        <v>465</v>
      </c>
      <c r="E672" s="119">
        <f>Table6[[#This Row],[Date]]-DAY(Table6[[#This Row],[Date]])+1</f>
        <v>45778</v>
      </c>
      <c r="F672" s="118">
        <v>45808</v>
      </c>
      <c r="G672" s="105" t="s">
        <v>98</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473</v>
      </c>
      <c r="N672" s="39" t="s">
        <v>474</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631</v>
      </c>
      <c r="V672" s="351" t="s">
        <v>476</v>
      </c>
      <c r="W672" s="338">
        <f>Table6[[#This Row],[Breakdown Time]]*(1/39)</f>
        <v>6.3675213675213657E-2</v>
      </c>
      <c r="X672" s="336" t="s">
        <v>477</v>
      </c>
      <c r="Y672" s="352" t="s">
        <v>104</v>
      </c>
      <c r="Z672" s="105">
        <v>17851</v>
      </c>
      <c r="AA672" s="107">
        <v>1847.0826388888881</v>
      </c>
      <c r="AB672" s="105" t="s">
        <v>472</v>
      </c>
    </row>
    <row r="673" spans="1:28">
      <c r="A673" s="105">
        <f t="shared" si="10"/>
        <v>672</v>
      </c>
      <c r="B673" s="107">
        <f>YEAR(Table6[[#This Row],[Date]])+IF(MONTH(Table6[[#This Row],[Date]])&gt;=4,1,0)</f>
        <v>2026</v>
      </c>
      <c r="C673" s="105">
        <f>YEAR(Table6[[#This Row],[Date]])</f>
        <v>2025</v>
      </c>
      <c r="D673" s="105" t="s">
        <v>465</v>
      </c>
      <c r="E673" s="119">
        <f>Table6[[#This Row],[Date]]-DAY(Table6[[#This Row],[Date]])+1</f>
        <v>45778</v>
      </c>
      <c r="F673" s="118">
        <v>45808</v>
      </c>
      <c r="G673" s="105" t="s">
        <v>99</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473</v>
      </c>
      <c r="N673" s="39" t="s">
        <v>474</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475</v>
      </c>
      <c r="V673" s="351" t="s">
        <v>476</v>
      </c>
      <c r="W673" s="338">
        <f>Table6[[#This Row],[Breakdown Time]]*(1/39)</f>
        <v>1.1965811965811956E-2</v>
      </c>
      <c r="X673" s="336" t="s">
        <v>477</v>
      </c>
      <c r="Y673" s="352" t="s">
        <v>97</v>
      </c>
      <c r="Z673" s="105">
        <v>15901</v>
      </c>
      <c r="AA673" s="107">
        <v>309.1861111111109</v>
      </c>
      <c r="AB673" s="105" t="s">
        <v>472</v>
      </c>
    </row>
    <row r="674" spans="1:28">
      <c r="A674" s="105">
        <f t="shared" si="10"/>
        <v>673</v>
      </c>
      <c r="B674" s="107">
        <f>YEAR(Table6[[#This Row],[Date]])+IF(MONTH(Table6[[#This Row],[Date]])&gt;=4,1,0)</f>
        <v>2026</v>
      </c>
      <c r="C674" s="105">
        <f>YEAR(Table6[[#This Row],[Date]])</f>
        <v>2025</v>
      </c>
      <c r="D674" s="105" t="s">
        <v>465</v>
      </c>
      <c r="E674" s="119">
        <f>Table6[[#This Row],[Date]]-DAY(Table6[[#This Row],[Date]])+1</f>
        <v>45778</v>
      </c>
      <c r="F674" s="118">
        <v>45808</v>
      </c>
      <c r="G674" s="105" t="s">
        <v>100</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473</v>
      </c>
      <c r="N674" s="39" t="s">
        <v>474</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475</v>
      </c>
      <c r="V674" s="351" t="s">
        <v>476</v>
      </c>
      <c r="W674" s="338">
        <f>Table6[[#This Row],[Breakdown Time]]*(1/39)</f>
        <v>2.264957264957267E-2</v>
      </c>
      <c r="X674" s="336" t="s">
        <v>477</v>
      </c>
      <c r="Y674" s="352" t="s">
        <v>102</v>
      </c>
      <c r="Z674" s="105">
        <v>17192</v>
      </c>
      <c r="AA674" s="107">
        <v>632.76111111111175</v>
      </c>
      <c r="AB674" s="105" t="s">
        <v>472</v>
      </c>
    </row>
    <row r="675" spans="1:28">
      <c r="A675" s="105">
        <f t="shared" si="10"/>
        <v>674</v>
      </c>
      <c r="B675" s="107">
        <f>YEAR(Table6[[#This Row],[Date]])+IF(MONTH(Table6[[#This Row],[Date]])&gt;=4,1,0)</f>
        <v>2026</v>
      </c>
      <c r="C675" s="105">
        <f>YEAR(Table6[[#This Row],[Date]])</f>
        <v>2025</v>
      </c>
      <c r="D675" s="105" t="s">
        <v>465</v>
      </c>
      <c r="E675" s="119">
        <f>Table6[[#This Row],[Date]]-DAY(Table6[[#This Row],[Date]])+1</f>
        <v>45778</v>
      </c>
      <c r="F675" s="118">
        <v>45808</v>
      </c>
      <c r="G675" s="105" t="s">
        <v>107</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473</v>
      </c>
      <c r="N675" s="39" t="s">
        <v>474</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475</v>
      </c>
      <c r="V675" s="351" t="s">
        <v>476</v>
      </c>
      <c r="W675" s="338">
        <f>Table6[[#This Row],[Breakdown Time]]*(1/39)</f>
        <v>2.9059829059829057E-2</v>
      </c>
      <c r="X675" s="336" t="s">
        <v>477</v>
      </c>
      <c r="Y675" s="352" t="s">
        <v>108</v>
      </c>
      <c r="Z675" s="105">
        <v>17300</v>
      </c>
      <c r="AA675" s="107">
        <v>816.94444444444446</v>
      </c>
      <c r="AB675" s="105" t="s">
        <v>472</v>
      </c>
    </row>
    <row r="676" spans="1:28">
      <c r="A676" s="105">
        <f t="shared" si="10"/>
        <v>675</v>
      </c>
      <c r="B676" s="107">
        <f>YEAR(Table6[[#This Row],[Date]])+IF(MONTH(Table6[[#This Row],[Date]])&gt;=4,1,0)</f>
        <v>2026</v>
      </c>
      <c r="C676" s="105">
        <f>YEAR(Table6[[#This Row],[Date]])</f>
        <v>2025</v>
      </c>
      <c r="D676" s="105" t="s">
        <v>465</v>
      </c>
      <c r="E676" s="119">
        <f>Table6[[#This Row],[Date]]-DAY(Table6[[#This Row],[Date]])+1</f>
        <v>45778</v>
      </c>
      <c r="F676" s="118">
        <v>45808</v>
      </c>
      <c r="G676" s="105" t="s">
        <v>107</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473</v>
      </c>
      <c r="N676" s="39" t="s">
        <v>474</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475</v>
      </c>
      <c r="V676" s="351" t="s">
        <v>476</v>
      </c>
      <c r="W676" s="338">
        <f>Table6[[#This Row],[Breakdown Time]]*(1/39)</f>
        <v>2.2222222222222209E-2</v>
      </c>
      <c r="X676" s="336" t="s">
        <v>477</v>
      </c>
      <c r="Y676" s="352" t="s">
        <v>108</v>
      </c>
      <c r="Z676" s="105">
        <v>17300</v>
      </c>
      <c r="AA676" s="107">
        <v>624.72222222222194</v>
      </c>
      <c r="AB676" s="105" t="s">
        <v>472</v>
      </c>
    </row>
    <row r="677" spans="1:28">
      <c r="A677" s="105">
        <f t="shared" si="10"/>
        <v>676</v>
      </c>
      <c r="B677" s="107">
        <f>YEAR(Table6[[#This Row],[Date]])+IF(MONTH(Table6[[#This Row],[Date]])&gt;=4,1,0)</f>
        <v>2026</v>
      </c>
      <c r="C677" s="105">
        <f>YEAR(Table6[[#This Row],[Date]])</f>
        <v>2025</v>
      </c>
      <c r="D677" s="105" t="s">
        <v>465</v>
      </c>
      <c r="E677" s="119">
        <f>Table6[[#This Row],[Date]]-DAY(Table6[[#This Row],[Date]])+1</f>
        <v>45778</v>
      </c>
      <c r="F677" s="118">
        <v>45808</v>
      </c>
      <c r="G677" s="105" t="s">
        <v>108</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473</v>
      </c>
      <c r="N677" s="39" t="s">
        <v>474</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484</v>
      </c>
      <c r="V677" s="351" t="s">
        <v>476</v>
      </c>
      <c r="W677" s="338">
        <f>Table6[[#This Row],[Breakdown Time]]*(1/39)</f>
        <v>3.9743589743589769E-2</v>
      </c>
      <c r="X677" s="336" t="s">
        <v>477</v>
      </c>
      <c r="Y677" s="352" t="s">
        <v>109</v>
      </c>
      <c r="Z677" s="105">
        <v>17839</v>
      </c>
      <c r="AA677" s="107">
        <v>1152.1020833333341</v>
      </c>
      <c r="AB677" s="105" t="s">
        <v>472</v>
      </c>
    </row>
    <row r="678" spans="1:28">
      <c r="A678" s="105">
        <f t="shared" si="10"/>
        <v>677</v>
      </c>
      <c r="B678" s="107">
        <f>YEAR(Table6[[#This Row],[Date]])+IF(MONTH(Table6[[#This Row],[Date]])&gt;=4,1,0)</f>
        <v>2026</v>
      </c>
      <c r="C678" s="105">
        <f>YEAR(Table6[[#This Row],[Date]])</f>
        <v>2025</v>
      </c>
      <c r="D678" s="105" t="s">
        <v>465</v>
      </c>
      <c r="E678" s="119">
        <f>Table6[[#This Row],[Date]]-DAY(Table6[[#This Row],[Date]])+1</f>
        <v>45778</v>
      </c>
      <c r="F678" s="118">
        <v>45808</v>
      </c>
      <c r="G678" s="105" t="s">
        <v>110</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473</v>
      </c>
      <c r="N678" s="39" t="s">
        <v>474</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475</v>
      </c>
      <c r="V678" s="351" t="s">
        <v>476</v>
      </c>
      <c r="W678" s="338">
        <f>Table6[[#This Row],[Breakdown Time]]*(1/39)</f>
        <v>4.8290598290598286E-2</v>
      </c>
      <c r="X678" s="336" t="s">
        <v>477</v>
      </c>
      <c r="Y678" s="352" t="s">
        <v>111</v>
      </c>
      <c r="Z678" s="105">
        <v>17852</v>
      </c>
      <c r="AA678" s="107">
        <v>1400.8861111111112</v>
      </c>
      <c r="AB678" s="105" t="s">
        <v>472</v>
      </c>
    </row>
    <row r="679" spans="1:28">
      <c r="A679" s="105">
        <f t="shared" si="10"/>
        <v>678</v>
      </c>
      <c r="B679" s="107">
        <f>YEAR(Table6[[#This Row],[Date]])+IF(MONTH(Table6[[#This Row],[Date]])&gt;=4,1,0)</f>
        <v>2026</v>
      </c>
      <c r="C679" s="105">
        <f>YEAR(Table6[[#This Row],[Date]])</f>
        <v>2025</v>
      </c>
      <c r="D679" s="105" t="s">
        <v>465</v>
      </c>
      <c r="E679" s="119">
        <f>Table6[[#This Row],[Date]]-DAY(Table6[[#This Row],[Date]])+1</f>
        <v>45809</v>
      </c>
      <c r="F679" s="118">
        <v>45809</v>
      </c>
      <c r="G679" s="105" t="s">
        <v>103</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466</v>
      </c>
      <c r="L679" s="39" t="str">
        <f>IFERROR(VLOOKUP(Table6[[#This Row],[Error Code]],'Basic Data'!$T:$U,2,0),"")</f>
        <v>Manual Stop - Safety Related</v>
      </c>
      <c r="M679" s="346" t="s">
        <v>467</v>
      </c>
      <c r="N679" s="39" t="s">
        <v>468</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469</v>
      </c>
      <c r="V679" s="351" t="s">
        <v>470</v>
      </c>
      <c r="W679" s="338">
        <f>Table6[[#This Row],[Breakdown Time]]*(1/39)</f>
        <v>0.61495726495726499</v>
      </c>
      <c r="X679" s="336" t="s">
        <v>486</v>
      </c>
      <c r="Y679" s="352" t="s">
        <v>100</v>
      </c>
      <c r="Z679" s="105">
        <v>19252</v>
      </c>
      <c r="AA679" s="107">
        <v>19238.630555555555</v>
      </c>
      <c r="AB679" s="105" t="s">
        <v>472</v>
      </c>
    </row>
    <row r="680" spans="1:28">
      <c r="A680" s="105">
        <f t="shared" si="10"/>
        <v>679</v>
      </c>
      <c r="B680" s="107">
        <f>YEAR(Table6[[#This Row],[Date]])+IF(MONTH(Table6[[#This Row],[Date]])&gt;=4,1,0)</f>
        <v>2026</v>
      </c>
      <c r="C680" s="105">
        <f>YEAR(Table6[[#This Row],[Date]])</f>
        <v>2025</v>
      </c>
      <c r="D680" s="105" t="s">
        <v>465</v>
      </c>
      <c r="E680" s="119">
        <f>Table6[[#This Row],[Date]]-DAY(Table6[[#This Row],[Date]])+1</f>
        <v>45809</v>
      </c>
      <c r="F680" s="118">
        <v>45809</v>
      </c>
      <c r="G680" s="105" t="s">
        <v>101</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466</v>
      </c>
      <c r="L680" s="39" t="str">
        <f>IFERROR(VLOOKUP(Table6[[#This Row],[Error Code]],'Basic Data'!$T:$U,2,0),"")</f>
        <v>Manual Stop - Safety Related</v>
      </c>
      <c r="M680" s="346" t="s">
        <v>467</v>
      </c>
      <c r="N680" s="39" t="s">
        <v>468</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469</v>
      </c>
      <c r="V680" s="351" t="s">
        <v>470</v>
      </c>
      <c r="W680" s="338">
        <f>Table6[[#This Row],[Breakdown Time]]*(1/39)</f>
        <v>0.61495726495726499</v>
      </c>
      <c r="X680" s="336" t="s">
        <v>486</v>
      </c>
      <c r="Y680" s="352" t="s">
        <v>100</v>
      </c>
      <c r="Z680" s="105">
        <v>19252</v>
      </c>
      <c r="AA680" s="107">
        <v>19238.630555555555</v>
      </c>
      <c r="AB680" s="105" t="s">
        <v>472</v>
      </c>
    </row>
    <row r="681" spans="1:28">
      <c r="A681" s="105">
        <f t="shared" si="10"/>
        <v>680</v>
      </c>
      <c r="B681" s="107">
        <f>YEAR(Table6[[#This Row],[Date]])+IF(MONTH(Table6[[#This Row],[Date]])&gt;=4,1,0)</f>
        <v>2026</v>
      </c>
      <c r="C681" s="105">
        <f>YEAR(Table6[[#This Row],[Date]])</f>
        <v>2025</v>
      </c>
      <c r="D681" s="105" t="s">
        <v>465</v>
      </c>
      <c r="E681" s="119">
        <f>Table6[[#This Row],[Date]]-DAY(Table6[[#This Row],[Date]])+1</f>
        <v>45809</v>
      </c>
      <c r="F681" s="118">
        <v>45809</v>
      </c>
      <c r="G681" s="105" t="s">
        <v>82</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552</v>
      </c>
      <c r="L681" s="39" t="str">
        <f>IFERROR(VLOOKUP(Table6[[#This Row],[Error Code]],'Basic Data'!$T:$U,2,0),"")</f>
        <v>Manual Stop - Preventive Maintenance Activity</v>
      </c>
      <c r="M681" s="346" t="s">
        <v>553</v>
      </c>
      <c r="N681" s="39" t="s">
        <v>189</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574</v>
      </c>
      <c r="V681" s="351" t="s">
        <v>476</v>
      </c>
      <c r="W681" s="338">
        <f>Table6[[#This Row],[Breakdown Time]]*(1/39)</f>
        <v>0.17735042735042733</v>
      </c>
      <c r="X681" s="336" t="s">
        <v>555</v>
      </c>
      <c r="Y681" s="352" t="s">
        <v>85</v>
      </c>
      <c r="Z681" s="105">
        <v>23119</v>
      </c>
      <c r="AA681" s="107">
        <v>6662.7673611111104</v>
      </c>
      <c r="AB681" s="105" t="s">
        <v>472</v>
      </c>
    </row>
    <row r="682" spans="1:28">
      <c r="A682" s="105">
        <f t="shared" si="10"/>
        <v>681</v>
      </c>
      <c r="B682" s="107">
        <f>YEAR(Table6[[#This Row],[Date]])+IF(MONTH(Table6[[#This Row],[Date]])&gt;=4,1,0)</f>
        <v>2026</v>
      </c>
      <c r="C682" s="105">
        <f>YEAR(Table6[[#This Row],[Date]])</f>
        <v>2025</v>
      </c>
      <c r="D682" s="105" t="s">
        <v>465</v>
      </c>
      <c r="E682" s="119">
        <f>Table6[[#This Row],[Date]]-DAY(Table6[[#This Row],[Date]])+1</f>
        <v>45809</v>
      </c>
      <c r="F682" s="118">
        <v>45809</v>
      </c>
      <c r="G682" s="105" t="s">
        <v>95</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473</v>
      </c>
      <c r="N682" s="39" t="s">
        <v>474</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475</v>
      </c>
      <c r="V682" s="351" t="s">
        <v>476</v>
      </c>
      <c r="W682" s="338">
        <f>Table6[[#This Row],[Breakdown Time]]*(1/39)</f>
        <v>1.2393162393162349E-2</v>
      </c>
      <c r="X682" s="336" t="s">
        <v>477</v>
      </c>
      <c r="Y682" s="352" t="s">
        <v>94</v>
      </c>
      <c r="Z682" s="105">
        <v>19243</v>
      </c>
      <c r="AA682" s="107">
        <v>387.5326388888875</v>
      </c>
      <c r="AB682" s="105" t="s">
        <v>472</v>
      </c>
    </row>
    <row r="683" spans="1:28">
      <c r="A683" s="105">
        <f t="shared" si="10"/>
        <v>682</v>
      </c>
      <c r="B683" s="107">
        <f>YEAR(Table6[[#This Row],[Date]])+IF(MONTH(Table6[[#This Row],[Date]])&gt;=4,1,0)</f>
        <v>2026</v>
      </c>
      <c r="C683" s="105">
        <f>YEAR(Table6[[#This Row],[Date]])</f>
        <v>2025</v>
      </c>
      <c r="D683" s="105" t="s">
        <v>465</v>
      </c>
      <c r="E683" s="119">
        <f>Table6[[#This Row],[Date]]-DAY(Table6[[#This Row],[Date]])+1</f>
        <v>45809</v>
      </c>
      <c r="F683" s="118">
        <v>45809</v>
      </c>
      <c r="G683" s="105" t="s">
        <v>96</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473</v>
      </c>
      <c r="N683" s="39" t="s">
        <v>474</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475</v>
      </c>
      <c r="V683" s="351" t="s">
        <v>476</v>
      </c>
      <c r="W683" s="338">
        <f>Table6[[#This Row],[Breakdown Time]]*(1/39)</f>
        <v>1.837606837606838E-2</v>
      </c>
      <c r="X683" s="336" t="s">
        <v>477</v>
      </c>
      <c r="Y683" s="352" t="s">
        <v>78</v>
      </c>
      <c r="Z683" s="105">
        <v>19223</v>
      </c>
      <c r="AA683" s="107">
        <v>574.02013888888905</v>
      </c>
      <c r="AB683" s="105" t="s">
        <v>472</v>
      </c>
    </row>
    <row r="684" spans="1:28">
      <c r="A684" s="105">
        <f t="shared" si="10"/>
        <v>683</v>
      </c>
      <c r="B684" s="107">
        <f>YEAR(Table6[[#This Row],[Date]])+IF(MONTH(Table6[[#This Row],[Date]])&gt;=4,1,0)</f>
        <v>2026</v>
      </c>
      <c r="C684" s="105">
        <f>YEAR(Table6[[#This Row],[Date]])</f>
        <v>2025</v>
      </c>
      <c r="D684" s="105" t="s">
        <v>465</v>
      </c>
      <c r="E684" s="119">
        <f>Table6[[#This Row],[Date]]-DAY(Table6[[#This Row],[Date]])+1</f>
        <v>45809</v>
      </c>
      <c r="F684" s="118">
        <v>45809</v>
      </c>
      <c r="G684" s="105" t="s">
        <v>97</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473</v>
      </c>
      <c r="N684" s="39" t="s">
        <v>474</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475</v>
      </c>
      <c r="V684" s="351" t="s">
        <v>476</v>
      </c>
      <c r="W684" s="338">
        <f>Table6[[#This Row],[Breakdown Time]]*(1/39)</f>
        <v>1.6239316239316251E-2</v>
      </c>
      <c r="X684" s="336" t="s">
        <v>477</v>
      </c>
      <c r="Y684" s="352" t="s">
        <v>99</v>
      </c>
      <c r="Z684" s="105">
        <v>19245</v>
      </c>
      <c r="AA684" s="107">
        <v>507.85416666666703</v>
      </c>
      <c r="AB684" s="105" t="s">
        <v>472</v>
      </c>
    </row>
    <row r="685" spans="1:28">
      <c r="A685" s="105">
        <f t="shared" si="10"/>
        <v>684</v>
      </c>
      <c r="B685" s="107">
        <f>YEAR(Table6[[#This Row],[Date]])+IF(MONTH(Table6[[#This Row],[Date]])&gt;=4,1,0)</f>
        <v>2026</v>
      </c>
      <c r="C685" s="105">
        <f>YEAR(Table6[[#This Row],[Date]])</f>
        <v>2025</v>
      </c>
      <c r="D685" s="105" t="s">
        <v>465</v>
      </c>
      <c r="E685" s="119">
        <f>Table6[[#This Row],[Date]]-DAY(Table6[[#This Row],[Date]])+1</f>
        <v>45809</v>
      </c>
      <c r="F685" s="118">
        <v>45810</v>
      </c>
      <c r="G685" s="105" t="s">
        <v>103</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466</v>
      </c>
      <c r="L685" s="39" t="str">
        <f>IFERROR(VLOOKUP(Table6[[#This Row],[Error Code]],'Basic Data'!$T:$U,2,0),"")</f>
        <v>Manual Stop - Safety Related</v>
      </c>
      <c r="M685" s="346" t="s">
        <v>467</v>
      </c>
      <c r="N685" s="39" t="s">
        <v>468</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469</v>
      </c>
      <c r="V685" s="351" t="s">
        <v>470</v>
      </c>
      <c r="W685" s="338">
        <f>Table6[[#This Row],[Breakdown Time]]*(1/39)</f>
        <v>0.61495726495726499</v>
      </c>
      <c r="X685" s="336" t="s">
        <v>486</v>
      </c>
      <c r="Y685" s="352" t="s">
        <v>100</v>
      </c>
      <c r="Z685" s="105">
        <v>10267</v>
      </c>
      <c r="AA685" s="107">
        <v>10259.870138888889</v>
      </c>
      <c r="AB685" s="105" t="s">
        <v>472</v>
      </c>
    </row>
    <row r="686" spans="1:28">
      <c r="A686" s="105">
        <f t="shared" si="10"/>
        <v>685</v>
      </c>
      <c r="B686" s="107">
        <f>YEAR(Table6[[#This Row],[Date]])+IF(MONTH(Table6[[#This Row],[Date]])&gt;=4,1,0)</f>
        <v>2026</v>
      </c>
      <c r="C686" s="105">
        <f>YEAR(Table6[[#This Row],[Date]])</f>
        <v>2025</v>
      </c>
      <c r="D686" s="105" t="s">
        <v>465</v>
      </c>
      <c r="E686" s="119">
        <f>Table6[[#This Row],[Date]]-DAY(Table6[[#This Row],[Date]])+1</f>
        <v>45809</v>
      </c>
      <c r="F686" s="118">
        <v>45810</v>
      </c>
      <c r="G686" s="105" t="s">
        <v>101</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466</v>
      </c>
      <c r="L686" s="39" t="str">
        <f>IFERROR(VLOOKUP(Table6[[#This Row],[Error Code]],'Basic Data'!$T:$U,2,0),"")</f>
        <v>Manual Stop - Safety Related</v>
      </c>
      <c r="M686" s="346" t="s">
        <v>467</v>
      </c>
      <c r="N686" s="39" t="s">
        <v>468</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469</v>
      </c>
      <c r="V686" s="351" t="s">
        <v>470</v>
      </c>
      <c r="W686" s="338">
        <f>Table6[[#This Row],[Breakdown Time]]*(1/39)</f>
        <v>0.61495726495726499</v>
      </c>
      <c r="X686" s="336" t="s">
        <v>486</v>
      </c>
      <c r="Y686" s="352" t="s">
        <v>100</v>
      </c>
      <c r="Z686" s="105">
        <v>10267</v>
      </c>
      <c r="AA686" s="107">
        <v>10259.870138888889</v>
      </c>
      <c r="AB686" s="105" t="s">
        <v>472</v>
      </c>
    </row>
    <row r="687" spans="1:28">
      <c r="A687" s="105">
        <f t="shared" si="10"/>
        <v>686</v>
      </c>
      <c r="B687" s="107">
        <f>YEAR(Table6[[#This Row],[Date]])+IF(MONTH(Table6[[#This Row],[Date]])&gt;=4,1,0)</f>
        <v>2026</v>
      </c>
      <c r="C687" s="105">
        <f>YEAR(Table6[[#This Row],[Date]])</f>
        <v>2025</v>
      </c>
      <c r="D687" s="105" t="s">
        <v>465</v>
      </c>
      <c r="E687" s="119">
        <f>Table6[[#This Row],[Date]]-DAY(Table6[[#This Row],[Date]])+1</f>
        <v>45809</v>
      </c>
      <c r="F687" s="118">
        <v>45810</v>
      </c>
      <c r="G687" s="105" t="s">
        <v>77</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473</v>
      </c>
      <c r="N687" s="39" t="s">
        <v>474</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632</v>
      </c>
      <c r="V687" s="351" t="s">
        <v>476</v>
      </c>
      <c r="W687" s="338">
        <f>Table6[[#This Row],[Breakdown Time]]*(1/39)</f>
        <v>7.2649572649572669E-2</v>
      </c>
      <c r="X687" s="336" t="s">
        <v>477</v>
      </c>
      <c r="Y687" s="352" t="s">
        <v>76</v>
      </c>
      <c r="Z687" s="105">
        <v>10402</v>
      </c>
      <c r="AA687" s="107">
        <v>1228.0138888888891</v>
      </c>
      <c r="AB687" s="105" t="s">
        <v>472</v>
      </c>
    </row>
    <row r="688" spans="1:28">
      <c r="A688" s="105">
        <f t="shared" si="10"/>
        <v>687</v>
      </c>
      <c r="B688" s="107">
        <f>YEAR(Table6[[#This Row],[Date]])+IF(MONTH(Table6[[#This Row],[Date]])&gt;=4,1,0)</f>
        <v>2026</v>
      </c>
      <c r="C688" s="105">
        <f>YEAR(Table6[[#This Row],[Date]])</f>
        <v>2025</v>
      </c>
      <c r="D688" s="105" t="s">
        <v>465</v>
      </c>
      <c r="E688" s="119">
        <f>Table6[[#This Row],[Date]]-DAY(Table6[[#This Row],[Date]])+1</f>
        <v>45809</v>
      </c>
      <c r="F688" s="118">
        <v>45810</v>
      </c>
      <c r="G688" s="105" t="s">
        <v>81</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552</v>
      </c>
      <c r="L688" s="39" t="str">
        <f>IFERROR(VLOOKUP(Table6[[#This Row],[Error Code]],'Basic Data'!$T:$U,2,0),"")</f>
        <v>Manual Stop - Preventive Maintenance Activity</v>
      </c>
      <c r="M688" s="346" t="s">
        <v>553</v>
      </c>
      <c r="N688" s="39" t="s">
        <v>189</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574</v>
      </c>
      <c r="V688" s="351" t="s">
        <v>476</v>
      </c>
      <c r="W688" s="338">
        <f>Table6[[#This Row],[Breakdown Time]]*(1/39)</f>
        <v>0.16452991452991456</v>
      </c>
      <c r="X688" s="336" t="s">
        <v>555</v>
      </c>
      <c r="Y688" s="352" t="s">
        <v>76</v>
      </c>
      <c r="Z688" s="105">
        <v>10402</v>
      </c>
      <c r="AA688" s="107">
        <v>2781.0902777777783</v>
      </c>
      <c r="AB688" s="105" t="s">
        <v>472</v>
      </c>
    </row>
    <row r="689" spans="1:28">
      <c r="A689" s="105">
        <f t="shared" si="10"/>
        <v>688</v>
      </c>
      <c r="B689" s="107">
        <f>YEAR(Table6[[#This Row],[Date]])+IF(MONTH(Table6[[#This Row],[Date]])&gt;=4,1,0)</f>
        <v>2026</v>
      </c>
      <c r="C689" s="105">
        <f>YEAR(Table6[[#This Row],[Date]])</f>
        <v>2025</v>
      </c>
      <c r="D689" s="105" t="s">
        <v>465</v>
      </c>
      <c r="E689" s="119">
        <f>Table6[[#This Row],[Date]]-DAY(Table6[[#This Row],[Date]])+1</f>
        <v>45809</v>
      </c>
      <c r="F689" s="118">
        <v>45810</v>
      </c>
      <c r="G689" s="105" t="s">
        <v>93</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473</v>
      </c>
      <c r="N689" s="39" t="s">
        <v>474</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633</v>
      </c>
      <c r="V689" s="351" t="s">
        <v>476</v>
      </c>
      <c r="W689" s="338">
        <f>Table6[[#This Row],[Breakdown Time]]*(1/39)</f>
        <v>5.3846153846153856E-2</v>
      </c>
      <c r="X689" s="336" t="s">
        <v>477</v>
      </c>
      <c r="Y689" s="352" t="s">
        <v>92</v>
      </c>
      <c r="Z689" s="105">
        <v>12267</v>
      </c>
      <c r="AA689" s="107">
        <v>1073.3625000000002</v>
      </c>
      <c r="AB689" s="105" t="s">
        <v>472</v>
      </c>
    </row>
    <row r="690" spans="1:28">
      <c r="A690" s="105">
        <f t="shared" si="10"/>
        <v>689</v>
      </c>
      <c r="B690" s="107">
        <f>YEAR(Table6[[#This Row],[Date]])+IF(MONTH(Table6[[#This Row],[Date]])&gt;=4,1,0)</f>
        <v>2026</v>
      </c>
      <c r="C690" s="105">
        <f>YEAR(Table6[[#This Row],[Date]])</f>
        <v>2025</v>
      </c>
      <c r="D690" s="105" t="s">
        <v>465</v>
      </c>
      <c r="E690" s="119">
        <f>Table6[[#This Row],[Date]]-DAY(Table6[[#This Row],[Date]])+1</f>
        <v>45809</v>
      </c>
      <c r="F690" s="118">
        <v>45810</v>
      </c>
      <c r="G690" s="105" t="s">
        <v>105</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517</v>
      </c>
      <c r="L690" s="39" t="str">
        <f>IFERROR(VLOOKUP(Table6[[#This Row],[Error Code]],'Basic Data'!$T:$U,2,0),"")</f>
        <v>General Work Stoppage</v>
      </c>
      <c r="M690" s="346" t="s">
        <v>499</v>
      </c>
      <c r="N690" s="39" t="s">
        <v>189</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634</v>
      </c>
      <c r="V690" s="351" t="s">
        <v>476</v>
      </c>
      <c r="W690" s="338">
        <f>Table6[[#This Row],[Breakdown Time]]*(1/39)</f>
        <v>2.6923076923076928E-2</v>
      </c>
      <c r="X690" s="336" t="s">
        <v>501</v>
      </c>
      <c r="Y690" s="352" t="s">
        <v>106</v>
      </c>
      <c r="Z690" s="105">
        <v>9109</v>
      </c>
      <c r="AA690" s="107">
        <v>398.51875000000013</v>
      </c>
      <c r="AB690" s="105" t="s">
        <v>472</v>
      </c>
    </row>
    <row r="691" spans="1:28">
      <c r="A691" s="105">
        <f t="shared" si="10"/>
        <v>690</v>
      </c>
      <c r="B691" s="107">
        <f>YEAR(Table6[[#This Row],[Date]])+IF(MONTH(Table6[[#This Row],[Date]])&gt;=4,1,0)</f>
        <v>2026</v>
      </c>
      <c r="C691" s="105">
        <f>YEAR(Table6[[#This Row],[Date]])</f>
        <v>2025</v>
      </c>
      <c r="D691" s="105" t="s">
        <v>465</v>
      </c>
      <c r="E691" s="119">
        <f>Table6[[#This Row],[Date]]-DAY(Table6[[#This Row],[Date]])+1</f>
        <v>45809</v>
      </c>
      <c r="F691" s="118">
        <v>45810</v>
      </c>
      <c r="G691" s="105" t="s">
        <v>107</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517</v>
      </c>
      <c r="L691" s="39" t="str">
        <f>IFERROR(VLOOKUP(Table6[[#This Row],[Error Code]],'Basic Data'!$T:$U,2,0),"")</f>
        <v>General Work Stoppage</v>
      </c>
      <c r="M691" s="346" t="s">
        <v>499</v>
      </c>
      <c r="N691" s="39" t="s">
        <v>189</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635</v>
      </c>
      <c r="V691" s="351" t="s">
        <v>476</v>
      </c>
      <c r="W691" s="338">
        <f>Table6[[#This Row],[Breakdown Time]]*(1/39)</f>
        <v>2.4358974358974408E-2</v>
      </c>
      <c r="X691" s="336" t="s">
        <v>501</v>
      </c>
      <c r="Y691" s="352" t="s">
        <v>108</v>
      </c>
      <c r="Z691" s="105">
        <v>9111</v>
      </c>
      <c r="AA691" s="107">
        <v>360.64375000000075</v>
      </c>
      <c r="AB691" s="105" t="s">
        <v>472</v>
      </c>
    </row>
    <row r="692" spans="1:28">
      <c r="A692" s="105">
        <f t="shared" si="10"/>
        <v>691</v>
      </c>
      <c r="B692" s="107">
        <f>YEAR(Table6[[#This Row],[Date]])+IF(MONTH(Table6[[#This Row],[Date]])&gt;=4,1,0)</f>
        <v>2026</v>
      </c>
      <c r="C692" s="105">
        <f>YEAR(Table6[[#This Row],[Date]])</f>
        <v>2025</v>
      </c>
      <c r="D692" s="105" t="s">
        <v>465</v>
      </c>
      <c r="E692" s="119">
        <f>Table6[[#This Row],[Date]]-DAY(Table6[[#This Row],[Date]])+1</f>
        <v>45809</v>
      </c>
      <c r="F692" s="118">
        <v>45810</v>
      </c>
      <c r="G692" s="105" t="s">
        <v>105</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473</v>
      </c>
      <c r="N692" s="39" t="s">
        <v>474</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475</v>
      </c>
      <c r="V692" s="351" t="s">
        <v>476</v>
      </c>
      <c r="W692" s="338">
        <f>Table6[[#This Row],[Breakdown Time]]*(1/39)</f>
        <v>1.1965811965811923E-2</v>
      </c>
      <c r="X692" s="336" t="s">
        <v>477</v>
      </c>
      <c r="Y692" s="352" t="s">
        <v>106</v>
      </c>
      <c r="Z692" s="105">
        <v>9109</v>
      </c>
      <c r="AA692" s="107">
        <v>177.11944444444381</v>
      </c>
      <c r="AB692" s="105" t="s">
        <v>472</v>
      </c>
    </row>
    <row r="693" spans="1:28">
      <c r="A693" s="105">
        <f t="shared" si="10"/>
        <v>692</v>
      </c>
      <c r="B693" s="107">
        <f>YEAR(Table6[[#This Row],[Date]])+IF(MONTH(Table6[[#This Row],[Date]])&gt;=4,1,0)</f>
        <v>2026</v>
      </c>
      <c r="C693" s="105">
        <f>YEAR(Table6[[#This Row],[Date]])</f>
        <v>2025</v>
      </c>
      <c r="D693" s="105" t="s">
        <v>465</v>
      </c>
      <c r="E693" s="119">
        <f>Table6[[#This Row],[Date]]-DAY(Table6[[#This Row],[Date]])+1</f>
        <v>45809</v>
      </c>
      <c r="F693" s="118">
        <v>45811</v>
      </c>
      <c r="G693" s="105" t="s">
        <v>103</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466</v>
      </c>
      <c r="L693" s="39" t="str">
        <f>IFERROR(VLOOKUP(Table6[[#This Row],[Error Code]],'Basic Data'!$T:$U,2,0),"")</f>
        <v>Manual Stop - Safety Related</v>
      </c>
      <c r="M693" s="346" t="s">
        <v>467</v>
      </c>
      <c r="N693" s="39" t="s">
        <v>468</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469</v>
      </c>
      <c r="V693" s="351" t="s">
        <v>470</v>
      </c>
      <c r="W693" s="338">
        <f>Table6[[#This Row],[Breakdown Time]]*(1/39)</f>
        <v>0.61495726495726499</v>
      </c>
      <c r="X693" s="336" t="s">
        <v>486</v>
      </c>
      <c r="Y693" s="352" t="s">
        <v>100</v>
      </c>
      <c r="Z693" s="105">
        <v>18276</v>
      </c>
      <c r="AA693" s="107">
        <v>18263.308333333334</v>
      </c>
      <c r="AB693" s="105" t="s">
        <v>472</v>
      </c>
    </row>
    <row r="694" spans="1:28">
      <c r="A694" s="105">
        <f t="shared" si="10"/>
        <v>693</v>
      </c>
      <c r="B694" s="107">
        <f>YEAR(Table6[[#This Row],[Date]])+IF(MONTH(Table6[[#This Row],[Date]])&gt;=4,1,0)</f>
        <v>2026</v>
      </c>
      <c r="C694" s="105">
        <f>YEAR(Table6[[#This Row],[Date]])</f>
        <v>2025</v>
      </c>
      <c r="D694" s="105" t="s">
        <v>465</v>
      </c>
      <c r="E694" s="119">
        <f>Table6[[#This Row],[Date]]-DAY(Table6[[#This Row],[Date]])+1</f>
        <v>45809</v>
      </c>
      <c r="F694" s="118">
        <v>45811</v>
      </c>
      <c r="G694" s="105" t="s">
        <v>101</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466</v>
      </c>
      <c r="L694" s="39" t="str">
        <f>IFERROR(VLOOKUP(Table6[[#This Row],[Error Code]],'Basic Data'!$T:$U,2,0),"")</f>
        <v>Manual Stop - Safety Related</v>
      </c>
      <c r="M694" s="346" t="s">
        <v>467</v>
      </c>
      <c r="N694" s="39" t="s">
        <v>468</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469</v>
      </c>
      <c r="V694" s="351" t="s">
        <v>470</v>
      </c>
      <c r="W694" s="338">
        <f>Table6[[#This Row],[Breakdown Time]]*(1/39)</f>
        <v>0.61495726495726499</v>
      </c>
      <c r="X694" s="336" t="s">
        <v>486</v>
      </c>
      <c r="Y694" s="352" t="s">
        <v>100</v>
      </c>
      <c r="Z694" s="105">
        <v>18276</v>
      </c>
      <c r="AA694" s="107">
        <v>18263.308333333334</v>
      </c>
      <c r="AB694" s="105" t="s">
        <v>472</v>
      </c>
    </row>
    <row r="695" spans="1:28">
      <c r="A695" s="105">
        <f t="shared" si="10"/>
        <v>694</v>
      </c>
      <c r="B695" s="107">
        <f>YEAR(Table6[[#This Row],[Date]])+IF(MONTH(Table6[[#This Row],[Date]])&gt;=4,1,0)</f>
        <v>2026</v>
      </c>
      <c r="C695" s="105">
        <f>YEAR(Table6[[#This Row],[Date]])</f>
        <v>2025</v>
      </c>
      <c r="D695" s="105" t="s">
        <v>465</v>
      </c>
      <c r="E695" s="119">
        <f>Table6[[#This Row],[Date]]-DAY(Table6[[#This Row],[Date]])+1</f>
        <v>45809</v>
      </c>
      <c r="F695" s="118">
        <v>45811</v>
      </c>
      <c r="G695" s="105" t="s">
        <v>84</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473</v>
      </c>
      <c r="N695" s="39" t="s">
        <v>474</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475</v>
      </c>
      <c r="V695" s="351" t="s">
        <v>476</v>
      </c>
      <c r="W695" s="338">
        <f>Table6[[#This Row],[Breakdown Time]]*(1/39)</f>
        <v>4.7435897435897399E-2</v>
      </c>
      <c r="X695" s="336" t="s">
        <v>477</v>
      </c>
      <c r="Y695" s="352" t="s">
        <v>83</v>
      </c>
      <c r="Z695" s="105">
        <v>21268</v>
      </c>
      <c r="AA695" s="107">
        <v>1639.4083333333322</v>
      </c>
      <c r="AB695" s="105" t="s">
        <v>472</v>
      </c>
    </row>
    <row r="696" spans="1:28">
      <c r="A696" s="105">
        <f t="shared" si="10"/>
        <v>695</v>
      </c>
      <c r="B696" s="107">
        <f>YEAR(Table6[[#This Row],[Date]])+IF(MONTH(Table6[[#This Row],[Date]])&gt;=4,1,0)</f>
        <v>2026</v>
      </c>
      <c r="C696" s="105">
        <f>YEAR(Table6[[#This Row],[Date]])</f>
        <v>2025</v>
      </c>
      <c r="D696" s="105" t="s">
        <v>465</v>
      </c>
      <c r="E696" s="119">
        <f>Table6[[#This Row],[Date]]-DAY(Table6[[#This Row],[Date]])+1</f>
        <v>45809</v>
      </c>
      <c r="F696" s="118">
        <v>45811</v>
      </c>
      <c r="G696" s="105" t="s">
        <v>84</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552</v>
      </c>
      <c r="L696" s="39" t="str">
        <f>IFERROR(VLOOKUP(Table6[[#This Row],[Error Code]],'Basic Data'!$T:$U,2,0),"")</f>
        <v>Manual Stop - Preventive Maintenance Activity</v>
      </c>
      <c r="M696" s="346" t="s">
        <v>553</v>
      </c>
      <c r="N696" s="39" t="s">
        <v>189</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574</v>
      </c>
      <c r="V696" s="351" t="s">
        <v>476</v>
      </c>
      <c r="W696" s="338">
        <f>Table6[[#This Row],[Breakdown Time]]*(1/39)</f>
        <v>0.16153846153846158</v>
      </c>
      <c r="X696" s="336" t="s">
        <v>555</v>
      </c>
      <c r="Y696" s="352" t="s">
        <v>83</v>
      </c>
      <c r="Z696" s="105">
        <v>21268</v>
      </c>
      <c r="AA696" s="107">
        <v>5582.8500000000013</v>
      </c>
      <c r="AB696" s="105" t="s">
        <v>472</v>
      </c>
    </row>
    <row r="697" spans="1:28">
      <c r="A697" s="105">
        <f t="shared" si="10"/>
        <v>696</v>
      </c>
      <c r="B697" s="107">
        <f>YEAR(Table6[[#This Row],[Date]])+IF(MONTH(Table6[[#This Row],[Date]])&gt;=4,1,0)</f>
        <v>2026</v>
      </c>
      <c r="C697" s="105">
        <f>YEAR(Table6[[#This Row],[Date]])</f>
        <v>2025</v>
      </c>
      <c r="D697" s="105" t="s">
        <v>465</v>
      </c>
      <c r="E697" s="119">
        <f>Table6[[#This Row],[Date]]-DAY(Table6[[#This Row],[Date]])+1</f>
        <v>45809</v>
      </c>
      <c r="F697" s="118">
        <v>45811</v>
      </c>
      <c r="G697" s="105" t="s">
        <v>92</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473</v>
      </c>
      <c r="N697" s="39" t="s">
        <v>474</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484</v>
      </c>
      <c r="V697" s="351" t="s">
        <v>476</v>
      </c>
      <c r="W697" s="338">
        <f>Table6[[#This Row],[Breakdown Time]]*(1/39)</f>
        <v>8.1196581196581255E-3</v>
      </c>
      <c r="X697" s="336" t="s">
        <v>477</v>
      </c>
      <c r="Y697" s="352" t="s">
        <v>91</v>
      </c>
      <c r="Z697" s="105">
        <v>21657</v>
      </c>
      <c r="AA697" s="107">
        <v>285.75208333333353</v>
      </c>
      <c r="AB697" s="105" t="s">
        <v>472</v>
      </c>
    </row>
    <row r="698" spans="1:28">
      <c r="A698" s="105">
        <f t="shared" si="10"/>
        <v>697</v>
      </c>
      <c r="B698" s="107">
        <f>YEAR(Table6[[#This Row],[Date]])+IF(MONTH(Table6[[#This Row],[Date]])&gt;=4,1,0)</f>
        <v>2026</v>
      </c>
      <c r="C698" s="105">
        <f>YEAR(Table6[[#This Row],[Date]])</f>
        <v>2025</v>
      </c>
      <c r="D698" s="105" t="s">
        <v>465</v>
      </c>
      <c r="E698" s="119">
        <f>Table6[[#This Row],[Date]]-DAY(Table6[[#This Row],[Date]])+1</f>
        <v>45809</v>
      </c>
      <c r="F698" s="118">
        <v>45811</v>
      </c>
      <c r="G698" s="105" t="s">
        <v>93</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473</v>
      </c>
      <c r="N698" s="39" t="s">
        <v>474</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636</v>
      </c>
      <c r="V698" s="351" t="s">
        <v>476</v>
      </c>
      <c r="W698" s="338">
        <f>Table6[[#This Row],[Breakdown Time]]*(1/39)</f>
        <v>6.2820512820512805E-2</v>
      </c>
      <c r="X698" s="336" t="s">
        <v>477</v>
      </c>
      <c r="Y698" s="352" t="s">
        <v>91</v>
      </c>
      <c r="Z698" s="105">
        <v>21657</v>
      </c>
      <c r="AA698" s="107">
        <v>2210.8187499999995</v>
      </c>
      <c r="AB698" s="105" t="s">
        <v>472</v>
      </c>
    </row>
    <row r="699" spans="1:28">
      <c r="A699" s="105">
        <f t="shared" si="10"/>
        <v>698</v>
      </c>
      <c r="B699" s="107">
        <f>YEAR(Table6[[#This Row],[Date]])+IF(MONTH(Table6[[#This Row],[Date]])&gt;=4,1,0)</f>
        <v>2026</v>
      </c>
      <c r="C699" s="105">
        <f>YEAR(Table6[[#This Row],[Date]])</f>
        <v>2025</v>
      </c>
      <c r="D699" s="105" t="s">
        <v>465</v>
      </c>
      <c r="E699" s="119">
        <f>Table6[[#This Row],[Date]]-DAY(Table6[[#This Row],[Date]])+1</f>
        <v>45809</v>
      </c>
      <c r="F699" s="118">
        <v>45811</v>
      </c>
      <c r="G699" s="105" t="s">
        <v>107</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473</v>
      </c>
      <c r="N699" s="39" t="s">
        <v>474</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637</v>
      </c>
      <c r="V699" s="351" t="s">
        <v>476</v>
      </c>
      <c r="W699" s="338">
        <f>Table6[[#This Row],[Breakdown Time]]*(1/39)</f>
        <v>3.8461538461538464E-2</v>
      </c>
      <c r="X699" s="336" t="s">
        <v>477</v>
      </c>
      <c r="Y699" s="352" t="s">
        <v>108</v>
      </c>
      <c r="Z699" s="105">
        <v>18037</v>
      </c>
      <c r="AA699" s="107">
        <v>1127.3125</v>
      </c>
      <c r="AB699" s="105" t="s">
        <v>472</v>
      </c>
    </row>
    <row r="700" spans="1:28">
      <c r="A700" s="105">
        <f t="shared" si="10"/>
        <v>699</v>
      </c>
      <c r="B700" s="107">
        <f>YEAR(Table6[[#This Row],[Date]])+IF(MONTH(Table6[[#This Row],[Date]])&gt;=4,1,0)</f>
        <v>2026</v>
      </c>
      <c r="C700" s="105">
        <f>YEAR(Table6[[#This Row],[Date]])</f>
        <v>2025</v>
      </c>
      <c r="D700" s="105" t="s">
        <v>465</v>
      </c>
      <c r="E700" s="119">
        <f>Table6[[#This Row],[Date]]-DAY(Table6[[#This Row],[Date]])+1</f>
        <v>45809</v>
      </c>
      <c r="F700" s="118">
        <v>45811</v>
      </c>
      <c r="G700" s="105" t="s">
        <v>111</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473</v>
      </c>
      <c r="N700" s="39" t="s">
        <v>474</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475</v>
      </c>
      <c r="V700" s="351" t="s">
        <v>476</v>
      </c>
      <c r="W700" s="338">
        <f>Table6[[#This Row],[Breakdown Time]]*(1/39)</f>
        <v>1.9658119658119654E-2</v>
      </c>
      <c r="X700" s="336" t="s">
        <v>477</v>
      </c>
      <c r="Y700" s="352" t="s">
        <v>112</v>
      </c>
      <c r="Z700" s="105">
        <v>18076</v>
      </c>
      <c r="AA700" s="107">
        <v>577.42777777777769</v>
      </c>
      <c r="AB700" s="105" t="s">
        <v>472</v>
      </c>
    </row>
    <row r="701" spans="1:28">
      <c r="A701" s="105">
        <f t="shared" si="10"/>
        <v>700</v>
      </c>
      <c r="B701" s="107">
        <f>YEAR(Table6[[#This Row],[Date]])+IF(MONTH(Table6[[#This Row],[Date]])&gt;=4,1,0)</f>
        <v>2026</v>
      </c>
      <c r="C701" s="105">
        <f>YEAR(Table6[[#This Row],[Date]])</f>
        <v>2025</v>
      </c>
      <c r="D701" s="105" t="s">
        <v>465</v>
      </c>
      <c r="E701" s="119">
        <f>Table6[[#This Row],[Date]]-DAY(Table6[[#This Row],[Date]])+1</f>
        <v>45809</v>
      </c>
      <c r="F701" s="118">
        <v>45812</v>
      </c>
      <c r="G701" s="105" t="s">
        <v>103</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466</v>
      </c>
      <c r="L701" s="39" t="str">
        <f>IFERROR(VLOOKUP(Table6[[#This Row],[Error Code]],'Basic Data'!$T:$U,2,0),"")</f>
        <v>Manual Stop - Safety Related</v>
      </c>
      <c r="M701" s="346" t="s">
        <v>467</v>
      </c>
      <c r="N701" s="39" t="s">
        <v>468</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469</v>
      </c>
      <c r="V701" s="351" t="s">
        <v>470</v>
      </c>
      <c r="W701" s="338">
        <f>Table6[[#This Row],[Breakdown Time]]*(1/39)</f>
        <v>0.61537749287749288</v>
      </c>
      <c r="X701" s="336" t="s">
        <v>486</v>
      </c>
      <c r="Y701" s="352" t="s">
        <v>100</v>
      </c>
      <c r="Z701" s="105">
        <v>2356</v>
      </c>
      <c r="AA701" s="107">
        <v>2355.9727314814818</v>
      </c>
      <c r="AB701" s="105" t="s">
        <v>472</v>
      </c>
    </row>
    <row r="702" spans="1:28">
      <c r="A702" s="105">
        <f t="shared" si="10"/>
        <v>701</v>
      </c>
      <c r="B702" s="107">
        <f>YEAR(Table6[[#This Row],[Date]])+IF(MONTH(Table6[[#This Row],[Date]])&gt;=4,1,0)</f>
        <v>2026</v>
      </c>
      <c r="C702" s="105">
        <f>YEAR(Table6[[#This Row],[Date]])</f>
        <v>2025</v>
      </c>
      <c r="D702" s="105" t="s">
        <v>465</v>
      </c>
      <c r="E702" s="119">
        <f>Table6[[#This Row],[Date]]-DAY(Table6[[#This Row],[Date]])+1</f>
        <v>45809</v>
      </c>
      <c r="F702" s="118">
        <v>45812</v>
      </c>
      <c r="G702" s="105" t="s">
        <v>101</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466</v>
      </c>
      <c r="L702" s="39" t="str">
        <f>IFERROR(VLOOKUP(Table6[[#This Row],[Error Code]],'Basic Data'!$T:$U,2,0),"")</f>
        <v>Manual Stop - Safety Related</v>
      </c>
      <c r="M702" s="346" t="s">
        <v>467</v>
      </c>
      <c r="N702" s="39" t="s">
        <v>468</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469</v>
      </c>
      <c r="V702" s="351" t="s">
        <v>470</v>
      </c>
      <c r="W702" s="338">
        <f>Table6[[#This Row],[Breakdown Time]]*(1/39)</f>
        <v>0.61537749287749288</v>
      </c>
      <c r="X702" s="336" t="s">
        <v>486</v>
      </c>
      <c r="Y702" s="352" t="s">
        <v>100</v>
      </c>
      <c r="Z702" s="105">
        <v>2356</v>
      </c>
      <c r="AA702" s="107">
        <v>2355.9727314814818</v>
      </c>
      <c r="AB702" s="105" t="s">
        <v>472</v>
      </c>
    </row>
    <row r="703" spans="1:28">
      <c r="A703" s="105">
        <f t="shared" si="10"/>
        <v>702</v>
      </c>
      <c r="B703" s="107">
        <f>YEAR(Table6[[#This Row],[Date]])+IF(MONTH(Table6[[#This Row],[Date]])&gt;=4,1,0)</f>
        <v>2026</v>
      </c>
      <c r="C703" s="105">
        <f>YEAR(Table6[[#This Row],[Date]])</f>
        <v>2025</v>
      </c>
      <c r="D703" s="105" t="s">
        <v>465</v>
      </c>
      <c r="E703" s="119">
        <f>Table6[[#This Row],[Date]]-DAY(Table6[[#This Row],[Date]])+1</f>
        <v>45809</v>
      </c>
      <c r="F703" s="118">
        <v>45812</v>
      </c>
      <c r="G703" s="105" t="s">
        <v>99</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526</v>
      </c>
      <c r="L703" s="39" t="str">
        <f>IFERROR(VLOOKUP(Table6[[#This Row],[Error Code]],'Basic Data'!$T:$U,2,0),"")</f>
        <v>Manual Stop</v>
      </c>
      <c r="M703" s="346" t="s">
        <v>499</v>
      </c>
      <c r="N703" s="39" t="s">
        <v>189</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635</v>
      </c>
      <c r="V703" s="351" t="s">
        <v>476</v>
      </c>
      <c r="W703" s="338">
        <f>Table6[[#This Row],[Breakdown Time]]*(1/39)</f>
        <v>2.3504273504273487E-2</v>
      </c>
      <c r="X703" s="336" t="s">
        <v>501</v>
      </c>
      <c r="Y703" s="352" t="s">
        <v>97</v>
      </c>
      <c r="Z703" s="105">
        <v>2365</v>
      </c>
      <c r="AA703" s="107">
        <v>90.329861111111057</v>
      </c>
      <c r="AB703" s="105" t="s">
        <v>472</v>
      </c>
    </row>
    <row r="704" spans="1:28">
      <c r="A704" s="105">
        <f t="shared" si="10"/>
        <v>703</v>
      </c>
      <c r="B704" s="107">
        <f>YEAR(Table6[[#This Row],[Date]])+IF(MONTH(Table6[[#This Row],[Date]])&gt;=4,1,0)</f>
        <v>2026</v>
      </c>
      <c r="C704" s="105">
        <f>YEAR(Table6[[#This Row],[Date]])</f>
        <v>2025</v>
      </c>
      <c r="D704" s="105" t="s">
        <v>465</v>
      </c>
      <c r="E704" s="119">
        <f>Table6[[#This Row],[Date]]-DAY(Table6[[#This Row],[Date]])+1</f>
        <v>45809</v>
      </c>
      <c r="F704" s="118">
        <v>45812</v>
      </c>
      <c r="G704" s="105" t="s">
        <v>106</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526</v>
      </c>
      <c r="L704" s="39" t="str">
        <f>IFERROR(VLOOKUP(Table6[[#This Row],[Error Code]],'Basic Data'!$T:$U,2,0),"")</f>
        <v>Manual Stop</v>
      </c>
      <c r="M704" s="346" t="s">
        <v>499</v>
      </c>
      <c r="N704" s="39" t="s">
        <v>189</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635</v>
      </c>
      <c r="V704" s="351" t="s">
        <v>476</v>
      </c>
      <c r="W704" s="338">
        <f>Table6[[#This Row],[Breakdown Time]]*(1/39)</f>
        <v>2.2222222222222209E-2</v>
      </c>
      <c r="X704" s="336" t="s">
        <v>501</v>
      </c>
      <c r="Y704" s="352" t="s">
        <v>106</v>
      </c>
      <c r="Z704" s="105">
        <v>3054</v>
      </c>
      <c r="AA704" s="107">
        <v>110.28333333333327</v>
      </c>
      <c r="AB704" s="105" t="s">
        <v>472</v>
      </c>
    </row>
    <row r="705" spans="1:28">
      <c r="A705" s="105">
        <f t="shared" si="10"/>
        <v>704</v>
      </c>
      <c r="B705" s="107">
        <f>YEAR(Table6[[#This Row],[Date]])+IF(MONTH(Table6[[#This Row],[Date]])&gt;=4,1,0)</f>
        <v>2026</v>
      </c>
      <c r="C705" s="105">
        <f>YEAR(Table6[[#This Row],[Date]])</f>
        <v>2025</v>
      </c>
      <c r="D705" s="105" t="s">
        <v>465</v>
      </c>
      <c r="E705" s="119">
        <f>Table6[[#This Row],[Date]]-DAY(Table6[[#This Row],[Date]])+1</f>
        <v>45809</v>
      </c>
      <c r="F705" s="118">
        <v>45812</v>
      </c>
      <c r="G705" s="105" t="s">
        <v>94</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473</v>
      </c>
      <c r="N705" s="39" t="s">
        <v>474</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475</v>
      </c>
      <c r="V705" s="351" t="s">
        <v>476</v>
      </c>
      <c r="W705" s="338">
        <f>Table6[[#This Row],[Breakdown Time]]*(1/39)</f>
        <v>8.9743589743589425E-3</v>
      </c>
      <c r="X705" s="336" t="s">
        <v>477</v>
      </c>
      <c r="Y705" s="352" t="s">
        <v>95</v>
      </c>
      <c r="Z705" s="105">
        <v>2356</v>
      </c>
      <c r="AA705" s="107">
        <v>34.358333333333213</v>
      </c>
      <c r="AB705" s="105" t="s">
        <v>472</v>
      </c>
    </row>
    <row r="706" spans="1:28">
      <c r="A706" s="105">
        <f t="shared" si="10"/>
        <v>705</v>
      </c>
      <c r="B706" s="107">
        <f>YEAR(Table6[[#This Row],[Date]])+IF(MONTH(Table6[[#This Row],[Date]])&gt;=4,1,0)</f>
        <v>2026</v>
      </c>
      <c r="C706" s="105">
        <f>YEAR(Table6[[#This Row],[Date]])</f>
        <v>2025</v>
      </c>
      <c r="D706" s="105" t="s">
        <v>465</v>
      </c>
      <c r="E706" s="119">
        <f>Table6[[#This Row],[Date]]-DAY(Table6[[#This Row],[Date]])+1</f>
        <v>45809</v>
      </c>
      <c r="F706" s="118">
        <v>45812</v>
      </c>
      <c r="G706" s="105" t="s">
        <v>96</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473</v>
      </c>
      <c r="N706" s="39" t="s">
        <v>474</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475</v>
      </c>
      <c r="V706" s="351" t="s">
        <v>476</v>
      </c>
      <c r="W706" s="338">
        <f>Table6[[#This Row],[Breakdown Time]]*(1/39)</f>
        <v>1.5384615384615398E-2</v>
      </c>
      <c r="X706" s="336" t="s">
        <v>477</v>
      </c>
      <c r="Y706" s="352" t="s">
        <v>95</v>
      </c>
      <c r="Z706" s="105">
        <v>2356</v>
      </c>
      <c r="AA706" s="107">
        <v>58.900000000000055</v>
      </c>
      <c r="AB706" s="105" t="s">
        <v>472</v>
      </c>
    </row>
    <row r="707" spans="1:28">
      <c r="A707" s="105">
        <f t="shared" si="10"/>
        <v>706</v>
      </c>
      <c r="B707" s="107">
        <f>YEAR(Table6[[#This Row],[Date]])+IF(MONTH(Table6[[#This Row],[Date]])&gt;=4,1,0)</f>
        <v>2026</v>
      </c>
      <c r="C707" s="105">
        <f>YEAR(Table6[[#This Row],[Date]])</f>
        <v>2025</v>
      </c>
      <c r="D707" s="105" t="s">
        <v>465</v>
      </c>
      <c r="E707" s="119">
        <f>Table6[[#This Row],[Date]]-DAY(Table6[[#This Row],[Date]])+1</f>
        <v>45809</v>
      </c>
      <c r="F707" s="118">
        <v>45812</v>
      </c>
      <c r="G707" s="105" t="s">
        <v>99</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473</v>
      </c>
      <c r="N707" s="39" t="s">
        <v>474</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475</v>
      </c>
      <c r="V707" s="351" t="s">
        <v>476</v>
      </c>
      <c r="W707" s="338">
        <f>Table6[[#This Row],[Breakdown Time]]*(1/39)</f>
        <v>2.1794871794871783E-2</v>
      </c>
      <c r="X707" s="336" t="s">
        <v>477</v>
      </c>
      <c r="Y707" s="352" t="s">
        <v>97</v>
      </c>
      <c r="Z707" s="105">
        <v>2365</v>
      </c>
      <c r="AA707" s="107">
        <v>83.760416666666629</v>
      </c>
      <c r="AB707" s="105" t="s">
        <v>472</v>
      </c>
    </row>
    <row r="708" spans="1:28">
      <c r="A708" s="105">
        <f t="shared" ref="A708:A771" si="11">A707+1</f>
        <v>707</v>
      </c>
      <c r="B708" s="107">
        <f>YEAR(Table6[[#This Row],[Date]])+IF(MONTH(Table6[[#This Row],[Date]])&gt;=4,1,0)</f>
        <v>2026</v>
      </c>
      <c r="C708" s="105">
        <f>YEAR(Table6[[#This Row],[Date]])</f>
        <v>2025</v>
      </c>
      <c r="D708" s="105" t="s">
        <v>465</v>
      </c>
      <c r="E708" s="119">
        <f>Table6[[#This Row],[Date]]-DAY(Table6[[#This Row],[Date]])+1</f>
        <v>45809</v>
      </c>
      <c r="F708" s="118">
        <v>45812</v>
      </c>
      <c r="G708" s="105" t="s">
        <v>97</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473</v>
      </c>
      <c r="N708" s="39" t="s">
        <v>474</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475</v>
      </c>
      <c r="V708" s="351" t="s">
        <v>476</v>
      </c>
      <c r="W708" s="338">
        <f>Table6[[#This Row],[Breakdown Time]]*(1/39)</f>
        <v>2.3931623931623913E-2</v>
      </c>
      <c r="X708" s="336" t="s">
        <v>477</v>
      </c>
      <c r="Y708" s="352" t="s">
        <v>99</v>
      </c>
      <c r="Z708" s="105">
        <v>2362</v>
      </c>
      <c r="AA708" s="107">
        <v>91.855555555555497</v>
      </c>
      <c r="AB708" s="105" t="s">
        <v>472</v>
      </c>
    </row>
    <row r="709" spans="1:28">
      <c r="A709" s="105">
        <f t="shared" si="11"/>
        <v>708</v>
      </c>
      <c r="B709" s="107">
        <f>YEAR(Table6[[#This Row],[Date]])+IF(MONTH(Table6[[#This Row],[Date]])&gt;=4,1,0)</f>
        <v>2026</v>
      </c>
      <c r="C709" s="105">
        <f>YEAR(Table6[[#This Row],[Date]])</f>
        <v>2025</v>
      </c>
      <c r="D709" s="105" t="s">
        <v>465</v>
      </c>
      <c r="E709" s="119">
        <f>Table6[[#This Row],[Date]]-DAY(Table6[[#This Row],[Date]])+1</f>
        <v>45809</v>
      </c>
      <c r="F709" s="118">
        <v>45812</v>
      </c>
      <c r="G709" s="105" t="s">
        <v>100</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473</v>
      </c>
      <c r="N709" s="39" t="s">
        <v>474</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475</v>
      </c>
      <c r="V709" s="351" t="s">
        <v>476</v>
      </c>
      <c r="W709" s="338">
        <f>Table6[[#This Row],[Breakdown Time]]*(1/39)</f>
        <v>2.8205128205128171E-2</v>
      </c>
      <c r="X709" s="336" t="s">
        <v>477</v>
      </c>
      <c r="Y709" s="352" t="s">
        <v>102</v>
      </c>
      <c r="Z709" s="105">
        <v>2372</v>
      </c>
      <c r="AA709" s="107">
        <v>108.71666666666654</v>
      </c>
      <c r="AB709" s="105" t="s">
        <v>472</v>
      </c>
    </row>
    <row r="710" spans="1:28">
      <c r="A710" s="105">
        <f t="shared" si="11"/>
        <v>709</v>
      </c>
      <c r="B710" s="107">
        <f>YEAR(Table6[[#This Row],[Date]])+IF(MONTH(Table6[[#This Row],[Date]])&gt;=4,1,0)</f>
        <v>2026</v>
      </c>
      <c r="C710" s="105">
        <f>YEAR(Table6[[#This Row],[Date]])</f>
        <v>2025</v>
      </c>
      <c r="D710" s="105" t="s">
        <v>465</v>
      </c>
      <c r="E710" s="119">
        <f>Table6[[#This Row],[Date]]-DAY(Table6[[#This Row],[Date]])+1</f>
        <v>45809</v>
      </c>
      <c r="F710" s="118">
        <v>45813</v>
      </c>
      <c r="G710" s="105" t="s">
        <v>103</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466</v>
      </c>
      <c r="L710" s="39" t="str">
        <f>IFERROR(VLOOKUP(Table6[[#This Row],[Error Code]],'Basic Data'!$T:$U,2,0),"")</f>
        <v>Manual Stop - Safety Related</v>
      </c>
      <c r="M710" s="346" t="s">
        <v>467</v>
      </c>
      <c r="N710" s="39" t="s">
        <v>468</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469</v>
      </c>
      <c r="V710" s="351" t="s">
        <v>470</v>
      </c>
      <c r="W710" s="338">
        <f>Table6[[#This Row],[Breakdown Time]]*(1/39)</f>
        <v>0.61537749287749288</v>
      </c>
      <c r="X710" s="336" t="s">
        <v>486</v>
      </c>
      <c r="Y710" s="352" t="s">
        <v>100</v>
      </c>
      <c r="Z710" s="105">
        <v>6856</v>
      </c>
      <c r="AA710" s="107">
        <v>6855.9206481481497</v>
      </c>
      <c r="AB710" s="105" t="s">
        <v>472</v>
      </c>
    </row>
    <row r="711" spans="1:28">
      <c r="A711" s="105">
        <f t="shared" si="11"/>
        <v>710</v>
      </c>
      <c r="B711" s="107">
        <f>YEAR(Table6[[#This Row],[Date]])+IF(MONTH(Table6[[#This Row],[Date]])&gt;=4,1,0)</f>
        <v>2026</v>
      </c>
      <c r="C711" s="105">
        <f>YEAR(Table6[[#This Row],[Date]])</f>
        <v>2025</v>
      </c>
      <c r="D711" s="105" t="s">
        <v>465</v>
      </c>
      <c r="E711" s="119">
        <f>Table6[[#This Row],[Date]]-DAY(Table6[[#This Row],[Date]])+1</f>
        <v>45809</v>
      </c>
      <c r="F711" s="118">
        <v>45813</v>
      </c>
      <c r="G711" s="105" t="s">
        <v>101</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466</v>
      </c>
      <c r="L711" s="39" t="str">
        <f>IFERROR(VLOOKUP(Table6[[#This Row],[Error Code]],'Basic Data'!$T:$U,2,0),"")</f>
        <v>Manual Stop - Safety Related</v>
      </c>
      <c r="M711" s="346" t="s">
        <v>467</v>
      </c>
      <c r="N711" s="39" t="s">
        <v>468</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469</v>
      </c>
      <c r="V711" s="351" t="s">
        <v>470</v>
      </c>
      <c r="W711" s="338">
        <f>Table6[[#This Row],[Breakdown Time]]*(1/39)</f>
        <v>0.61537749287749288</v>
      </c>
      <c r="X711" s="336" t="s">
        <v>486</v>
      </c>
      <c r="Y711" s="352" t="s">
        <v>100</v>
      </c>
      <c r="Z711" s="105">
        <v>6856</v>
      </c>
      <c r="AA711" s="107">
        <v>6855.9206481481497</v>
      </c>
      <c r="AB711" s="105" t="s">
        <v>472</v>
      </c>
    </row>
    <row r="712" spans="1:28">
      <c r="A712" s="105">
        <f t="shared" si="11"/>
        <v>711</v>
      </c>
      <c r="B712" s="107">
        <f>YEAR(Table6[[#This Row],[Date]])+IF(MONTH(Table6[[#This Row],[Date]])&gt;=4,1,0)</f>
        <v>2026</v>
      </c>
      <c r="C712" s="105">
        <f>YEAR(Table6[[#This Row],[Date]])</f>
        <v>2025</v>
      </c>
      <c r="D712" s="105" t="s">
        <v>465</v>
      </c>
      <c r="E712" s="119">
        <f>Table6[[#This Row],[Date]]-DAY(Table6[[#This Row],[Date]])+1</f>
        <v>45809</v>
      </c>
      <c r="F712" s="118">
        <v>45813</v>
      </c>
      <c r="G712" s="105" t="s">
        <v>77</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473</v>
      </c>
      <c r="N712" s="39" t="s">
        <v>474</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557</v>
      </c>
      <c r="V712" s="351" t="s">
        <v>476</v>
      </c>
      <c r="W712" s="338">
        <f>Table6[[#This Row],[Breakdown Time]]*(1/39)</f>
        <v>2.8205128205128206E-2</v>
      </c>
      <c r="X712" s="336" t="s">
        <v>477</v>
      </c>
      <c r="Y712" s="352" t="s">
        <v>76</v>
      </c>
      <c r="Z712" s="105">
        <v>9015</v>
      </c>
      <c r="AA712" s="107">
        <v>413.18750000000006</v>
      </c>
      <c r="AB712" s="105" t="s">
        <v>472</v>
      </c>
    </row>
    <row r="713" spans="1:28">
      <c r="A713" s="105">
        <f t="shared" si="11"/>
        <v>712</v>
      </c>
      <c r="B713" s="107">
        <f>YEAR(Table6[[#This Row],[Date]])+IF(MONTH(Table6[[#This Row],[Date]])&gt;=4,1,0)</f>
        <v>2026</v>
      </c>
      <c r="C713" s="105">
        <f>YEAR(Table6[[#This Row],[Date]])</f>
        <v>2025</v>
      </c>
      <c r="D713" s="105" t="s">
        <v>465</v>
      </c>
      <c r="E713" s="119">
        <f>Table6[[#This Row],[Date]]-DAY(Table6[[#This Row],[Date]])+1</f>
        <v>45809</v>
      </c>
      <c r="F713" s="118">
        <v>45813</v>
      </c>
      <c r="G713" s="105" t="s">
        <v>79</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552</v>
      </c>
      <c r="L713" s="39" t="str">
        <f>IFERROR(VLOOKUP(Table6[[#This Row],[Error Code]],'Basic Data'!$T:$U,2,0),"")</f>
        <v>Manual Stop - Preventive Maintenance Activity</v>
      </c>
      <c r="M713" s="346" t="s">
        <v>553</v>
      </c>
      <c r="N713" s="39" t="s">
        <v>189</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574</v>
      </c>
      <c r="V713" s="351" t="s">
        <v>476</v>
      </c>
      <c r="W713" s="338">
        <f>Table6[[#This Row],[Breakdown Time]]*(1/39)</f>
        <v>0.17649572649572642</v>
      </c>
      <c r="X713" s="336" t="s">
        <v>555</v>
      </c>
      <c r="Y713" s="352" t="s">
        <v>76</v>
      </c>
      <c r="Z713" s="105">
        <v>9015</v>
      </c>
      <c r="AA713" s="107">
        <v>2585.5520833333326</v>
      </c>
      <c r="AB713" s="105" t="s">
        <v>472</v>
      </c>
    </row>
    <row r="714" spans="1:28">
      <c r="A714" s="105">
        <f t="shared" si="11"/>
        <v>713</v>
      </c>
      <c r="B714" s="107">
        <f>YEAR(Table6[[#This Row],[Date]])+IF(MONTH(Table6[[#This Row],[Date]])&gt;=4,1,0)</f>
        <v>2026</v>
      </c>
      <c r="C714" s="105">
        <f>YEAR(Table6[[#This Row],[Date]])</f>
        <v>2025</v>
      </c>
      <c r="D714" s="105" t="s">
        <v>465</v>
      </c>
      <c r="E714" s="119">
        <f>Table6[[#This Row],[Date]]-DAY(Table6[[#This Row],[Date]])+1</f>
        <v>45809</v>
      </c>
      <c r="F714" s="118">
        <v>45813</v>
      </c>
      <c r="G714" s="105" t="s">
        <v>84</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473</v>
      </c>
      <c r="N714" s="39" t="s">
        <v>474</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475</v>
      </c>
      <c r="V714" s="351" t="s">
        <v>476</v>
      </c>
      <c r="W714" s="338">
        <f>Table6[[#This Row],[Breakdown Time]]*(1/39)</f>
        <v>1.3675213675213627E-2</v>
      </c>
      <c r="X714" s="336" t="s">
        <v>477</v>
      </c>
      <c r="Y714" s="352" t="s">
        <v>83</v>
      </c>
      <c r="Z714" s="105">
        <v>9019</v>
      </c>
      <c r="AA714" s="107">
        <v>200.42222222222151</v>
      </c>
      <c r="AB714" s="105" t="s">
        <v>472</v>
      </c>
    </row>
    <row r="715" spans="1:28">
      <c r="A715" s="105">
        <f t="shared" si="11"/>
        <v>714</v>
      </c>
      <c r="B715" s="107">
        <f>YEAR(Table6[[#This Row],[Date]])+IF(MONTH(Table6[[#This Row],[Date]])&gt;=4,1,0)</f>
        <v>2026</v>
      </c>
      <c r="C715" s="105">
        <f>YEAR(Table6[[#This Row],[Date]])</f>
        <v>2025</v>
      </c>
      <c r="D715" s="105" t="s">
        <v>465</v>
      </c>
      <c r="E715" s="119">
        <f>Table6[[#This Row],[Date]]-DAY(Table6[[#This Row],[Date]])+1</f>
        <v>45809</v>
      </c>
      <c r="F715" s="118">
        <v>45813</v>
      </c>
      <c r="G715" s="105" t="s">
        <v>87</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473</v>
      </c>
      <c r="N715" s="39" t="s">
        <v>474</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475</v>
      </c>
      <c r="V715" s="351" t="s">
        <v>476</v>
      </c>
      <c r="W715" s="338">
        <f>Table6[[#This Row],[Breakdown Time]]*(1/39)</f>
        <v>7.6923076923076988E-3</v>
      </c>
      <c r="X715" s="336" t="s">
        <v>477</v>
      </c>
      <c r="Y715" s="352" t="s">
        <v>88</v>
      </c>
      <c r="Z715" s="105">
        <v>8021</v>
      </c>
      <c r="AA715" s="107">
        <v>100.26250000000009</v>
      </c>
      <c r="AB715" s="105" t="s">
        <v>472</v>
      </c>
    </row>
    <row r="716" spans="1:28">
      <c r="A716" s="105">
        <f t="shared" si="11"/>
        <v>715</v>
      </c>
      <c r="B716" s="107">
        <f>YEAR(Table6[[#This Row],[Date]])+IF(MONTH(Table6[[#This Row],[Date]])&gt;=4,1,0)</f>
        <v>2026</v>
      </c>
      <c r="C716" s="105">
        <f>YEAR(Table6[[#This Row],[Date]])</f>
        <v>2025</v>
      </c>
      <c r="D716" s="105" t="s">
        <v>465</v>
      </c>
      <c r="E716" s="119">
        <f>Table6[[#This Row],[Date]]-DAY(Table6[[#This Row],[Date]])+1</f>
        <v>45809</v>
      </c>
      <c r="F716" s="118">
        <v>45813</v>
      </c>
      <c r="G716" s="105" t="s">
        <v>92</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473</v>
      </c>
      <c r="N716" s="39" t="s">
        <v>474</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557</v>
      </c>
      <c r="V716" s="351" t="s">
        <v>476</v>
      </c>
      <c r="W716" s="338">
        <f>Table6[[#This Row],[Breakdown Time]]*(1/39)</f>
        <v>2.1367521367521358E-2</v>
      </c>
      <c r="X716" s="336" t="s">
        <v>477</v>
      </c>
      <c r="Y716" s="352" t="s">
        <v>91</v>
      </c>
      <c r="Z716" s="105">
        <v>8019</v>
      </c>
      <c r="AA716" s="107">
        <v>278.43749999999989</v>
      </c>
      <c r="AB716" s="105" t="s">
        <v>472</v>
      </c>
    </row>
    <row r="717" spans="1:28">
      <c r="A717" s="105">
        <f t="shared" si="11"/>
        <v>716</v>
      </c>
      <c r="B717" s="107">
        <f>YEAR(Table6[[#This Row],[Date]])+IF(MONTH(Table6[[#This Row],[Date]])&gt;=4,1,0)</f>
        <v>2026</v>
      </c>
      <c r="C717" s="105">
        <f>YEAR(Table6[[#This Row],[Date]])</f>
        <v>2025</v>
      </c>
      <c r="D717" s="105" t="s">
        <v>465</v>
      </c>
      <c r="E717" s="119">
        <f>Table6[[#This Row],[Date]]-DAY(Table6[[#This Row],[Date]])+1</f>
        <v>45809</v>
      </c>
      <c r="F717" s="118">
        <v>45813</v>
      </c>
      <c r="G717" s="105" t="s">
        <v>108</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517</v>
      </c>
      <c r="L717" s="39" t="str">
        <f>IFERROR(VLOOKUP(Table6[[#This Row],[Error Code]],'Basic Data'!$T:$U,2,0),"")</f>
        <v>General Work Stoppage</v>
      </c>
      <c r="M717" s="346" t="s">
        <v>499</v>
      </c>
      <c r="N717" s="39" t="s">
        <v>189</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635</v>
      </c>
      <c r="V717" s="351" t="s">
        <v>476</v>
      </c>
      <c r="W717" s="338">
        <f>Table6[[#This Row],[Breakdown Time]]*(1/39)</f>
        <v>3.8461538461538464E-2</v>
      </c>
      <c r="X717" s="336" t="s">
        <v>501</v>
      </c>
      <c r="Y717" s="352" t="s">
        <v>107</v>
      </c>
      <c r="Z717" s="105">
        <v>6232</v>
      </c>
      <c r="AA717" s="107">
        <v>389.5</v>
      </c>
      <c r="AB717" s="105" t="s">
        <v>472</v>
      </c>
    </row>
    <row r="718" spans="1:28">
      <c r="A718" s="105">
        <f t="shared" si="11"/>
        <v>717</v>
      </c>
      <c r="B718" s="107">
        <f>YEAR(Table6[[#This Row],[Date]])+IF(MONTH(Table6[[#This Row],[Date]])&gt;=4,1,0)</f>
        <v>2026</v>
      </c>
      <c r="C718" s="105">
        <f>YEAR(Table6[[#This Row],[Date]])</f>
        <v>2025</v>
      </c>
      <c r="D718" s="105" t="s">
        <v>465</v>
      </c>
      <c r="E718" s="119">
        <f>Table6[[#This Row],[Date]]-DAY(Table6[[#This Row],[Date]])+1</f>
        <v>45809</v>
      </c>
      <c r="F718" s="118">
        <v>45813</v>
      </c>
      <c r="G718" s="105" t="s">
        <v>109</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473</v>
      </c>
      <c r="N718" s="39" t="s">
        <v>474</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557</v>
      </c>
      <c r="V718" s="351" t="s">
        <v>476</v>
      </c>
      <c r="W718" s="338">
        <f>Table6[[#This Row],[Breakdown Time]]*(1/39)</f>
        <v>2.777777777777778E-2</v>
      </c>
      <c r="X718" s="336" t="s">
        <v>477</v>
      </c>
      <c r="Y718" s="352" t="s">
        <v>108</v>
      </c>
      <c r="Z718" s="105">
        <v>5589</v>
      </c>
      <c r="AA718" s="107">
        <v>252.28125000000003</v>
      </c>
      <c r="AB718" s="105" t="s">
        <v>472</v>
      </c>
    </row>
    <row r="719" spans="1:28">
      <c r="A719" s="105">
        <f t="shared" si="11"/>
        <v>718</v>
      </c>
      <c r="B719" s="107">
        <f>YEAR(Table6[[#This Row],[Date]])+IF(MONTH(Table6[[#This Row],[Date]])&gt;=4,1,0)</f>
        <v>2026</v>
      </c>
      <c r="C719" s="105">
        <f>YEAR(Table6[[#This Row],[Date]])</f>
        <v>2025</v>
      </c>
      <c r="D719" s="105" t="s">
        <v>465</v>
      </c>
      <c r="E719" s="119">
        <f>Table6[[#This Row],[Date]]-DAY(Table6[[#This Row],[Date]])+1</f>
        <v>45809</v>
      </c>
      <c r="F719" s="118">
        <v>45814</v>
      </c>
      <c r="G719" s="105" t="s">
        <v>103</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466</v>
      </c>
      <c r="L719" s="39" t="str">
        <f>IFERROR(VLOOKUP(Table6[[#This Row],[Error Code]],'Basic Data'!$T:$U,2,0),"")</f>
        <v>Manual Stop - Safety Related</v>
      </c>
      <c r="M719" s="346" t="s">
        <v>467</v>
      </c>
      <c r="N719" s="39" t="s">
        <v>468</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469</v>
      </c>
      <c r="V719" s="351" t="s">
        <v>470</v>
      </c>
      <c r="W719" s="338">
        <f>Table6[[#This Row],[Breakdown Time]]*(1/39)</f>
        <v>0.61537749287749288</v>
      </c>
      <c r="X719" s="336" t="s">
        <v>486</v>
      </c>
      <c r="Y719" s="352" t="s">
        <v>100</v>
      </c>
      <c r="Z719" s="105">
        <v>9362</v>
      </c>
      <c r="AA719" s="107">
        <v>9361.8916435185183</v>
      </c>
      <c r="AB719" s="105" t="s">
        <v>472</v>
      </c>
    </row>
    <row r="720" spans="1:28">
      <c r="A720" s="105">
        <f t="shared" si="11"/>
        <v>719</v>
      </c>
      <c r="B720" s="107">
        <f>YEAR(Table6[[#This Row],[Date]])+IF(MONTH(Table6[[#This Row],[Date]])&gt;=4,1,0)</f>
        <v>2026</v>
      </c>
      <c r="C720" s="105">
        <f>YEAR(Table6[[#This Row],[Date]])</f>
        <v>2025</v>
      </c>
      <c r="D720" s="105" t="s">
        <v>465</v>
      </c>
      <c r="E720" s="119">
        <f>Table6[[#This Row],[Date]]-DAY(Table6[[#This Row],[Date]])+1</f>
        <v>45809</v>
      </c>
      <c r="F720" s="118">
        <v>45814</v>
      </c>
      <c r="G720" s="105" t="s">
        <v>101</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466</v>
      </c>
      <c r="L720" s="39" t="str">
        <f>IFERROR(VLOOKUP(Table6[[#This Row],[Error Code]],'Basic Data'!$T:$U,2,0),"")</f>
        <v>Manual Stop - Safety Related</v>
      </c>
      <c r="M720" s="346" t="s">
        <v>467</v>
      </c>
      <c r="N720" s="39" t="s">
        <v>468</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469</v>
      </c>
      <c r="V720" s="351" t="s">
        <v>470</v>
      </c>
      <c r="W720" s="338">
        <f>Table6[[#This Row],[Breakdown Time]]*(1/39)</f>
        <v>0.61537749287749288</v>
      </c>
      <c r="X720" s="336" t="s">
        <v>486</v>
      </c>
      <c r="Y720" s="352" t="s">
        <v>100</v>
      </c>
      <c r="Z720" s="105">
        <v>9362</v>
      </c>
      <c r="AA720" s="107">
        <v>9361.8916435185183</v>
      </c>
      <c r="AB720" s="105" t="s">
        <v>472</v>
      </c>
    </row>
    <row r="721" spans="1:28">
      <c r="A721" s="105">
        <f t="shared" si="11"/>
        <v>720</v>
      </c>
      <c r="B721" s="107">
        <f>YEAR(Table6[[#This Row],[Date]])+IF(MONTH(Table6[[#This Row],[Date]])&gt;=4,1,0)</f>
        <v>2026</v>
      </c>
      <c r="C721" s="105">
        <f>YEAR(Table6[[#This Row],[Date]])</f>
        <v>2025</v>
      </c>
      <c r="D721" s="105" t="s">
        <v>465</v>
      </c>
      <c r="E721" s="119">
        <f>Table6[[#This Row],[Date]]-DAY(Table6[[#This Row],[Date]])+1</f>
        <v>45809</v>
      </c>
      <c r="F721" s="118">
        <v>45814</v>
      </c>
      <c r="G721" s="105" t="s">
        <v>76</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552</v>
      </c>
      <c r="L721" s="39" t="str">
        <f>IFERROR(VLOOKUP(Table6[[#This Row],[Error Code]],'Basic Data'!$T:$U,2,0),"")</f>
        <v>Manual Stop - Preventive Maintenance Activity</v>
      </c>
      <c r="M721" s="346" t="s">
        <v>553</v>
      </c>
      <c r="N721" s="39" t="s">
        <v>189</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574</v>
      </c>
      <c r="V721" s="351" t="s">
        <v>476</v>
      </c>
      <c r="W721" s="338">
        <f>Table6[[#This Row],[Breakdown Time]]*(1/39)</f>
        <v>0.16923076923076921</v>
      </c>
      <c r="X721" s="336" t="s">
        <v>555</v>
      </c>
      <c r="Y721" s="352" t="s">
        <v>77</v>
      </c>
      <c r="Z721" s="105">
        <v>14606</v>
      </c>
      <c r="AA721" s="107">
        <v>4016.65</v>
      </c>
      <c r="AB721" s="105" t="s">
        <v>472</v>
      </c>
    </row>
    <row r="722" spans="1:28">
      <c r="A722" s="105">
        <f t="shared" si="11"/>
        <v>721</v>
      </c>
      <c r="B722" s="107">
        <f>YEAR(Table6[[#This Row],[Date]])+IF(MONTH(Table6[[#This Row],[Date]])&gt;=4,1,0)</f>
        <v>2026</v>
      </c>
      <c r="C722" s="105">
        <f>YEAR(Table6[[#This Row],[Date]])</f>
        <v>2025</v>
      </c>
      <c r="D722" s="105" t="s">
        <v>465</v>
      </c>
      <c r="E722" s="119">
        <f>Table6[[#This Row],[Date]]-DAY(Table6[[#This Row],[Date]])+1</f>
        <v>45809</v>
      </c>
      <c r="F722" s="118">
        <v>45814</v>
      </c>
      <c r="G722" s="105" t="s">
        <v>87</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526</v>
      </c>
      <c r="L722" s="39" t="str">
        <f>IFERROR(VLOOKUP(Table6[[#This Row],[Error Code]],'Basic Data'!$T:$U,2,0),"")</f>
        <v>Manual Stop</v>
      </c>
      <c r="M722" s="346" t="s">
        <v>499</v>
      </c>
      <c r="N722" s="39" t="s">
        <v>189</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638</v>
      </c>
      <c r="V722" s="351" t="s">
        <v>476</v>
      </c>
      <c r="W722" s="338">
        <f>Table6[[#This Row],[Breakdown Time]]*(1/39)</f>
        <v>2.3504273504273487E-2</v>
      </c>
      <c r="X722" s="336" t="s">
        <v>477</v>
      </c>
      <c r="Y722" s="352" t="s">
        <v>88</v>
      </c>
      <c r="Z722" s="105">
        <v>12845</v>
      </c>
      <c r="AA722" s="107">
        <v>490.60763888888863</v>
      </c>
      <c r="AB722" s="105" t="s">
        <v>472</v>
      </c>
    </row>
    <row r="723" spans="1:28">
      <c r="A723" s="105">
        <f t="shared" si="11"/>
        <v>722</v>
      </c>
      <c r="B723" s="107">
        <f>YEAR(Table6[[#This Row],[Date]])+IF(MONTH(Table6[[#This Row],[Date]])&gt;=4,1,0)</f>
        <v>2026</v>
      </c>
      <c r="C723" s="105">
        <f>YEAR(Table6[[#This Row],[Date]])</f>
        <v>2025</v>
      </c>
      <c r="D723" s="105" t="s">
        <v>465</v>
      </c>
      <c r="E723" s="119">
        <f>Table6[[#This Row],[Date]]-DAY(Table6[[#This Row],[Date]])+1</f>
        <v>45809</v>
      </c>
      <c r="F723" s="118">
        <v>45814</v>
      </c>
      <c r="G723" s="105" t="s">
        <v>109</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473</v>
      </c>
      <c r="N723" s="39" t="s">
        <v>474</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639</v>
      </c>
      <c r="V723" s="351" t="s">
        <v>476</v>
      </c>
      <c r="W723" s="338">
        <f>Table6[[#This Row],[Breakdown Time]]*(1/39)</f>
        <v>0.10213675213675218</v>
      </c>
      <c r="X723" s="336" t="s">
        <v>501</v>
      </c>
      <c r="Y723" s="352" t="s">
        <v>108</v>
      </c>
      <c r="Z723" s="105">
        <v>7780</v>
      </c>
      <c r="AA723" s="107">
        <v>1291.2638888888896</v>
      </c>
      <c r="AB723" s="105" t="s">
        <v>472</v>
      </c>
    </row>
    <row r="724" spans="1:28">
      <c r="A724" s="105">
        <f t="shared" si="11"/>
        <v>723</v>
      </c>
      <c r="B724" s="107">
        <f>YEAR(Table6[[#This Row],[Date]])+IF(MONTH(Table6[[#This Row],[Date]])&gt;=4,1,0)</f>
        <v>2026</v>
      </c>
      <c r="C724" s="105">
        <f>YEAR(Table6[[#This Row],[Date]])</f>
        <v>2025</v>
      </c>
      <c r="D724" s="105" t="s">
        <v>465</v>
      </c>
      <c r="E724" s="119">
        <f>Table6[[#This Row],[Date]]-DAY(Table6[[#This Row],[Date]])+1</f>
        <v>45809</v>
      </c>
      <c r="F724" s="118">
        <v>45815</v>
      </c>
      <c r="G724" s="105" t="s">
        <v>103</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466</v>
      </c>
      <c r="L724" s="39" t="str">
        <f>IFERROR(VLOOKUP(Table6[[#This Row],[Error Code]],'Basic Data'!$T:$U,2,0),"")</f>
        <v>Manual Stop - Safety Related</v>
      </c>
      <c r="M724" s="346" t="s">
        <v>467</v>
      </c>
      <c r="N724" s="39" t="s">
        <v>468</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469</v>
      </c>
      <c r="V724" s="351" t="s">
        <v>470</v>
      </c>
      <c r="W724" s="338">
        <f>Table6[[#This Row],[Breakdown Time]]*(1/39)</f>
        <v>0.61537749287749288</v>
      </c>
      <c r="X724" s="336" t="s">
        <v>486</v>
      </c>
      <c r="Y724" s="352" t="s">
        <v>100</v>
      </c>
      <c r="Z724" s="105">
        <v>12590</v>
      </c>
      <c r="AA724" s="107">
        <v>12589.85428240741</v>
      </c>
      <c r="AB724" s="105" t="s">
        <v>472</v>
      </c>
    </row>
    <row r="725" spans="1:28">
      <c r="A725" s="105">
        <f t="shared" si="11"/>
        <v>724</v>
      </c>
      <c r="B725" s="107">
        <f>YEAR(Table6[[#This Row],[Date]])+IF(MONTH(Table6[[#This Row],[Date]])&gt;=4,1,0)</f>
        <v>2026</v>
      </c>
      <c r="C725" s="105">
        <f>YEAR(Table6[[#This Row],[Date]])</f>
        <v>2025</v>
      </c>
      <c r="D725" s="105" t="s">
        <v>465</v>
      </c>
      <c r="E725" s="119">
        <f>Table6[[#This Row],[Date]]-DAY(Table6[[#This Row],[Date]])+1</f>
        <v>45809</v>
      </c>
      <c r="F725" s="118">
        <v>45815</v>
      </c>
      <c r="G725" s="105" t="s">
        <v>101</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466</v>
      </c>
      <c r="L725" s="39" t="str">
        <f>IFERROR(VLOOKUP(Table6[[#This Row],[Error Code]],'Basic Data'!$T:$U,2,0),"")</f>
        <v>Manual Stop - Safety Related</v>
      </c>
      <c r="M725" s="346" t="s">
        <v>467</v>
      </c>
      <c r="N725" s="39" t="s">
        <v>468</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469</v>
      </c>
      <c r="V725" s="351" t="s">
        <v>470</v>
      </c>
      <c r="W725" s="338">
        <f>Table6[[#This Row],[Breakdown Time]]*(1/39)</f>
        <v>0.61537749287749288</v>
      </c>
      <c r="X725" s="336" t="s">
        <v>486</v>
      </c>
      <c r="Y725" s="352" t="s">
        <v>100</v>
      </c>
      <c r="Z725" s="105">
        <v>12590</v>
      </c>
      <c r="AA725" s="107">
        <v>12589.85428240741</v>
      </c>
      <c r="AB725" s="105" t="s">
        <v>472</v>
      </c>
    </row>
    <row r="726" spans="1:28">
      <c r="A726" s="105">
        <f t="shared" si="11"/>
        <v>725</v>
      </c>
      <c r="B726" s="107">
        <f>YEAR(Table6[[#This Row],[Date]])+IF(MONTH(Table6[[#This Row],[Date]])&gt;=4,1,0)</f>
        <v>2026</v>
      </c>
      <c r="C726" s="105">
        <f>YEAR(Table6[[#This Row],[Date]])</f>
        <v>2025</v>
      </c>
      <c r="D726" s="105" t="s">
        <v>465</v>
      </c>
      <c r="E726" s="119">
        <f>Table6[[#This Row],[Date]]-DAY(Table6[[#This Row],[Date]])+1</f>
        <v>45809</v>
      </c>
      <c r="F726" s="118">
        <v>45815</v>
      </c>
      <c r="G726" s="105" t="s">
        <v>77</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552</v>
      </c>
      <c r="L726" s="39" t="str">
        <f>IFERROR(VLOOKUP(Table6[[#This Row],[Error Code]],'Basic Data'!$T:$U,2,0),"")</f>
        <v>Manual Stop - Preventive Maintenance Activity</v>
      </c>
      <c r="M726" s="346" t="s">
        <v>553</v>
      </c>
      <c r="N726" s="39" t="s">
        <v>189</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574</v>
      </c>
      <c r="V726" s="351" t="s">
        <v>476</v>
      </c>
      <c r="W726" s="338">
        <f>Table6[[#This Row],[Breakdown Time]]*(1/39)</f>
        <v>0.17735042735042733</v>
      </c>
      <c r="X726" s="336" t="s">
        <v>555</v>
      </c>
      <c r="Y726" s="352" t="s">
        <v>76</v>
      </c>
      <c r="Z726" s="105">
        <v>19809</v>
      </c>
      <c r="AA726" s="107">
        <v>5708.8437499999991</v>
      </c>
      <c r="AB726" s="105" t="s">
        <v>472</v>
      </c>
    </row>
    <row r="727" spans="1:28">
      <c r="A727" s="105">
        <f t="shared" si="11"/>
        <v>726</v>
      </c>
      <c r="B727" s="107">
        <f>YEAR(Table6[[#This Row],[Date]])+IF(MONTH(Table6[[#This Row],[Date]])&gt;=4,1,0)</f>
        <v>2026</v>
      </c>
      <c r="C727" s="105">
        <f>YEAR(Table6[[#This Row],[Date]])</f>
        <v>2025</v>
      </c>
      <c r="D727" s="105" t="s">
        <v>465</v>
      </c>
      <c r="E727" s="119">
        <f>Table6[[#This Row],[Date]]-DAY(Table6[[#This Row],[Date]])+1</f>
        <v>45809</v>
      </c>
      <c r="F727" s="118">
        <v>45815</v>
      </c>
      <c r="G727" s="105" t="s">
        <v>100</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526</v>
      </c>
      <c r="L727" s="39" t="str">
        <f>IFERROR(VLOOKUP(Table6[[#This Row],[Error Code]],'Basic Data'!$T:$U,2,0),"")</f>
        <v>Manual Stop</v>
      </c>
      <c r="M727" s="346" t="s">
        <v>499</v>
      </c>
      <c r="N727" s="39" t="s">
        <v>189</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635</v>
      </c>
      <c r="V727" s="351" t="s">
        <v>476</v>
      </c>
      <c r="W727" s="338">
        <f>Table6[[#This Row],[Breakdown Time]]*(1/39)</f>
        <v>6.2393162393162373E-2</v>
      </c>
      <c r="X727" s="336" t="s">
        <v>501</v>
      </c>
      <c r="Y727" s="352" t="s">
        <v>102</v>
      </c>
      <c r="Z727" s="105">
        <v>12542</v>
      </c>
      <c r="AA727" s="107">
        <v>1271.6194444444443</v>
      </c>
      <c r="AB727" s="105" t="s">
        <v>472</v>
      </c>
    </row>
    <row r="728" spans="1:28">
      <c r="A728" s="105">
        <f t="shared" si="11"/>
        <v>727</v>
      </c>
      <c r="B728" s="107">
        <f>YEAR(Table6[[#This Row],[Date]])+IF(MONTH(Table6[[#This Row],[Date]])&gt;=4,1,0)</f>
        <v>2026</v>
      </c>
      <c r="C728" s="105">
        <f>YEAR(Table6[[#This Row],[Date]])</f>
        <v>2025</v>
      </c>
      <c r="D728" s="105" t="s">
        <v>465</v>
      </c>
      <c r="E728" s="119">
        <f>Table6[[#This Row],[Date]]-DAY(Table6[[#This Row],[Date]])+1</f>
        <v>45809</v>
      </c>
      <c r="F728" s="118">
        <v>45815</v>
      </c>
      <c r="G728" s="105" t="s">
        <v>102</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526</v>
      </c>
      <c r="L728" s="39" t="str">
        <f>IFERROR(VLOOKUP(Table6[[#This Row],[Error Code]],'Basic Data'!$T:$U,2,0),"")</f>
        <v>Manual Stop</v>
      </c>
      <c r="M728" s="346" t="s">
        <v>499</v>
      </c>
      <c r="N728" s="39" t="s">
        <v>189</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635</v>
      </c>
      <c r="V728" s="351" t="s">
        <v>476</v>
      </c>
      <c r="W728" s="338">
        <f>Table6[[#This Row],[Breakdown Time]]*(1/39)</f>
        <v>4.9572649572649598E-2</v>
      </c>
      <c r="X728" s="336" t="s">
        <v>501</v>
      </c>
      <c r="Y728" s="352" t="s">
        <v>100</v>
      </c>
      <c r="Z728" s="105">
        <v>12590</v>
      </c>
      <c r="AA728" s="107">
        <v>1014.1944444444451</v>
      </c>
      <c r="AB728" s="105" t="s">
        <v>472</v>
      </c>
    </row>
    <row r="729" spans="1:28">
      <c r="A729" s="105">
        <f t="shared" si="11"/>
        <v>728</v>
      </c>
      <c r="B729" s="107">
        <f>YEAR(Table6[[#This Row],[Date]])+IF(MONTH(Table6[[#This Row],[Date]])&gt;=4,1,0)</f>
        <v>2026</v>
      </c>
      <c r="C729" s="105">
        <f>YEAR(Table6[[#This Row],[Date]])</f>
        <v>2025</v>
      </c>
      <c r="D729" s="105" t="s">
        <v>465</v>
      </c>
      <c r="E729" s="119">
        <f>Table6[[#This Row],[Date]]-DAY(Table6[[#This Row],[Date]])+1</f>
        <v>45809</v>
      </c>
      <c r="F729" s="118">
        <v>45816</v>
      </c>
      <c r="G729" s="105" t="s">
        <v>103</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466</v>
      </c>
      <c r="L729" s="39" t="str">
        <f>IFERROR(VLOOKUP(Table6[[#This Row],[Error Code]],'Basic Data'!$T:$U,2,0),"")</f>
        <v>Manual Stop - Safety Related</v>
      </c>
      <c r="M729" s="346" t="s">
        <v>467</v>
      </c>
      <c r="N729" s="39" t="s">
        <v>468</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469</v>
      </c>
      <c r="V729" s="351" t="s">
        <v>470</v>
      </c>
      <c r="W729" s="338">
        <f>Table6[[#This Row],[Breakdown Time]]*(1/39)</f>
        <v>0.61537749287749288</v>
      </c>
      <c r="X729" s="336" t="s">
        <v>486</v>
      </c>
      <c r="Y729" s="352" t="s">
        <v>100</v>
      </c>
      <c r="Z729" s="105">
        <v>12125</v>
      </c>
      <c r="AA729" s="107">
        <v>12124.859664351852</v>
      </c>
      <c r="AB729" s="105" t="s">
        <v>472</v>
      </c>
    </row>
    <row r="730" spans="1:28">
      <c r="A730" s="105">
        <f t="shared" si="11"/>
        <v>729</v>
      </c>
      <c r="B730" s="107">
        <f>YEAR(Table6[[#This Row],[Date]])+IF(MONTH(Table6[[#This Row],[Date]])&gt;=4,1,0)</f>
        <v>2026</v>
      </c>
      <c r="C730" s="105">
        <f>YEAR(Table6[[#This Row],[Date]])</f>
        <v>2025</v>
      </c>
      <c r="D730" s="105" t="s">
        <v>465</v>
      </c>
      <c r="E730" s="119">
        <f>Table6[[#This Row],[Date]]-DAY(Table6[[#This Row],[Date]])+1</f>
        <v>45809</v>
      </c>
      <c r="F730" s="118">
        <v>45816</v>
      </c>
      <c r="G730" s="105" t="s">
        <v>101</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466</v>
      </c>
      <c r="L730" s="39" t="str">
        <f>IFERROR(VLOOKUP(Table6[[#This Row],[Error Code]],'Basic Data'!$T:$U,2,0),"")</f>
        <v>Manual Stop - Safety Related</v>
      </c>
      <c r="M730" s="346" t="s">
        <v>467</v>
      </c>
      <c r="N730" s="39" t="s">
        <v>468</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469</v>
      </c>
      <c r="V730" s="351" t="s">
        <v>470</v>
      </c>
      <c r="W730" s="338">
        <f>Table6[[#This Row],[Breakdown Time]]*(1/39)</f>
        <v>0.61537749287749288</v>
      </c>
      <c r="X730" s="336" t="s">
        <v>486</v>
      </c>
      <c r="Y730" s="352" t="s">
        <v>100</v>
      </c>
      <c r="Z730" s="105">
        <v>12125</v>
      </c>
      <c r="AA730" s="107">
        <v>12124.859664351852</v>
      </c>
      <c r="AB730" s="105" t="s">
        <v>472</v>
      </c>
    </row>
    <row r="731" spans="1:28">
      <c r="A731" s="105">
        <f t="shared" si="11"/>
        <v>730</v>
      </c>
      <c r="B731" s="107">
        <f>YEAR(Table6[[#This Row],[Date]])+IF(MONTH(Table6[[#This Row],[Date]])&gt;=4,1,0)</f>
        <v>2026</v>
      </c>
      <c r="C731" s="105">
        <f>YEAR(Table6[[#This Row],[Date]])</f>
        <v>2025</v>
      </c>
      <c r="D731" s="105" t="s">
        <v>465</v>
      </c>
      <c r="E731" s="119">
        <f>Table6[[#This Row],[Date]]-DAY(Table6[[#This Row],[Date]])+1</f>
        <v>45809</v>
      </c>
      <c r="F731" s="118">
        <v>45816</v>
      </c>
      <c r="G731" s="105" t="s">
        <v>94</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473</v>
      </c>
      <c r="N731" s="39" t="s">
        <v>474</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475</v>
      </c>
      <c r="V731" s="351" t="s">
        <v>476</v>
      </c>
      <c r="W731" s="338">
        <f>Table6[[#This Row],[Breakdown Time]]*(1/39)</f>
        <v>5.9829059829059617E-3</v>
      </c>
      <c r="X731" s="336" t="s">
        <v>477</v>
      </c>
      <c r="Y731" s="352" t="s">
        <v>95</v>
      </c>
      <c r="Z731" s="105">
        <v>12015</v>
      </c>
      <c r="AA731" s="107">
        <v>116.81249999999959</v>
      </c>
      <c r="AB731" s="105" t="s">
        <v>472</v>
      </c>
    </row>
    <row r="732" spans="1:28">
      <c r="A732" s="105">
        <f t="shared" si="11"/>
        <v>731</v>
      </c>
      <c r="B732" s="107">
        <f>YEAR(Table6[[#This Row],[Date]])+IF(MONTH(Table6[[#This Row],[Date]])&gt;=4,1,0)</f>
        <v>2026</v>
      </c>
      <c r="C732" s="105">
        <f>YEAR(Table6[[#This Row],[Date]])</f>
        <v>2025</v>
      </c>
      <c r="D732" s="105" t="s">
        <v>465</v>
      </c>
      <c r="E732" s="119">
        <f>Table6[[#This Row],[Date]]-DAY(Table6[[#This Row],[Date]])+1</f>
        <v>45809</v>
      </c>
      <c r="F732" s="118">
        <v>45816</v>
      </c>
      <c r="G732" s="105" t="s">
        <v>95</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473</v>
      </c>
      <c r="N732" s="39" t="s">
        <v>474</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475</v>
      </c>
      <c r="V732" s="351" t="s">
        <v>476</v>
      </c>
      <c r="W732" s="338">
        <f>Table6[[#This Row],[Breakdown Time]]*(1/39)</f>
        <v>4.7008547008546842E-3</v>
      </c>
      <c r="X732" s="336" t="s">
        <v>477</v>
      </c>
      <c r="Y732" s="352" t="s">
        <v>96</v>
      </c>
      <c r="Z732" s="105">
        <v>12001</v>
      </c>
      <c r="AA732" s="107">
        <v>91.674305555555236</v>
      </c>
      <c r="AB732" s="105" t="s">
        <v>472</v>
      </c>
    </row>
    <row r="733" spans="1:28">
      <c r="A733" s="105">
        <f t="shared" si="11"/>
        <v>732</v>
      </c>
      <c r="B733" s="107">
        <f>YEAR(Table6[[#This Row],[Date]])+IF(MONTH(Table6[[#This Row],[Date]])&gt;=4,1,0)</f>
        <v>2026</v>
      </c>
      <c r="C733" s="105">
        <f>YEAR(Table6[[#This Row],[Date]])</f>
        <v>2025</v>
      </c>
      <c r="D733" s="105" t="s">
        <v>465</v>
      </c>
      <c r="E733" s="119">
        <f>Table6[[#This Row],[Date]]-DAY(Table6[[#This Row],[Date]])+1</f>
        <v>45809</v>
      </c>
      <c r="F733" s="118">
        <v>45816</v>
      </c>
      <c r="G733" s="105" t="s">
        <v>97</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473</v>
      </c>
      <c r="N733" s="39" t="s">
        <v>474</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475</v>
      </c>
      <c r="V733" s="351" t="s">
        <v>476</v>
      </c>
      <c r="W733" s="338">
        <f>Table6[[#This Row],[Breakdown Time]]*(1/39)</f>
        <v>1.3247863247863268E-2</v>
      </c>
      <c r="X733" s="336" t="s">
        <v>477</v>
      </c>
      <c r="Y733" s="352" t="s">
        <v>99</v>
      </c>
      <c r="Z733" s="105">
        <v>12121</v>
      </c>
      <c r="AA733" s="107">
        <v>260.93819444444489</v>
      </c>
      <c r="AB733" s="105" t="s">
        <v>472</v>
      </c>
    </row>
    <row r="734" spans="1:28">
      <c r="A734" s="105">
        <f t="shared" si="11"/>
        <v>733</v>
      </c>
      <c r="B734" s="107">
        <f>YEAR(Table6[[#This Row],[Date]])+IF(MONTH(Table6[[#This Row],[Date]])&gt;=4,1,0)</f>
        <v>2026</v>
      </c>
      <c r="C734" s="105">
        <f>YEAR(Table6[[#This Row],[Date]])</f>
        <v>2025</v>
      </c>
      <c r="D734" s="105" t="s">
        <v>465</v>
      </c>
      <c r="E734" s="119">
        <f>Table6[[#This Row],[Date]]-DAY(Table6[[#This Row],[Date]])+1</f>
        <v>45809</v>
      </c>
      <c r="F734" s="118">
        <v>45816</v>
      </c>
      <c r="G734" s="105" t="s">
        <v>100</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473</v>
      </c>
      <c r="N734" s="39" t="s">
        <v>474</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475</v>
      </c>
      <c r="V734" s="351" t="s">
        <v>476</v>
      </c>
      <c r="W734" s="338">
        <f>Table6[[#This Row],[Breakdown Time]]*(1/39)</f>
        <v>1.8803418803418806E-2</v>
      </c>
      <c r="X734" s="336" t="s">
        <v>477</v>
      </c>
      <c r="Y734" s="352" t="s">
        <v>102</v>
      </c>
      <c r="Z734" s="105">
        <v>12132</v>
      </c>
      <c r="AA734" s="107">
        <v>370.70000000000005</v>
      </c>
      <c r="AB734" s="105" t="s">
        <v>472</v>
      </c>
    </row>
    <row r="735" spans="1:28">
      <c r="A735" s="105">
        <f t="shared" si="11"/>
        <v>734</v>
      </c>
      <c r="B735" s="107">
        <f>YEAR(Table6[[#This Row],[Date]])+IF(MONTH(Table6[[#This Row],[Date]])&gt;=4,1,0)</f>
        <v>2026</v>
      </c>
      <c r="C735" s="105">
        <f>YEAR(Table6[[#This Row],[Date]])</f>
        <v>2025</v>
      </c>
      <c r="D735" s="105" t="s">
        <v>465</v>
      </c>
      <c r="E735" s="119">
        <f>Table6[[#This Row],[Date]]-DAY(Table6[[#This Row],[Date]])+1</f>
        <v>45809</v>
      </c>
      <c r="F735" s="118">
        <v>45816</v>
      </c>
      <c r="G735" s="105" t="s">
        <v>102</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473</v>
      </c>
      <c r="N735" s="39" t="s">
        <v>474</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475</v>
      </c>
      <c r="V735" s="351" t="s">
        <v>476</v>
      </c>
      <c r="W735" s="338">
        <f>Table6[[#This Row],[Breakdown Time]]*(1/39)</f>
        <v>2.1794871794871783E-2</v>
      </c>
      <c r="X735" s="336" t="s">
        <v>477</v>
      </c>
      <c r="Y735" s="352" t="s">
        <v>100</v>
      </c>
      <c r="Z735" s="105">
        <v>12125</v>
      </c>
      <c r="AA735" s="107">
        <v>429.42708333333314</v>
      </c>
      <c r="AB735" s="105" t="s">
        <v>472</v>
      </c>
    </row>
    <row r="736" spans="1:28">
      <c r="A736" s="105">
        <f t="shared" si="11"/>
        <v>735</v>
      </c>
      <c r="B736" s="107">
        <f>YEAR(Table6[[#This Row],[Date]])+IF(MONTH(Table6[[#This Row],[Date]])&gt;=4,1,0)</f>
        <v>2026</v>
      </c>
      <c r="C736" s="105">
        <f>YEAR(Table6[[#This Row],[Date]])</f>
        <v>2025</v>
      </c>
      <c r="D736" s="105" t="s">
        <v>465</v>
      </c>
      <c r="E736" s="119">
        <f>Table6[[#This Row],[Date]]-DAY(Table6[[#This Row],[Date]])+1</f>
        <v>45809</v>
      </c>
      <c r="F736" s="118">
        <v>45817</v>
      </c>
      <c r="G736" s="105" t="s">
        <v>103</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466</v>
      </c>
      <c r="L736" s="39" t="str">
        <f>IFERROR(VLOOKUP(Table6[[#This Row],[Error Code]],'Basic Data'!$T:$U,2,0),"")</f>
        <v>Manual Stop - Safety Related</v>
      </c>
      <c r="M736" s="346" t="s">
        <v>467</v>
      </c>
      <c r="N736" s="39" t="s">
        <v>468</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469</v>
      </c>
      <c r="V736" s="351" t="s">
        <v>470</v>
      </c>
      <c r="W736" s="338">
        <f>Table6[[#This Row],[Breakdown Time]]*(1/39)</f>
        <v>0.61537749287749288</v>
      </c>
      <c r="X736" s="336" t="s">
        <v>486</v>
      </c>
      <c r="Y736" s="352" t="s">
        <v>100</v>
      </c>
      <c r="Z736" s="105">
        <v>23434</v>
      </c>
      <c r="AA736" s="107">
        <v>23433.728773148148</v>
      </c>
      <c r="AB736" s="105" t="s">
        <v>472</v>
      </c>
    </row>
    <row r="737" spans="1:28">
      <c r="A737" s="105">
        <f t="shared" si="11"/>
        <v>736</v>
      </c>
      <c r="B737" s="107">
        <f>YEAR(Table6[[#This Row],[Date]])+IF(MONTH(Table6[[#This Row],[Date]])&gt;=4,1,0)</f>
        <v>2026</v>
      </c>
      <c r="C737" s="105">
        <f>YEAR(Table6[[#This Row],[Date]])</f>
        <v>2025</v>
      </c>
      <c r="D737" s="105" t="s">
        <v>465</v>
      </c>
      <c r="E737" s="119">
        <f>Table6[[#This Row],[Date]]-DAY(Table6[[#This Row],[Date]])+1</f>
        <v>45809</v>
      </c>
      <c r="F737" s="118">
        <v>45817</v>
      </c>
      <c r="G737" s="105" t="s">
        <v>101</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466</v>
      </c>
      <c r="L737" s="39" t="str">
        <f>IFERROR(VLOOKUP(Table6[[#This Row],[Error Code]],'Basic Data'!$T:$U,2,0),"")</f>
        <v>Manual Stop - Safety Related</v>
      </c>
      <c r="M737" s="346" t="s">
        <v>467</v>
      </c>
      <c r="N737" s="39" t="s">
        <v>468</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469</v>
      </c>
      <c r="V737" s="351" t="s">
        <v>470</v>
      </c>
      <c r="W737" s="338">
        <f>Table6[[#This Row],[Breakdown Time]]*(1/39)</f>
        <v>0.61537749287749288</v>
      </c>
      <c r="X737" s="336" t="s">
        <v>486</v>
      </c>
      <c r="Y737" s="352" t="s">
        <v>100</v>
      </c>
      <c r="Z737" s="105">
        <v>23434</v>
      </c>
      <c r="AA737" s="107">
        <v>23433.728773148148</v>
      </c>
      <c r="AB737" s="105" t="s">
        <v>472</v>
      </c>
    </row>
    <row r="738" spans="1:28">
      <c r="A738" s="105">
        <f t="shared" si="11"/>
        <v>737</v>
      </c>
      <c r="B738" s="107">
        <f>YEAR(Table6[[#This Row],[Date]])+IF(MONTH(Table6[[#This Row],[Date]])&gt;=4,1,0)</f>
        <v>2026</v>
      </c>
      <c r="C738" s="105">
        <f>YEAR(Table6[[#This Row],[Date]])</f>
        <v>2025</v>
      </c>
      <c r="D738" s="105" t="s">
        <v>465</v>
      </c>
      <c r="E738" s="119">
        <f>Table6[[#This Row],[Date]]-DAY(Table6[[#This Row],[Date]])+1</f>
        <v>45809</v>
      </c>
      <c r="F738" s="118">
        <v>45817</v>
      </c>
      <c r="G738" s="105" t="s">
        <v>77</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473</v>
      </c>
      <c r="N738" s="39" t="s">
        <v>474</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484</v>
      </c>
      <c r="V738" s="351" t="s">
        <v>476</v>
      </c>
      <c r="W738" s="338">
        <f>Table6[[#This Row],[Breakdown Time]]*(1/39)</f>
        <v>1.1538461538461497E-2</v>
      </c>
      <c r="X738" s="336" t="s">
        <v>477</v>
      </c>
      <c r="Y738" s="352" t="s">
        <v>76</v>
      </c>
      <c r="Z738" s="105">
        <v>24743</v>
      </c>
      <c r="AA738" s="107">
        <v>463.93124999999833</v>
      </c>
      <c r="AB738" s="105" t="s">
        <v>472</v>
      </c>
    </row>
    <row r="739" spans="1:28">
      <c r="A739" s="105">
        <f t="shared" si="11"/>
        <v>738</v>
      </c>
      <c r="B739" s="107">
        <f>YEAR(Table6[[#This Row],[Date]])+IF(MONTH(Table6[[#This Row],[Date]])&gt;=4,1,0)</f>
        <v>2026</v>
      </c>
      <c r="C739" s="105">
        <f>YEAR(Table6[[#This Row],[Date]])</f>
        <v>2025</v>
      </c>
      <c r="D739" s="105" t="s">
        <v>465</v>
      </c>
      <c r="E739" s="119">
        <f>Table6[[#This Row],[Date]]-DAY(Table6[[#This Row],[Date]])+1</f>
        <v>45809</v>
      </c>
      <c r="F739" s="118">
        <v>45817</v>
      </c>
      <c r="G739" s="105" t="s">
        <v>85</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473</v>
      </c>
      <c r="N739" s="39" t="s">
        <v>474</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640</v>
      </c>
      <c r="V739" s="351" t="s">
        <v>476</v>
      </c>
      <c r="W739" s="338">
        <f>Table6[[#This Row],[Breakdown Time]]*(1/39)</f>
        <v>4.273504273504275E-2</v>
      </c>
      <c r="X739" s="336" t="s">
        <v>477</v>
      </c>
      <c r="Y739" s="352" t="s">
        <v>86</v>
      </c>
      <c r="Z739" s="105">
        <v>21856</v>
      </c>
      <c r="AA739" s="107">
        <v>1517.7777777777783</v>
      </c>
      <c r="AB739" s="105" t="s">
        <v>472</v>
      </c>
    </row>
    <row r="740" spans="1:28">
      <c r="A740" s="105">
        <f t="shared" si="11"/>
        <v>739</v>
      </c>
      <c r="B740" s="107">
        <f>YEAR(Table6[[#This Row],[Date]])+IF(MONTH(Table6[[#This Row],[Date]])&gt;=4,1,0)</f>
        <v>2026</v>
      </c>
      <c r="C740" s="105">
        <f>YEAR(Table6[[#This Row],[Date]])</f>
        <v>2025</v>
      </c>
      <c r="D740" s="105" t="s">
        <v>465</v>
      </c>
      <c r="E740" s="119">
        <f>Table6[[#This Row],[Date]]-DAY(Table6[[#This Row],[Date]])+1</f>
        <v>45809</v>
      </c>
      <c r="F740" s="118">
        <v>45817</v>
      </c>
      <c r="G740" s="105" t="s">
        <v>87</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473</v>
      </c>
      <c r="N740" s="39" t="s">
        <v>474</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484</v>
      </c>
      <c r="V740" s="351" t="s">
        <v>476</v>
      </c>
      <c r="W740" s="338">
        <f>Table6[[#This Row],[Breakdown Time]]*(1/39)</f>
        <v>1.1538461538461565E-2</v>
      </c>
      <c r="X740" s="336" t="s">
        <v>477</v>
      </c>
      <c r="Y740" s="352" t="s">
        <v>86</v>
      </c>
      <c r="Z740" s="105">
        <v>21856</v>
      </c>
      <c r="AA740" s="107">
        <v>409.80000000000098</v>
      </c>
      <c r="AB740" s="105" t="s">
        <v>472</v>
      </c>
    </row>
    <row r="741" spans="1:28">
      <c r="A741" s="105">
        <f t="shared" si="11"/>
        <v>740</v>
      </c>
      <c r="B741" s="107">
        <f>YEAR(Table6[[#This Row],[Date]])+IF(MONTH(Table6[[#This Row],[Date]])&gt;=4,1,0)</f>
        <v>2026</v>
      </c>
      <c r="C741" s="105">
        <f>YEAR(Table6[[#This Row],[Date]])</f>
        <v>2025</v>
      </c>
      <c r="D741" s="105" t="s">
        <v>465</v>
      </c>
      <c r="E741" s="119">
        <f>Table6[[#This Row],[Date]]-DAY(Table6[[#This Row],[Date]])+1</f>
        <v>45809</v>
      </c>
      <c r="F741" s="118">
        <v>45817</v>
      </c>
      <c r="G741" s="105" t="s">
        <v>93</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473</v>
      </c>
      <c r="N741" s="39" t="s">
        <v>474</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557</v>
      </c>
      <c r="V741" s="351" t="s">
        <v>476</v>
      </c>
      <c r="W741" s="338">
        <f>Table6[[#This Row],[Breakdown Time]]*(1/39)</f>
        <v>3.4188034188034171E-2</v>
      </c>
      <c r="X741" s="336" t="s">
        <v>477</v>
      </c>
      <c r="Y741" s="352" t="s">
        <v>92</v>
      </c>
      <c r="Z741" s="105">
        <v>21878</v>
      </c>
      <c r="AA741" s="107">
        <v>1215.4444444444439</v>
      </c>
      <c r="AB741" s="105" t="s">
        <v>472</v>
      </c>
    </row>
    <row r="742" spans="1:28">
      <c r="A742" s="105">
        <f t="shared" si="11"/>
        <v>741</v>
      </c>
      <c r="B742" s="107">
        <f>YEAR(Table6[[#This Row],[Date]])+IF(MONTH(Table6[[#This Row],[Date]])&gt;=4,1,0)</f>
        <v>2026</v>
      </c>
      <c r="C742" s="105">
        <f>YEAR(Table6[[#This Row],[Date]])</f>
        <v>2025</v>
      </c>
      <c r="D742" s="105" t="s">
        <v>465</v>
      </c>
      <c r="E742" s="119">
        <f>Table6[[#This Row],[Date]]-DAY(Table6[[#This Row],[Date]])+1</f>
        <v>45809</v>
      </c>
      <c r="F742" s="118">
        <v>45817</v>
      </c>
      <c r="G742" s="105" t="s">
        <v>102</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473</v>
      </c>
      <c r="N742" s="39" t="s">
        <v>474</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641</v>
      </c>
      <c r="V742" s="351" t="s">
        <v>476</v>
      </c>
      <c r="W742" s="338">
        <f>Table6[[#This Row],[Breakdown Time]]*(1/39)</f>
        <v>3.4188034188034136E-2</v>
      </c>
      <c r="X742" s="336" t="s">
        <v>477</v>
      </c>
      <c r="Y742" s="352" t="s">
        <v>100</v>
      </c>
      <c r="Z742" s="105">
        <v>23434</v>
      </c>
      <c r="AA742" s="107">
        <v>1301.8888888888869</v>
      </c>
      <c r="AB742" s="105" t="s">
        <v>472</v>
      </c>
    </row>
    <row r="743" spans="1:28">
      <c r="A743" s="105">
        <f t="shared" si="11"/>
        <v>742</v>
      </c>
      <c r="B743" s="107">
        <f>YEAR(Table6[[#This Row],[Date]])+IF(MONTH(Table6[[#This Row],[Date]])&gt;=4,1,0)</f>
        <v>2026</v>
      </c>
      <c r="C743" s="105">
        <f>YEAR(Table6[[#This Row],[Date]])</f>
        <v>2025</v>
      </c>
      <c r="D743" s="105" t="s">
        <v>465</v>
      </c>
      <c r="E743" s="119">
        <f>Table6[[#This Row],[Date]]-DAY(Table6[[#This Row],[Date]])+1</f>
        <v>45809</v>
      </c>
      <c r="F743" s="118">
        <v>45817</v>
      </c>
      <c r="G743" s="105" t="s">
        <v>111</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473</v>
      </c>
      <c r="N743" s="39" t="s">
        <v>474</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642</v>
      </c>
      <c r="V743" s="351" t="s">
        <v>476</v>
      </c>
      <c r="W743" s="338">
        <f>Table6[[#This Row],[Breakdown Time]]*(1/39)</f>
        <v>4.6153846153846156E-2</v>
      </c>
      <c r="X743" s="336" t="s">
        <v>477</v>
      </c>
      <c r="Y743" s="352" t="s">
        <v>112</v>
      </c>
      <c r="Z743" s="105">
        <v>20145</v>
      </c>
      <c r="AA743" s="107">
        <v>1510.8750000000002</v>
      </c>
      <c r="AB743" s="105" t="s">
        <v>472</v>
      </c>
    </row>
    <row r="744" spans="1:28">
      <c r="A744" s="105">
        <f t="shared" si="11"/>
        <v>743</v>
      </c>
      <c r="B744" s="107">
        <f>YEAR(Table6[[#This Row],[Date]])+IF(MONTH(Table6[[#This Row],[Date]])&gt;=4,1,0)</f>
        <v>2026</v>
      </c>
      <c r="C744" s="105">
        <f>YEAR(Table6[[#This Row],[Date]])</f>
        <v>2025</v>
      </c>
      <c r="D744" s="105" t="s">
        <v>465</v>
      </c>
      <c r="E744" s="119">
        <f>Table6[[#This Row],[Date]]-DAY(Table6[[#This Row],[Date]])+1</f>
        <v>45809</v>
      </c>
      <c r="F744" s="118">
        <v>45817</v>
      </c>
      <c r="G744" s="105" t="s">
        <v>99</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466</v>
      </c>
      <c r="L744" s="39" t="str">
        <f>IFERROR(VLOOKUP(Table6[[#This Row],[Error Code]],'Basic Data'!$T:$U,2,0),"")</f>
        <v>Manual Stop - Safety Related</v>
      </c>
      <c r="M744" s="346" t="s">
        <v>467</v>
      </c>
      <c r="N744" s="39" t="s">
        <v>189</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506</v>
      </c>
      <c r="V744" s="351" t="s">
        <v>476</v>
      </c>
      <c r="W744" s="338">
        <f>Table6[[#This Row],[Breakdown Time]]*(1/39)</f>
        <v>8.1196581196581172E-2</v>
      </c>
      <c r="X744" s="336" t="s">
        <v>486</v>
      </c>
      <c r="Y744" s="352" t="s">
        <v>97</v>
      </c>
      <c r="Z744" s="105">
        <v>23421</v>
      </c>
      <c r="AA744" s="107">
        <v>3090.2708333333326</v>
      </c>
      <c r="AB744" s="105" t="s">
        <v>472</v>
      </c>
    </row>
    <row r="745" spans="1:28">
      <c r="A745" s="105">
        <f t="shared" si="11"/>
        <v>744</v>
      </c>
      <c r="B745" s="107">
        <f>YEAR(Table6[[#This Row],[Date]])+IF(MONTH(Table6[[#This Row],[Date]])&gt;=4,1,0)</f>
        <v>2026</v>
      </c>
      <c r="C745" s="105">
        <f>YEAR(Table6[[#This Row],[Date]])</f>
        <v>2025</v>
      </c>
      <c r="D745" s="105" t="s">
        <v>465</v>
      </c>
      <c r="E745" s="119">
        <f>Table6[[#This Row],[Date]]-DAY(Table6[[#This Row],[Date]])+1</f>
        <v>45809</v>
      </c>
      <c r="F745" s="118">
        <v>45818</v>
      </c>
      <c r="G745" s="105" t="s">
        <v>103</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466</v>
      </c>
      <c r="L745" s="39" t="str">
        <f>IFERROR(VLOOKUP(Table6[[#This Row],[Error Code]],'Basic Data'!$T:$U,2,0),"")</f>
        <v>Manual Stop - Safety Related</v>
      </c>
      <c r="M745" s="346" t="s">
        <v>467</v>
      </c>
      <c r="N745" s="39" t="s">
        <v>468</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469</v>
      </c>
      <c r="V745" s="351" t="s">
        <v>470</v>
      </c>
      <c r="W745" s="338">
        <f>Table6[[#This Row],[Breakdown Time]]*(1/39)</f>
        <v>0.61537749287749288</v>
      </c>
      <c r="X745" s="336" t="s">
        <v>486</v>
      </c>
      <c r="Y745" s="352" t="s">
        <v>100</v>
      </c>
      <c r="Z745" s="105">
        <v>12689</v>
      </c>
      <c r="AA745" s="107">
        <v>12688.853136574076</v>
      </c>
      <c r="AB745" s="105" t="s">
        <v>472</v>
      </c>
    </row>
    <row r="746" spans="1:28">
      <c r="A746" s="105">
        <f t="shared" si="11"/>
        <v>745</v>
      </c>
      <c r="B746" s="107">
        <f>YEAR(Table6[[#This Row],[Date]])+IF(MONTH(Table6[[#This Row],[Date]])&gt;=4,1,0)</f>
        <v>2026</v>
      </c>
      <c r="C746" s="105">
        <f>YEAR(Table6[[#This Row],[Date]])</f>
        <v>2025</v>
      </c>
      <c r="D746" s="105" t="s">
        <v>465</v>
      </c>
      <c r="E746" s="119">
        <f>Table6[[#This Row],[Date]]-DAY(Table6[[#This Row],[Date]])+1</f>
        <v>45809</v>
      </c>
      <c r="F746" s="118">
        <v>45818</v>
      </c>
      <c r="G746" s="105" t="s">
        <v>101</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466</v>
      </c>
      <c r="L746" s="39" t="str">
        <f>IFERROR(VLOOKUP(Table6[[#This Row],[Error Code]],'Basic Data'!$T:$U,2,0),"")</f>
        <v>Manual Stop - Safety Related</v>
      </c>
      <c r="M746" s="346" t="s">
        <v>467</v>
      </c>
      <c r="N746" s="39" t="s">
        <v>468</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469</v>
      </c>
      <c r="V746" s="351" t="s">
        <v>470</v>
      </c>
      <c r="W746" s="338">
        <f>Table6[[#This Row],[Breakdown Time]]*(1/39)</f>
        <v>0.61537749287749288</v>
      </c>
      <c r="X746" s="336" t="s">
        <v>486</v>
      </c>
      <c r="Y746" s="352" t="s">
        <v>100</v>
      </c>
      <c r="Z746" s="105">
        <v>12689</v>
      </c>
      <c r="AA746" s="107">
        <v>12688.853136574076</v>
      </c>
      <c r="AB746" s="105" t="s">
        <v>472</v>
      </c>
    </row>
    <row r="747" spans="1:28">
      <c r="A747" s="105">
        <f t="shared" si="11"/>
        <v>746</v>
      </c>
      <c r="B747" s="107">
        <f>YEAR(Table6[[#This Row],[Date]])+IF(MONTH(Table6[[#This Row],[Date]])&gt;=4,1,0)</f>
        <v>2026</v>
      </c>
      <c r="C747" s="105">
        <f>YEAR(Table6[[#This Row],[Date]])</f>
        <v>2025</v>
      </c>
      <c r="D747" s="105" t="s">
        <v>465</v>
      </c>
      <c r="E747" s="119">
        <f>Table6[[#This Row],[Date]]-DAY(Table6[[#This Row],[Date]])+1</f>
        <v>45809</v>
      </c>
      <c r="F747" s="118">
        <v>45818</v>
      </c>
      <c r="G747" s="105" t="s">
        <v>75</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552</v>
      </c>
      <c r="L747" s="39" t="str">
        <f>IFERROR(VLOOKUP(Table6[[#This Row],[Error Code]],'Basic Data'!$T:$U,2,0),"")</f>
        <v>Manual Stop - Preventive Maintenance Activity</v>
      </c>
      <c r="M747" s="346" t="s">
        <v>553</v>
      </c>
      <c r="N747" s="39" t="s">
        <v>189</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574</v>
      </c>
      <c r="V747" s="351" t="s">
        <v>476</v>
      </c>
      <c r="W747" s="338">
        <f>Table6[[#This Row],[Breakdown Time]]*(1/39)</f>
        <v>0.17478632478632478</v>
      </c>
      <c r="X747" s="336" t="s">
        <v>555</v>
      </c>
      <c r="Y747" s="352" t="s">
        <v>77</v>
      </c>
      <c r="Z747" s="105">
        <v>13335</v>
      </c>
      <c r="AA747" s="107">
        <v>3787.5104166666665</v>
      </c>
      <c r="AB747" s="105" t="s">
        <v>472</v>
      </c>
    </row>
    <row r="748" spans="1:28">
      <c r="A748" s="105">
        <f t="shared" si="11"/>
        <v>747</v>
      </c>
      <c r="B748" s="107">
        <f>YEAR(Table6[[#This Row],[Date]])+IF(MONTH(Table6[[#This Row],[Date]])&gt;=4,1,0)</f>
        <v>2026</v>
      </c>
      <c r="C748" s="105">
        <f>YEAR(Table6[[#This Row],[Date]])</f>
        <v>2025</v>
      </c>
      <c r="D748" s="105" t="s">
        <v>465</v>
      </c>
      <c r="E748" s="119">
        <f>Table6[[#This Row],[Date]]-DAY(Table6[[#This Row],[Date]])+1</f>
        <v>45809</v>
      </c>
      <c r="F748" s="118">
        <v>45818</v>
      </c>
      <c r="G748" s="105" t="s">
        <v>87</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473</v>
      </c>
      <c r="N748" s="39" t="s">
        <v>474</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643</v>
      </c>
      <c r="V748" s="351" t="s">
        <v>476</v>
      </c>
      <c r="W748" s="338">
        <f>Table6[[#This Row],[Breakdown Time]]*(1/39)</f>
        <v>0.11111111111111105</v>
      </c>
      <c r="X748" s="336" t="s">
        <v>477</v>
      </c>
      <c r="Y748" s="352" t="s">
        <v>86</v>
      </c>
      <c r="Z748" s="105">
        <v>22342</v>
      </c>
      <c r="AA748" s="107">
        <v>4033.9722222222204</v>
      </c>
      <c r="AB748" s="105" t="s">
        <v>472</v>
      </c>
    </row>
    <row r="749" spans="1:28">
      <c r="A749" s="105">
        <f t="shared" si="11"/>
        <v>748</v>
      </c>
      <c r="B749" s="107">
        <f>YEAR(Table6[[#This Row],[Date]])+IF(MONTH(Table6[[#This Row],[Date]])&gt;=4,1,0)</f>
        <v>2026</v>
      </c>
      <c r="C749" s="105">
        <f>YEAR(Table6[[#This Row],[Date]])</f>
        <v>2025</v>
      </c>
      <c r="D749" s="105" t="s">
        <v>465</v>
      </c>
      <c r="E749" s="119">
        <f>Table6[[#This Row],[Date]]-DAY(Table6[[#This Row],[Date]])+1</f>
        <v>45809</v>
      </c>
      <c r="F749" s="118">
        <v>45818</v>
      </c>
      <c r="G749" s="105" t="s">
        <v>88</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526</v>
      </c>
      <c r="L749" s="39" t="str">
        <f>IFERROR(VLOOKUP(Table6[[#This Row],[Error Code]],'Basic Data'!$T:$U,2,0),"")</f>
        <v>Manual Stop</v>
      </c>
      <c r="M749" s="346" t="s">
        <v>499</v>
      </c>
      <c r="N749" s="39" t="s">
        <v>189</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644</v>
      </c>
      <c r="V749" s="351" t="s">
        <v>476</v>
      </c>
      <c r="W749" s="338">
        <f>Table6[[#This Row],[Breakdown Time]]*(1/39)</f>
        <v>4.0598290598290586E-2</v>
      </c>
      <c r="X749" s="336" t="s">
        <v>501</v>
      </c>
      <c r="Y749" s="352" t="s">
        <v>89</v>
      </c>
      <c r="Z749" s="105">
        <v>21522</v>
      </c>
      <c r="AA749" s="107">
        <v>1419.8541666666663</v>
      </c>
      <c r="AB749" s="105" t="s">
        <v>472</v>
      </c>
    </row>
    <row r="750" spans="1:28">
      <c r="A750" s="105">
        <f t="shared" si="11"/>
        <v>749</v>
      </c>
      <c r="B750" s="107">
        <f>YEAR(Table6[[#This Row],[Date]])+IF(MONTH(Table6[[#This Row],[Date]])&gt;=4,1,0)</f>
        <v>2026</v>
      </c>
      <c r="C750" s="105">
        <f>YEAR(Table6[[#This Row],[Date]])</f>
        <v>2025</v>
      </c>
      <c r="D750" s="105" t="s">
        <v>465</v>
      </c>
      <c r="E750" s="119">
        <f>Table6[[#This Row],[Date]]-DAY(Table6[[#This Row],[Date]])+1</f>
        <v>45809</v>
      </c>
      <c r="F750" s="118">
        <v>45818</v>
      </c>
      <c r="G750" s="105" t="s">
        <v>89</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526</v>
      </c>
      <c r="L750" s="39" t="str">
        <f>IFERROR(VLOOKUP(Table6[[#This Row],[Error Code]],'Basic Data'!$T:$U,2,0),"")</f>
        <v>Manual Stop</v>
      </c>
      <c r="M750" s="346" t="s">
        <v>499</v>
      </c>
      <c r="N750" s="39" t="s">
        <v>189</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644</v>
      </c>
      <c r="V750" s="351" t="s">
        <v>476</v>
      </c>
      <c r="W750" s="338">
        <f>Table6[[#This Row],[Breakdown Time]]*(1/39)</f>
        <v>3.5042735042735022E-2</v>
      </c>
      <c r="X750" s="336" t="s">
        <v>501</v>
      </c>
      <c r="Y750" s="352" t="s">
        <v>90</v>
      </c>
      <c r="Z750" s="105">
        <v>22321</v>
      </c>
      <c r="AA750" s="107">
        <v>1271.0569444444436</v>
      </c>
      <c r="AB750" s="105" t="s">
        <v>472</v>
      </c>
    </row>
    <row r="751" spans="1:28">
      <c r="A751" s="105">
        <f t="shared" si="11"/>
        <v>750</v>
      </c>
      <c r="B751" s="107">
        <f>YEAR(Table6[[#This Row],[Date]])+IF(MONTH(Table6[[#This Row],[Date]])&gt;=4,1,0)</f>
        <v>2026</v>
      </c>
      <c r="C751" s="105">
        <f>YEAR(Table6[[#This Row],[Date]])</f>
        <v>2025</v>
      </c>
      <c r="D751" s="105" t="s">
        <v>465</v>
      </c>
      <c r="E751" s="119">
        <f>Table6[[#This Row],[Date]]-DAY(Table6[[#This Row],[Date]])+1</f>
        <v>45809</v>
      </c>
      <c r="F751" s="118">
        <v>45818</v>
      </c>
      <c r="G751" s="105" t="s">
        <v>93</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473</v>
      </c>
      <c r="N751" s="39" t="s">
        <v>474</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645</v>
      </c>
      <c r="V751" s="351" t="s">
        <v>476</v>
      </c>
      <c r="W751" s="338">
        <f>Table6[[#This Row],[Breakdown Time]]*(1/39)</f>
        <v>6.538461538461536E-2</v>
      </c>
      <c r="X751" s="336" t="s">
        <v>477</v>
      </c>
      <c r="Y751" s="352" t="s">
        <v>92</v>
      </c>
      <c r="Z751" s="105">
        <v>22345</v>
      </c>
      <c r="AA751" s="107">
        <v>2374.1562499999991</v>
      </c>
      <c r="AB751" s="105" t="s">
        <v>472</v>
      </c>
    </row>
    <row r="752" spans="1:28">
      <c r="A752" s="105">
        <f t="shared" si="11"/>
        <v>751</v>
      </c>
      <c r="B752" s="107">
        <f>YEAR(Table6[[#This Row],[Date]])+IF(MONTH(Table6[[#This Row],[Date]])&gt;=4,1,0)</f>
        <v>2026</v>
      </c>
      <c r="C752" s="105">
        <f>YEAR(Table6[[#This Row],[Date]])</f>
        <v>2025</v>
      </c>
      <c r="D752" s="105" t="s">
        <v>465</v>
      </c>
      <c r="E752" s="119">
        <f>Table6[[#This Row],[Date]]-DAY(Table6[[#This Row],[Date]])+1</f>
        <v>45809</v>
      </c>
      <c r="F752" s="118">
        <v>45818</v>
      </c>
      <c r="G752" s="105" t="s">
        <v>96</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473</v>
      </c>
      <c r="N752" s="39" t="s">
        <v>474</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646</v>
      </c>
      <c r="V752" s="351" t="s">
        <v>476</v>
      </c>
      <c r="W752" s="338">
        <f>Table6[[#This Row],[Breakdown Time]]*(1/39)</f>
        <v>0.11752136752136751</v>
      </c>
      <c r="X752" s="336" t="s">
        <v>477</v>
      </c>
      <c r="Y752" s="352" t="s">
        <v>78</v>
      </c>
      <c r="Z752" s="105">
        <v>12629</v>
      </c>
      <c r="AA752" s="107">
        <v>2411.7881944444443</v>
      </c>
      <c r="AB752" s="105" t="s">
        <v>472</v>
      </c>
    </row>
    <row r="753" spans="1:28">
      <c r="A753" s="105">
        <f t="shared" si="11"/>
        <v>752</v>
      </c>
      <c r="B753" s="107">
        <f>YEAR(Table6[[#This Row],[Date]])+IF(MONTH(Table6[[#This Row],[Date]])&gt;=4,1,0)</f>
        <v>2026</v>
      </c>
      <c r="C753" s="105">
        <f>YEAR(Table6[[#This Row],[Date]])</f>
        <v>2025</v>
      </c>
      <c r="D753" s="105" t="s">
        <v>465</v>
      </c>
      <c r="E753" s="119">
        <f>Table6[[#This Row],[Date]]-DAY(Table6[[#This Row],[Date]])+1</f>
        <v>45809</v>
      </c>
      <c r="F753" s="118">
        <v>45819</v>
      </c>
      <c r="G753" s="105" t="s">
        <v>103</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466</v>
      </c>
      <c r="L753" s="39" t="str">
        <f>IFERROR(VLOOKUP(Table6[[#This Row],[Error Code]],'Basic Data'!$T:$U,2,0),"")</f>
        <v>Manual Stop - Safety Related</v>
      </c>
      <c r="M753" s="346" t="s">
        <v>467</v>
      </c>
      <c r="N753" s="39" t="s">
        <v>468</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469</v>
      </c>
      <c r="V753" s="351" t="s">
        <v>470</v>
      </c>
      <c r="W753" s="338">
        <f>Table6[[#This Row],[Breakdown Time]]*(1/39)</f>
        <v>0.61537749287749288</v>
      </c>
      <c r="X753" s="336" t="s">
        <v>486</v>
      </c>
      <c r="Y753" s="352" t="s">
        <v>100</v>
      </c>
      <c r="Z753" s="105">
        <v>14454</v>
      </c>
      <c r="AA753" s="107">
        <v>14453.832708333335</v>
      </c>
      <c r="AB753" s="105" t="s">
        <v>472</v>
      </c>
    </row>
    <row r="754" spans="1:28">
      <c r="A754" s="105">
        <f t="shared" si="11"/>
        <v>753</v>
      </c>
      <c r="B754" s="107">
        <f>YEAR(Table6[[#This Row],[Date]])+IF(MONTH(Table6[[#This Row],[Date]])&gt;=4,1,0)</f>
        <v>2026</v>
      </c>
      <c r="C754" s="105">
        <f>YEAR(Table6[[#This Row],[Date]])</f>
        <v>2025</v>
      </c>
      <c r="D754" s="105" t="s">
        <v>465</v>
      </c>
      <c r="E754" s="119">
        <f>Table6[[#This Row],[Date]]-DAY(Table6[[#This Row],[Date]])+1</f>
        <v>45809</v>
      </c>
      <c r="F754" s="118">
        <v>45819</v>
      </c>
      <c r="G754" s="105" t="s">
        <v>101</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466</v>
      </c>
      <c r="L754" s="39" t="str">
        <f>IFERROR(VLOOKUP(Table6[[#This Row],[Error Code]],'Basic Data'!$T:$U,2,0),"")</f>
        <v>Manual Stop - Safety Related</v>
      </c>
      <c r="M754" s="346" t="s">
        <v>467</v>
      </c>
      <c r="N754" s="39" t="s">
        <v>468</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469</v>
      </c>
      <c r="V754" s="351" t="s">
        <v>470</v>
      </c>
      <c r="W754" s="338">
        <f>Table6[[#This Row],[Breakdown Time]]*(1/39)</f>
        <v>0.61537749287749288</v>
      </c>
      <c r="X754" s="336" t="s">
        <v>486</v>
      </c>
      <c r="Y754" s="352" t="s">
        <v>100</v>
      </c>
      <c r="Z754" s="105">
        <v>14454</v>
      </c>
      <c r="AA754" s="107">
        <v>14453.832708333335</v>
      </c>
      <c r="AB754" s="105" t="s">
        <v>472</v>
      </c>
    </row>
    <row r="755" spans="1:28">
      <c r="A755" s="105">
        <f t="shared" si="11"/>
        <v>754</v>
      </c>
      <c r="B755" s="107">
        <f>YEAR(Table6[[#This Row],[Date]])+IF(MONTH(Table6[[#This Row],[Date]])&gt;=4,1,0)</f>
        <v>2026</v>
      </c>
      <c r="C755" s="105">
        <f>YEAR(Table6[[#This Row],[Date]])</f>
        <v>2025</v>
      </c>
      <c r="D755" s="105" t="s">
        <v>465</v>
      </c>
      <c r="E755" s="119">
        <f>Table6[[#This Row],[Date]]-DAY(Table6[[#This Row],[Date]])+1</f>
        <v>45809</v>
      </c>
      <c r="F755" s="118">
        <v>45819</v>
      </c>
      <c r="G755" s="105" t="s">
        <v>75</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473</v>
      </c>
      <c r="N755" s="39" t="s">
        <v>474</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475</v>
      </c>
      <c r="V755" s="351" t="s">
        <v>476</v>
      </c>
      <c r="W755" s="338">
        <f>Table6[[#This Row],[Breakdown Time]]*(1/39)</f>
        <v>1.837606837606838E-2</v>
      </c>
      <c r="X755" s="336" t="s">
        <v>477</v>
      </c>
      <c r="Y755" s="352" t="s">
        <v>76</v>
      </c>
      <c r="Z755" s="105">
        <v>17919</v>
      </c>
      <c r="AA755" s="107">
        <v>535.08125000000007</v>
      </c>
      <c r="AB755" s="105" t="s">
        <v>472</v>
      </c>
    </row>
    <row r="756" spans="1:28">
      <c r="A756" s="105">
        <f t="shared" si="11"/>
        <v>755</v>
      </c>
      <c r="B756" s="107">
        <f>YEAR(Table6[[#This Row],[Date]])+IF(MONTH(Table6[[#This Row],[Date]])&gt;=4,1,0)</f>
        <v>2026</v>
      </c>
      <c r="C756" s="105">
        <f>YEAR(Table6[[#This Row],[Date]])</f>
        <v>2025</v>
      </c>
      <c r="D756" s="105" t="s">
        <v>465</v>
      </c>
      <c r="E756" s="119">
        <f>Table6[[#This Row],[Date]]-DAY(Table6[[#This Row],[Date]])+1</f>
        <v>45809</v>
      </c>
      <c r="F756" s="118">
        <v>45819</v>
      </c>
      <c r="G756" s="105" t="s">
        <v>76</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473</v>
      </c>
      <c r="N756" s="39" t="s">
        <v>474</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475</v>
      </c>
      <c r="V756" s="351" t="s">
        <v>476</v>
      </c>
      <c r="W756" s="338">
        <f>Table6[[#This Row],[Breakdown Time]]*(1/39)</f>
        <v>9.8290598290598618E-3</v>
      </c>
      <c r="X756" s="336" t="s">
        <v>477</v>
      </c>
      <c r="Y756" s="352" t="s">
        <v>77</v>
      </c>
      <c r="Z756" s="105">
        <v>17913</v>
      </c>
      <c r="AA756" s="107">
        <v>286.11041666666762</v>
      </c>
      <c r="AB756" s="105" t="s">
        <v>472</v>
      </c>
    </row>
    <row r="757" spans="1:28">
      <c r="A757" s="105">
        <f t="shared" si="11"/>
        <v>756</v>
      </c>
      <c r="B757" s="107">
        <f>YEAR(Table6[[#This Row],[Date]])+IF(MONTH(Table6[[#This Row],[Date]])&gt;=4,1,0)</f>
        <v>2026</v>
      </c>
      <c r="C757" s="105">
        <f>YEAR(Table6[[#This Row],[Date]])</f>
        <v>2025</v>
      </c>
      <c r="D757" s="105" t="s">
        <v>465</v>
      </c>
      <c r="E757" s="119">
        <f>Table6[[#This Row],[Date]]-DAY(Table6[[#This Row],[Date]])+1</f>
        <v>45809</v>
      </c>
      <c r="F757" s="118">
        <v>45819</v>
      </c>
      <c r="G757" s="105" t="s">
        <v>77</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473</v>
      </c>
      <c r="N757" s="39" t="s">
        <v>474</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475</v>
      </c>
      <c r="V757" s="351" t="s">
        <v>476</v>
      </c>
      <c r="W757" s="338">
        <f>Table6[[#This Row],[Breakdown Time]]*(1/39)</f>
        <v>1.2820512820512843E-2</v>
      </c>
      <c r="X757" s="336" t="s">
        <v>477</v>
      </c>
      <c r="Y757" s="352" t="s">
        <v>76</v>
      </c>
      <c r="Z757" s="105">
        <v>17919</v>
      </c>
      <c r="AA757" s="107">
        <v>373.31250000000068</v>
      </c>
      <c r="AB757" s="105" t="s">
        <v>472</v>
      </c>
    </row>
    <row r="758" spans="1:28">
      <c r="A758" s="105">
        <f t="shared" si="11"/>
        <v>757</v>
      </c>
      <c r="B758" s="107">
        <f>YEAR(Table6[[#This Row],[Date]])+IF(MONTH(Table6[[#This Row],[Date]])&gt;=4,1,0)</f>
        <v>2026</v>
      </c>
      <c r="C758" s="105">
        <f>YEAR(Table6[[#This Row],[Date]])</f>
        <v>2025</v>
      </c>
      <c r="D758" s="105" t="s">
        <v>465</v>
      </c>
      <c r="E758" s="119">
        <f>Table6[[#This Row],[Date]]-DAY(Table6[[#This Row],[Date]])+1</f>
        <v>45809</v>
      </c>
      <c r="F758" s="118">
        <v>45819</v>
      </c>
      <c r="G758" s="105" t="s">
        <v>79</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473</v>
      </c>
      <c r="N758" s="39" t="s">
        <v>474</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475</v>
      </c>
      <c r="V758" s="351" t="s">
        <v>476</v>
      </c>
      <c r="W758" s="338">
        <f>Table6[[#This Row],[Breakdown Time]]*(1/39)</f>
        <v>7.2649572649573068E-3</v>
      </c>
      <c r="X758" s="336" t="s">
        <v>477</v>
      </c>
      <c r="Y758" s="352" t="s">
        <v>76</v>
      </c>
      <c r="Z758" s="105">
        <v>17919</v>
      </c>
      <c r="AA758" s="107">
        <v>211.54375000000124</v>
      </c>
      <c r="AB758" s="105" t="s">
        <v>472</v>
      </c>
    </row>
    <row r="759" spans="1:28">
      <c r="A759" s="105">
        <f t="shared" si="11"/>
        <v>758</v>
      </c>
      <c r="B759" s="107">
        <f>YEAR(Table6[[#This Row],[Date]])+IF(MONTH(Table6[[#This Row],[Date]])&gt;=4,1,0)</f>
        <v>2026</v>
      </c>
      <c r="C759" s="105">
        <f>YEAR(Table6[[#This Row],[Date]])</f>
        <v>2025</v>
      </c>
      <c r="D759" s="105" t="s">
        <v>465</v>
      </c>
      <c r="E759" s="119">
        <f>Table6[[#This Row],[Date]]-DAY(Table6[[#This Row],[Date]])+1</f>
        <v>45809</v>
      </c>
      <c r="F759" s="118">
        <v>45819</v>
      </c>
      <c r="G759" s="105" t="s">
        <v>80</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552</v>
      </c>
      <c r="L759" s="39" t="str">
        <f>IFERROR(VLOOKUP(Table6[[#This Row],[Error Code]],'Basic Data'!$T:$U,2,0),"")</f>
        <v>Manual Stop - Preventive Maintenance Activity</v>
      </c>
      <c r="M759" s="346" t="s">
        <v>553</v>
      </c>
      <c r="N759" s="39" t="s">
        <v>189</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574</v>
      </c>
      <c r="V759" s="351" t="s">
        <v>476</v>
      </c>
      <c r="W759" s="338">
        <f>Table6[[#This Row],[Breakdown Time]]*(1/39)</f>
        <v>0.20555555555555552</v>
      </c>
      <c r="X759" s="336" t="s">
        <v>555</v>
      </c>
      <c r="Y759" s="352" t="s">
        <v>74</v>
      </c>
      <c r="Z759" s="105">
        <v>17911</v>
      </c>
      <c r="AA759" s="107">
        <v>5982.771527777777</v>
      </c>
      <c r="AB759" s="105" t="s">
        <v>472</v>
      </c>
    </row>
    <row r="760" spans="1:28">
      <c r="A760" s="105">
        <f t="shared" si="11"/>
        <v>759</v>
      </c>
      <c r="B760" s="107">
        <f>YEAR(Table6[[#This Row],[Date]])+IF(MONTH(Table6[[#This Row],[Date]])&gt;=4,1,0)</f>
        <v>2026</v>
      </c>
      <c r="C760" s="105">
        <f>YEAR(Table6[[#This Row],[Date]])</f>
        <v>2025</v>
      </c>
      <c r="D760" s="105" t="s">
        <v>465</v>
      </c>
      <c r="E760" s="119">
        <f>Table6[[#This Row],[Date]]-DAY(Table6[[#This Row],[Date]])+1</f>
        <v>45809</v>
      </c>
      <c r="F760" s="118">
        <v>45819</v>
      </c>
      <c r="G760" s="105" t="s">
        <v>83</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473</v>
      </c>
      <c r="N760" s="39" t="s">
        <v>474</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475</v>
      </c>
      <c r="V760" s="351" t="s">
        <v>476</v>
      </c>
      <c r="W760" s="338">
        <f>Table6[[#This Row],[Breakdown Time]]*(1/39)</f>
        <v>3.675213675213676E-2</v>
      </c>
      <c r="X760" s="336" t="s">
        <v>477</v>
      </c>
      <c r="Y760" s="352" t="s">
        <v>84</v>
      </c>
      <c r="Z760" s="105">
        <v>17938</v>
      </c>
      <c r="AA760" s="107">
        <v>1071.2972222222224</v>
      </c>
      <c r="AB760" s="105" t="s">
        <v>472</v>
      </c>
    </row>
    <row r="761" spans="1:28">
      <c r="A761" s="105">
        <f t="shared" si="11"/>
        <v>760</v>
      </c>
      <c r="B761" s="107">
        <f>YEAR(Table6[[#This Row],[Date]])+IF(MONTH(Table6[[#This Row],[Date]])&gt;=4,1,0)</f>
        <v>2026</v>
      </c>
      <c r="C761" s="105">
        <f>YEAR(Table6[[#This Row],[Date]])</f>
        <v>2025</v>
      </c>
      <c r="D761" s="105" t="s">
        <v>465</v>
      </c>
      <c r="E761" s="119">
        <f>Table6[[#This Row],[Date]]-DAY(Table6[[#This Row],[Date]])+1</f>
        <v>45809</v>
      </c>
      <c r="F761" s="118">
        <v>45819</v>
      </c>
      <c r="G761" s="105" t="s">
        <v>89</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473</v>
      </c>
      <c r="N761" s="39" t="s">
        <v>474</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475</v>
      </c>
      <c r="V761" s="351" t="s">
        <v>476</v>
      </c>
      <c r="W761" s="338">
        <f>Table6[[#This Row],[Breakdown Time]]*(1/39)</f>
        <v>1.9658119658119654E-2</v>
      </c>
      <c r="X761" s="336" t="s">
        <v>477</v>
      </c>
      <c r="Y761" s="352" t="s">
        <v>90</v>
      </c>
      <c r="Z761" s="105">
        <v>9539</v>
      </c>
      <c r="AA761" s="107">
        <v>304.71805555555551</v>
      </c>
      <c r="AB761" s="105" t="s">
        <v>472</v>
      </c>
    </row>
    <row r="762" spans="1:28">
      <c r="A762" s="105">
        <f t="shared" si="11"/>
        <v>761</v>
      </c>
      <c r="B762" s="107">
        <f>YEAR(Table6[[#This Row],[Date]])+IF(MONTH(Table6[[#This Row],[Date]])&gt;=4,1,0)</f>
        <v>2026</v>
      </c>
      <c r="C762" s="105">
        <f>YEAR(Table6[[#This Row],[Date]])</f>
        <v>2025</v>
      </c>
      <c r="D762" s="105" t="s">
        <v>465</v>
      </c>
      <c r="E762" s="119">
        <f>Table6[[#This Row],[Date]]-DAY(Table6[[#This Row],[Date]])+1</f>
        <v>45809</v>
      </c>
      <c r="F762" s="118">
        <v>45819</v>
      </c>
      <c r="G762" s="105" t="s">
        <v>104</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473</v>
      </c>
      <c r="N762" s="39" t="s">
        <v>474</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484</v>
      </c>
      <c r="V762" s="351" t="s">
        <v>476</v>
      </c>
      <c r="W762" s="338">
        <f>Table6[[#This Row],[Breakdown Time]]*(1/39)</f>
        <v>2.2222222222222209E-2</v>
      </c>
      <c r="X762" s="336" t="s">
        <v>477</v>
      </c>
      <c r="Y762" s="352" t="s">
        <v>98</v>
      </c>
      <c r="Z762" s="105">
        <v>12111</v>
      </c>
      <c r="AA762" s="107">
        <v>437.34166666666647</v>
      </c>
      <c r="AB762" s="105" t="s">
        <v>472</v>
      </c>
    </row>
    <row r="763" spans="1:28">
      <c r="A763" s="105">
        <f t="shared" si="11"/>
        <v>762</v>
      </c>
      <c r="B763" s="107">
        <f>YEAR(Table6[[#This Row],[Date]])+IF(MONTH(Table6[[#This Row],[Date]])&gt;=4,1,0)</f>
        <v>2026</v>
      </c>
      <c r="C763" s="105">
        <f>YEAR(Table6[[#This Row],[Date]])</f>
        <v>2025</v>
      </c>
      <c r="D763" s="105" t="s">
        <v>465</v>
      </c>
      <c r="E763" s="119">
        <f>Table6[[#This Row],[Date]]-DAY(Table6[[#This Row],[Date]])+1</f>
        <v>45809</v>
      </c>
      <c r="F763" s="118">
        <v>45820</v>
      </c>
      <c r="G763" s="105" t="s">
        <v>103</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466</v>
      </c>
      <c r="L763" s="39" t="str">
        <f>IFERROR(VLOOKUP(Table6[[#This Row],[Error Code]],'Basic Data'!$T:$U,2,0),"")</f>
        <v>Manual Stop - Safety Related</v>
      </c>
      <c r="M763" s="346" t="s">
        <v>467</v>
      </c>
      <c r="N763" s="39" t="s">
        <v>468</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469</v>
      </c>
      <c r="V763" s="351" t="s">
        <v>470</v>
      </c>
      <c r="W763" s="338">
        <f>Table6[[#This Row],[Breakdown Time]]*(1/39)</f>
        <v>0.61537749287749288</v>
      </c>
      <c r="X763" s="336" t="s">
        <v>486</v>
      </c>
      <c r="Y763" s="352" t="s">
        <v>100</v>
      </c>
      <c r="Z763" s="105">
        <v>9862</v>
      </c>
      <c r="AA763" s="107">
        <v>9861.8858564814836</v>
      </c>
      <c r="AB763" s="105" t="s">
        <v>472</v>
      </c>
    </row>
    <row r="764" spans="1:28">
      <c r="A764" s="105">
        <f t="shared" si="11"/>
        <v>763</v>
      </c>
      <c r="B764" s="107">
        <f>YEAR(Table6[[#This Row],[Date]])+IF(MONTH(Table6[[#This Row],[Date]])&gt;=4,1,0)</f>
        <v>2026</v>
      </c>
      <c r="C764" s="105">
        <f>YEAR(Table6[[#This Row],[Date]])</f>
        <v>2025</v>
      </c>
      <c r="D764" s="105" t="s">
        <v>465</v>
      </c>
      <c r="E764" s="119">
        <f>Table6[[#This Row],[Date]]-DAY(Table6[[#This Row],[Date]])+1</f>
        <v>45809</v>
      </c>
      <c r="F764" s="118">
        <v>45820</v>
      </c>
      <c r="G764" s="105" t="s">
        <v>101</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466</v>
      </c>
      <c r="L764" s="39" t="str">
        <f>IFERROR(VLOOKUP(Table6[[#This Row],[Error Code]],'Basic Data'!$T:$U,2,0),"")</f>
        <v>Manual Stop - Safety Related</v>
      </c>
      <c r="M764" s="346" t="s">
        <v>467</v>
      </c>
      <c r="N764" s="39" t="s">
        <v>468</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469</v>
      </c>
      <c r="V764" s="351" t="s">
        <v>470</v>
      </c>
      <c r="W764" s="338">
        <f>Table6[[#This Row],[Breakdown Time]]*(1/39)</f>
        <v>0.61537749287749288</v>
      </c>
      <c r="X764" s="336" t="s">
        <v>486</v>
      </c>
      <c r="Y764" s="352" t="s">
        <v>100</v>
      </c>
      <c r="Z764" s="105">
        <v>9862</v>
      </c>
      <c r="AA764" s="107">
        <v>9861.8858564814836</v>
      </c>
      <c r="AB764" s="105" t="s">
        <v>472</v>
      </c>
    </row>
    <row r="765" spans="1:28">
      <c r="A765" s="105">
        <f t="shared" si="11"/>
        <v>764</v>
      </c>
      <c r="B765" s="107">
        <f>YEAR(Table6[[#This Row],[Date]])+IF(MONTH(Table6[[#This Row],[Date]])&gt;=4,1,0)</f>
        <v>2026</v>
      </c>
      <c r="C765" s="105">
        <f>YEAR(Table6[[#This Row],[Date]])</f>
        <v>2025</v>
      </c>
      <c r="D765" s="105" t="s">
        <v>465</v>
      </c>
      <c r="E765" s="119">
        <f>Table6[[#This Row],[Date]]-DAY(Table6[[#This Row],[Date]])+1</f>
        <v>45809</v>
      </c>
      <c r="F765" s="118">
        <v>45820</v>
      </c>
      <c r="G765" s="105" t="s">
        <v>74</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552</v>
      </c>
      <c r="L765" s="39" t="str">
        <f>IFERROR(VLOOKUP(Table6[[#This Row],[Error Code]],'Basic Data'!$T:$U,2,0),"")</f>
        <v>Manual Stop - Preventive Maintenance Activity</v>
      </c>
      <c r="M765" s="346" t="s">
        <v>553</v>
      </c>
      <c r="N765" s="39" t="s">
        <v>189</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574</v>
      </c>
      <c r="V765" s="351" t="s">
        <v>476</v>
      </c>
      <c r="W765" s="338">
        <f>Table6[[#This Row],[Breakdown Time]]*(1/39)</f>
        <v>0.18846153846153846</v>
      </c>
      <c r="X765" s="336" t="s">
        <v>555</v>
      </c>
      <c r="Y765" s="352" t="s">
        <v>80</v>
      </c>
      <c r="Z765" s="105">
        <v>14931</v>
      </c>
      <c r="AA765" s="107">
        <v>4572.6187499999996</v>
      </c>
      <c r="AB765" s="105" t="s">
        <v>472</v>
      </c>
    </row>
    <row r="766" spans="1:28">
      <c r="A766" s="105">
        <f t="shared" si="11"/>
        <v>765</v>
      </c>
      <c r="B766" s="107">
        <f>YEAR(Table6[[#This Row],[Date]])+IF(MONTH(Table6[[#This Row],[Date]])&gt;=4,1,0)</f>
        <v>2026</v>
      </c>
      <c r="C766" s="105">
        <f>YEAR(Table6[[#This Row],[Date]])</f>
        <v>2025</v>
      </c>
      <c r="D766" s="105" t="s">
        <v>465</v>
      </c>
      <c r="E766" s="119">
        <f>Table6[[#This Row],[Date]]-DAY(Table6[[#This Row],[Date]])+1</f>
        <v>45809</v>
      </c>
      <c r="F766" s="118">
        <v>45820</v>
      </c>
      <c r="G766" s="105" t="s">
        <v>112</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526</v>
      </c>
      <c r="L766" s="39" t="str">
        <f>IFERROR(VLOOKUP(Table6[[#This Row],[Error Code]],'Basic Data'!$T:$U,2,0),"")</f>
        <v>Manual Stop</v>
      </c>
      <c r="M766" s="346" t="s">
        <v>499</v>
      </c>
      <c r="N766" s="39" t="s">
        <v>189</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647</v>
      </c>
      <c r="V766" s="351" t="s">
        <v>476</v>
      </c>
      <c r="W766" s="338">
        <f>Table6[[#This Row],[Breakdown Time]]*(1/39)</f>
        <v>2.0085470085470115E-2</v>
      </c>
      <c r="X766" s="336" t="s">
        <v>501</v>
      </c>
      <c r="Y766" s="352" t="s">
        <v>111</v>
      </c>
      <c r="Z766" s="105">
        <v>8964</v>
      </c>
      <c r="AA766" s="107">
        <v>292.57500000000044</v>
      </c>
      <c r="AB766" s="105" t="s">
        <v>472</v>
      </c>
    </row>
    <row r="767" spans="1:28">
      <c r="A767" s="105">
        <f t="shared" si="11"/>
        <v>766</v>
      </c>
      <c r="B767" s="107">
        <f>YEAR(Table6[[#This Row],[Date]])+IF(MONTH(Table6[[#This Row],[Date]])&gt;=4,1,0)</f>
        <v>2026</v>
      </c>
      <c r="C767" s="105">
        <f>YEAR(Table6[[#This Row],[Date]])</f>
        <v>2025</v>
      </c>
      <c r="D767" s="105" t="s">
        <v>465</v>
      </c>
      <c r="E767" s="119">
        <f>Table6[[#This Row],[Date]]-DAY(Table6[[#This Row],[Date]])+1</f>
        <v>45809</v>
      </c>
      <c r="F767" s="118">
        <v>45820</v>
      </c>
      <c r="G767" s="105" t="s">
        <v>85</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473</v>
      </c>
      <c r="N767" s="39" t="s">
        <v>474</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648</v>
      </c>
      <c r="V767" s="351" t="s">
        <v>476</v>
      </c>
      <c r="W767" s="338">
        <f>Table6[[#This Row],[Breakdown Time]]*(1/39)</f>
        <v>3.4188034188034205E-2</v>
      </c>
      <c r="X767" s="336" t="s">
        <v>477</v>
      </c>
      <c r="Y767" s="352" t="s">
        <v>86</v>
      </c>
      <c r="Z767" s="105">
        <v>12738</v>
      </c>
      <c r="AA767" s="107">
        <v>707.66666666666697</v>
      </c>
      <c r="AB767" s="105" t="s">
        <v>472</v>
      </c>
    </row>
    <row r="768" spans="1:28">
      <c r="A768" s="105">
        <f t="shared" si="11"/>
        <v>767</v>
      </c>
      <c r="B768" s="107">
        <f>YEAR(Table6[[#This Row],[Date]])+IF(MONTH(Table6[[#This Row],[Date]])&gt;=4,1,0)</f>
        <v>2026</v>
      </c>
      <c r="C768" s="105">
        <f>YEAR(Table6[[#This Row],[Date]])</f>
        <v>2025</v>
      </c>
      <c r="D768" s="105" t="s">
        <v>465</v>
      </c>
      <c r="E768" s="119">
        <f>Table6[[#This Row],[Date]]-DAY(Table6[[#This Row],[Date]])+1</f>
        <v>45809</v>
      </c>
      <c r="F768" s="118">
        <v>45821</v>
      </c>
      <c r="G768" s="105" t="s">
        <v>103</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466</v>
      </c>
      <c r="L768" s="39" t="str">
        <f>IFERROR(VLOOKUP(Table6[[#This Row],[Error Code]],'Basic Data'!$T:$U,2,0),"")</f>
        <v>Manual Stop - Safety Related</v>
      </c>
      <c r="M768" s="346" t="s">
        <v>467</v>
      </c>
      <c r="N768" s="39" t="s">
        <v>468</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469</v>
      </c>
      <c r="V768" s="351" t="s">
        <v>470</v>
      </c>
      <c r="W768" s="338">
        <f>Table6[[#This Row],[Breakdown Time]]*(1/39)</f>
        <v>0.61537749287749288</v>
      </c>
      <c r="X768" s="336" t="s">
        <v>486</v>
      </c>
      <c r="Y768" s="352" t="s">
        <v>100</v>
      </c>
      <c r="Z768" s="105">
        <v>2121</v>
      </c>
      <c r="AA768" s="107">
        <v>2120.9754513888893</v>
      </c>
      <c r="AB768" s="105" t="s">
        <v>472</v>
      </c>
    </row>
    <row r="769" spans="1:28">
      <c r="A769" s="105">
        <f t="shared" si="11"/>
        <v>768</v>
      </c>
      <c r="B769" s="107">
        <f>YEAR(Table6[[#This Row],[Date]])+IF(MONTH(Table6[[#This Row],[Date]])&gt;=4,1,0)</f>
        <v>2026</v>
      </c>
      <c r="C769" s="105">
        <f>YEAR(Table6[[#This Row],[Date]])</f>
        <v>2025</v>
      </c>
      <c r="D769" s="105" t="s">
        <v>465</v>
      </c>
      <c r="E769" s="119">
        <f>Table6[[#This Row],[Date]]-DAY(Table6[[#This Row],[Date]])+1</f>
        <v>45809</v>
      </c>
      <c r="F769" s="118">
        <v>45821</v>
      </c>
      <c r="G769" s="105" t="s">
        <v>101</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466</v>
      </c>
      <c r="L769" s="39" t="str">
        <f>IFERROR(VLOOKUP(Table6[[#This Row],[Error Code]],'Basic Data'!$T:$U,2,0),"")</f>
        <v>Manual Stop - Safety Related</v>
      </c>
      <c r="M769" s="346" t="s">
        <v>467</v>
      </c>
      <c r="N769" s="39" t="s">
        <v>468</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469</v>
      </c>
      <c r="V769" s="351" t="s">
        <v>470</v>
      </c>
      <c r="W769" s="338">
        <f>Table6[[#This Row],[Breakdown Time]]*(1/39)</f>
        <v>0.61537749287749288</v>
      </c>
      <c r="X769" s="336" t="s">
        <v>486</v>
      </c>
      <c r="Y769" s="352" t="s">
        <v>100</v>
      </c>
      <c r="Z769" s="105">
        <v>2121</v>
      </c>
      <c r="AA769" s="107">
        <v>2120.9754513888893</v>
      </c>
      <c r="AB769" s="105" t="s">
        <v>472</v>
      </c>
    </row>
    <row r="770" spans="1:28">
      <c r="A770" s="105">
        <f t="shared" si="11"/>
        <v>769</v>
      </c>
      <c r="B770" s="107">
        <f>YEAR(Table6[[#This Row],[Date]])+IF(MONTH(Table6[[#This Row],[Date]])&gt;=4,1,0)</f>
        <v>2026</v>
      </c>
      <c r="C770" s="105">
        <f>YEAR(Table6[[#This Row],[Date]])</f>
        <v>2025</v>
      </c>
      <c r="D770" s="105" t="s">
        <v>465</v>
      </c>
      <c r="E770" s="119">
        <f>Table6[[#This Row],[Date]]-DAY(Table6[[#This Row],[Date]])+1</f>
        <v>45809</v>
      </c>
      <c r="F770" s="118">
        <v>45821</v>
      </c>
      <c r="G770" s="105" t="s">
        <v>83</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552</v>
      </c>
      <c r="L770" s="39" t="str">
        <f>IFERROR(VLOOKUP(Table6[[#This Row],[Error Code]],'Basic Data'!$T:$U,2,0),"")</f>
        <v>Manual Stop - Preventive Maintenance Activity</v>
      </c>
      <c r="M770" s="346" t="s">
        <v>553</v>
      </c>
      <c r="N770" s="39" t="s">
        <v>189</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574</v>
      </c>
      <c r="V770" s="351" t="s">
        <v>476</v>
      </c>
      <c r="W770" s="338">
        <f>Table6[[#This Row],[Breakdown Time]]*(1/39)</f>
        <v>0.18376068376068375</v>
      </c>
      <c r="X770" s="336" t="s">
        <v>555</v>
      </c>
      <c r="Y770" s="352" t="s">
        <v>84</v>
      </c>
      <c r="Z770" s="105">
        <v>4167</v>
      </c>
      <c r="AA770" s="107">
        <v>1244.3125</v>
      </c>
      <c r="AB770" s="105" t="s">
        <v>472</v>
      </c>
    </row>
    <row r="771" spans="1:28">
      <c r="A771" s="105">
        <f t="shared" si="11"/>
        <v>770</v>
      </c>
      <c r="B771" s="107">
        <f>YEAR(Table6[[#This Row],[Date]])+IF(MONTH(Table6[[#This Row],[Date]])&gt;=4,1,0)</f>
        <v>2026</v>
      </c>
      <c r="C771" s="105">
        <f>YEAR(Table6[[#This Row],[Date]])</f>
        <v>2025</v>
      </c>
      <c r="D771" s="105" t="s">
        <v>465</v>
      </c>
      <c r="E771" s="119">
        <f>Table6[[#This Row],[Date]]-DAY(Table6[[#This Row],[Date]])+1</f>
        <v>45809</v>
      </c>
      <c r="F771" s="118">
        <v>45821</v>
      </c>
      <c r="G771" s="105" t="s">
        <v>90</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473</v>
      </c>
      <c r="N771" s="39" t="s">
        <v>474</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649</v>
      </c>
      <c r="V771" s="351" t="s">
        <v>470</v>
      </c>
      <c r="W771" s="338">
        <f>Table6[[#This Row],[Breakdown Time]]*(1/39)</f>
        <v>0.30341168091168091</v>
      </c>
      <c r="X771" s="336" t="s">
        <v>477</v>
      </c>
      <c r="Y771" s="352" t="s">
        <v>89</v>
      </c>
      <c r="Z771" s="105">
        <v>3618</v>
      </c>
      <c r="AA771" s="107">
        <v>1783.8331250000001</v>
      </c>
      <c r="AB771" s="105" t="s">
        <v>472</v>
      </c>
    </row>
    <row r="772" spans="1:28">
      <c r="A772" s="105">
        <f t="shared" ref="A772:A835" si="12">A771+1</f>
        <v>771</v>
      </c>
      <c r="B772" s="107">
        <f>YEAR(Table6[[#This Row],[Date]])+IF(MONTH(Table6[[#This Row],[Date]])&gt;=4,1,0)</f>
        <v>2026</v>
      </c>
      <c r="C772" s="105">
        <f>YEAR(Table6[[#This Row],[Date]])</f>
        <v>2025</v>
      </c>
      <c r="D772" s="105" t="s">
        <v>465</v>
      </c>
      <c r="E772" s="119">
        <f>Table6[[#This Row],[Date]]-DAY(Table6[[#This Row],[Date]])+1</f>
        <v>45809</v>
      </c>
      <c r="F772" s="118">
        <v>45821</v>
      </c>
      <c r="G772" s="105" t="s">
        <v>99</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473</v>
      </c>
      <c r="N772" s="39" t="s">
        <v>474</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475</v>
      </c>
      <c r="V772" s="351" t="s">
        <v>476</v>
      </c>
      <c r="W772" s="338">
        <f>Table6[[#This Row],[Breakdown Time]]*(1/39)</f>
        <v>1.1111111111111139E-2</v>
      </c>
      <c r="X772" s="336" t="s">
        <v>477</v>
      </c>
      <c r="Y772" s="352" t="s">
        <v>97</v>
      </c>
      <c r="Z772" s="105">
        <v>2118</v>
      </c>
      <c r="AA772" s="107">
        <v>38.241666666666767</v>
      </c>
      <c r="AB772" s="105" t="s">
        <v>472</v>
      </c>
    </row>
    <row r="773" spans="1:28">
      <c r="A773" s="105">
        <f t="shared" si="12"/>
        <v>772</v>
      </c>
      <c r="B773" s="107">
        <f>YEAR(Table6[[#This Row],[Date]])+IF(MONTH(Table6[[#This Row],[Date]])&gt;=4,1,0)</f>
        <v>2026</v>
      </c>
      <c r="C773" s="105">
        <f>YEAR(Table6[[#This Row],[Date]])</f>
        <v>2025</v>
      </c>
      <c r="D773" s="105" t="s">
        <v>465</v>
      </c>
      <c r="E773" s="119">
        <f>Table6[[#This Row],[Date]]-DAY(Table6[[#This Row],[Date]])+1</f>
        <v>45809</v>
      </c>
      <c r="F773" s="118">
        <v>45821</v>
      </c>
      <c r="G773" s="105" t="s">
        <v>100</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473</v>
      </c>
      <c r="N773" s="39" t="s">
        <v>474</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475</v>
      </c>
      <c r="V773" s="351" t="s">
        <v>476</v>
      </c>
      <c r="W773" s="338">
        <f>Table6[[#This Row],[Breakdown Time]]*(1/39)</f>
        <v>1.5384615384615398E-2</v>
      </c>
      <c r="X773" s="336" t="s">
        <v>477</v>
      </c>
      <c r="Y773" s="352" t="s">
        <v>102</v>
      </c>
      <c r="Z773" s="105">
        <v>2123</v>
      </c>
      <c r="AA773" s="107">
        <v>53.075000000000045</v>
      </c>
      <c r="AB773" s="105" t="s">
        <v>472</v>
      </c>
    </row>
    <row r="774" spans="1:28">
      <c r="A774" s="105">
        <f t="shared" si="12"/>
        <v>773</v>
      </c>
      <c r="B774" s="107">
        <f>YEAR(Table6[[#This Row],[Date]])+IF(MONTH(Table6[[#This Row],[Date]])&gt;=4,1,0)</f>
        <v>2026</v>
      </c>
      <c r="C774" s="105">
        <f>YEAR(Table6[[#This Row],[Date]])</f>
        <v>2025</v>
      </c>
      <c r="D774" s="105" t="s">
        <v>465</v>
      </c>
      <c r="E774" s="119">
        <f>Table6[[#This Row],[Date]]-DAY(Table6[[#This Row],[Date]])+1</f>
        <v>45809</v>
      </c>
      <c r="F774" s="118">
        <v>45821</v>
      </c>
      <c r="G774" s="105" t="s">
        <v>102</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473</v>
      </c>
      <c r="N774" s="39" t="s">
        <v>474</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475</v>
      </c>
      <c r="V774" s="351" t="s">
        <v>476</v>
      </c>
      <c r="W774" s="338">
        <f>Table6[[#This Row],[Breakdown Time]]*(1/39)</f>
        <v>1.9658119658119654E-2</v>
      </c>
      <c r="X774" s="336" t="s">
        <v>477</v>
      </c>
      <c r="Y774" s="352" t="s">
        <v>100</v>
      </c>
      <c r="Z774" s="105">
        <v>2121</v>
      </c>
      <c r="AA774" s="107">
        <v>67.754166666666663</v>
      </c>
      <c r="AB774" s="105" t="s">
        <v>472</v>
      </c>
    </row>
    <row r="775" spans="1:28">
      <c r="A775" s="105">
        <f t="shared" si="12"/>
        <v>774</v>
      </c>
      <c r="B775" s="107">
        <f>YEAR(Table6[[#This Row],[Date]])+IF(MONTH(Table6[[#This Row],[Date]])&gt;=4,1,0)</f>
        <v>2026</v>
      </c>
      <c r="C775" s="105">
        <f>YEAR(Table6[[#This Row],[Date]])</f>
        <v>2025</v>
      </c>
      <c r="D775" s="105" t="s">
        <v>465</v>
      </c>
      <c r="E775" s="119">
        <f>Table6[[#This Row],[Date]]-DAY(Table6[[#This Row],[Date]])+1</f>
        <v>45809</v>
      </c>
      <c r="F775" s="118">
        <v>45821</v>
      </c>
      <c r="G775" s="105" t="s">
        <v>110</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526</v>
      </c>
      <c r="L775" s="39" t="str">
        <f>IFERROR(VLOOKUP(Table6[[#This Row],[Error Code]],'Basic Data'!$T:$U,2,0),"")</f>
        <v>Manual Stop</v>
      </c>
      <c r="M775" s="346" t="s">
        <v>499</v>
      </c>
      <c r="N775" s="39" t="s">
        <v>189</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635</v>
      </c>
      <c r="V775" s="351" t="s">
        <v>476</v>
      </c>
      <c r="W775" s="338">
        <f>Table6[[#This Row],[Breakdown Time]]*(1/39)</f>
        <v>2.9487179487179518E-2</v>
      </c>
      <c r="X775" s="336" t="s">
        <v>501</v>
      </c>
      <c r="Y775" s="352" t="s">
        <v>111</v>
      </c>
      <c r="Z775" s="105">
        <v>2762</v>
      </c>
      <c r="AA775" s="107">
        <v>132.34583333333347</v>
      </c>
      <c r="AB775" s="105" t="s">
        <v>472</v>
      </c>
    </row>
    <row r="776" spans="1:28">
      <c r="A776" s="105">
        <f t="shared" si="12"/>
        <v>775</v>
      </c>
      <c r="B776" s="107">
        <f>YEAR(Table6[[#This Row],[Date]])+IF(MONTH(Table6[[#This Row],[Date]])&gt;=4,1,0)</f>
        <v>2026</v>
      </c>
      <c r="C776" s="105">
        <f>YEAR(Table6[[#This Row],[Date]])</f>
        <v>2025</v>
      </c>
      <c r="D776" s="105" t="s">
        <v>465</v>
      </c>
      <c r="E776" s="119">
        <f>Table6[[#This Row],[Date]]-DAY(Table6[[#This Row],[Date]])+1</f>
        <v>45809</v>
      </c>
      <c r="F776" s="118">
        <v>45822</v>
      </c>
      <c r="G776" s="105" t="s">
        <v>103</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466</v>
      </c>
      <c r="L776" s="39" t="str">
        <f>IFERROR(VLOOKUP(Table6[[#This Row],[Error Code]],'Basic Data'!$T:$U,2,0),"")</f>
        <v>Manual Stop - Safety Related</v>
      </c>
      <c r="M776" s="346" t="s">
        <v>467</v>
      </c>
      <c r="N776" s="39" t="s">
        <v>468</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469</v>
      </c>
      <c r="V776" s="351" t="s">
        <v>470</v>
      </c>
      <c r="W776" s="338">
        <f>Table6[[#This Row],[Breakdown Time]]*(1/39)</f>
        <v>0.61537749287749288</v>
      </c>
      <c r="X776" s="336" t="s">
        <v>486</v>
      </c>
      <c r="Y776" s="352" t="s">
        <v>100</v>
      </c>
      <c r="Z776" s="105">
        <v>2153</v>
      </c>
      <c r="AA776" s="107">
        <f>IFERROR((Table6[[#This Row],[Paired WTG Generation for loss calculation]]/24)*Table6[[#This Row],[Breakdown Time]],"")</f>
        <v>2152.9750810185187</v>
      </c>
      <c r="AB776" s="105" t="s">
        <v>472</v>
      </c>
    </row>
    <row r="777" spans="1:28">
      <c r="A777" s="105">
        <f t="shared" si="12"/>
        <v>776</v>
      </c>
      <c r="B777" s="107">
        <f>YEAR(Table6[[#This Row],[Date]])+IF(MONTH(Table6[[#This Row],[Date]])&gt;=4,1,0)</f>
        <v>2026</v>
      </c>
      <c r="C777" s="105">
        <f>YEAR(Table6[[#This Row],[Date]])</f>
        <v>2025</v>
      </c>
      <c r="D777" s="105" t="s">
        <v>465</v>
      </c>
      <c r="E777" s="119">
        <f>Table6[[#This Row],[Date]]-DAY(Table6[[#This Row],[Date]])+1</f>
        <v>45809</v>
      </c>
      <c r="F777" s="118">
        <v>45822</v>
      </c>
      <c r="G777" s="105" t="s">
        <v>101</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466</v>
      </c>
      <c r="L777" s="39" t="str">
        <f>IFERROR(VLOOKUP(Table6[[#This Row],[Error Code]],'Basic Data'!$T:$U,2,0),"")</f>
        <v>Manual Stop - Safety Related</v>
      </c>
      <c r="M777" s="346" t="s">
        <v>467</v>
      </c>
      <c r="N777" s="39" t="s">
        <v>468</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469</v>
      </c>
      <c r="V777" s="351" t="s">
        <v>470</v>
      </c>
      <c r="W777" s="338">
        <f>Table6[[#This Row],[Breakdown Time]]*(1/39)</f>
        <v>0.61537749287749288</v>
      </c>
      <c r="X777" s="336" t="s">
        <v>486</v>
      </c>
      <c r="Y777" s="352" t="s">
        <v>100</v>
      </c>
      <c r="Z777" s="105">
        <v>2153</v>
      </c>
      <c r="AA777" s="107">
        <f>IFERROR((Table6[[#This Row],[Paired WTG Generation for loss calculation]]/24)*Table6[[#This Row],[Breakdown Time]],"")</f>
        <v>2152.9750810185187</v>
      </c>
      <c r="AB777" s="105" t="s">
        <v>472</v>
      </c>
    </row>
    <row r="778" spans="1:28">
      <c r="A778" s="105">
        <f t="shared" si="12"/>
        <v>777</v>
      </c>
      <c r="B778" s="107">
        <f>YEAR(Table6[[#This Row],[Date]])+IF(MONTH(Table6[[#This Row],[Date]])&gt;=4,1,0)</f>
        <v>2026</v>
      </c>
      <c r="C778" s="105">
        <f>YEAR(Table6[[#This Row],[Date]])</f>
        <v>2025</v>
      </c>
      <c r="D778" s="105" t="s">
        <v>465</v>
      </c>
      <c r="E778" s="119">
        <f>Table6[[#This Row],[Date]]-DAY(Table6[[#This Row],[Date]])+1</f>
        <v>45809</v>
      </c>
      <c r="F778" s="118">
        <v>45822</v>
      </c>
      <c r="G778" s="105" t="s">
        <v>90</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473</v>
      </c>
      <c r="N778" s="39" t="s">
        <v>474</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650</v>
      </c>
      <c r="V778" s="351" t="s">
        <v>470</v>
      </c>
      <c r="W778" s="338">
        <f>Table6[[#This Row],[Breakdown Time]]*(1/39)</f>
        <v>0.61537749287749288</v>
      </c>
      <c r="X778" s="336" t="s">
        <v>477</v>
      </c>
      <c r="Y778" s="352" t="s">
        <v>91</v>
      </c>
      <c r="Z778" s="105">
        <v>1943</v>
      </c>
      <c r="AA778" s="107">
        <f>IFERROR((Table6[[#This Row],[Paired WTG Generation for loss calculation]]/24)*Table6[[#This Row],[Breakdown Time]],"")</f>
        <v>1942.9775115740742</v>
      </c>
      <c r="AB778" s="105" t="s">
        <v>651</v>
      </c>
    </row>
    <row r="779" spans="1:28">
      <c r="A779" s="105">
        <f t="shared" si="12"/>
        <v>778</v>
      </c>
      <c r="B779" s="107">
        <f>YEAR(Table6[[#This Row],[Date]])+IF(MONTH(Table6[[#This Row],[Date]])&gt;=4,1,0)</f>
        <v>2026</v>
      </c>
      <c r="C779" s="105">
        <f>YEAR(Table6[[#This Row],[Date]])</f>
        <v>2025</v>
      </c>
      <c r="D779" s="105" t="s">
        <v>465</v>
      </c>
      <c r="E779" s="119">
        <f>Table6[[#This Row],[Date]]-DAY(Table6[[#This Row],[Date]])+1</f>
        <v>45809</v>
      </c>
      <c r="F779" s="118">
        <v>45822</v>
      </c>
      <c r="G779" s="105" t="s">
        <v>89</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473</v>
      </c>
      <c r="N779" s="39" t="s">
        <v>474</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652</v>
      </c>
      <c r="V779" s="351" t="s">
        <v>476</v>
      </c>
      <c r="W779" s="338">
        <f>Table6[[#This Row],[Breakdown Time]]*(1/39)</f>
        <v>2.9914529914529909E-2</v>
      </c>
      <c r="X779" s="336" t="s">
        <v>477</v>
      </c>
      <c r="Y779" s="352" t="s">
        <v>91</v>
      </c>
      <c r="Z779" s="105">
        <v>1943</v>
      </c>
      <c r="AA779" s="107">
        <f>IFERROR((Table6[[#This Row],[Paired WTG Generation for loss calculation]]/24)*Table6[[#This Row],[Breakdown Time]],"")</f>
        <v>94.451388888888872</v>
      </c>
      <c r="AB779" s="105" t="s">
        <v>472</v>
      </c>
    </row>
    <row r="780" spans="1:28">
      <c r="A780" s="105">
        <f t="shared" si="12"/>
        <v>779</v>
      </c>
      <c r="B780" s="107">
        <f>YEAR(Table6[[#This Row],[Date]])+IF(MONTH(Table6[[#This Row],[Date]])&gt;=4,1,0)</f>
        <v>2026</v>
      </c>
      <c r="C780" s="105">
        <f>YEAR(Table6[[#This Row],[Date]])</f>
        <v>2025</v>
      </c>
      <c r="D780" s="105" t="s">
        <v>465</v>
      </c>
      <c r="E780" s="119">
        <f>Table6[[#This Row],[Date]]-DAY(Table6[[#This Row],[Date]])+1</f>
        <v>45809</v>
      </c>
      <c r="F780" s="118">
        <v>45822</v>
      </c>
      <c r="G780" s="105" t="s">
        <v>111</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473</v>
      </c>
      <c r="N780" s="39" t="s">
        <v>474</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653</v>
      </c>
      <c r="V780" s="351" t="s">
        <v>476</v>
      </c>
      <c r="W780" s="338">
        <f>Table6[[#This Row],[Breakdown Time]]*(1/39)</f>
        <v>0.1004273504273504</v>
      </c>
      <c r="X780" s="336" t="s">
        <v>477</v>
      </c>
      <c r="Y780" s="352" t="s">
        <v>112</v>
      </c>
      <c r="Z780" s="105">
        <v>2126</v>
      </c>
      <c r="AA780" s="107">
        <f>IFERROR((Table6[[#This Row],[Paired WTG Generation for loss calculation]]/24)*Table6[[#This Row],[Breakdown Time]],"")</f>
        <v>346.9513888888888</v>
      </c>
      <c r="AB780" s="105" t="s">
        <v>472</v>
      </c>
    </row>
    <row r="781" spans="1:28">
      <c r="A781" s="105">
        <f t="shared" si="12"/>
        <v>780</v>
      </c>
      <c r="B781" s="107">
        <f>YEAR(Table6[[#This Row],[Date]])+IF(MONTH(Table6[[#This Row],[Date]])&gt;=4,1,0)</f>
        <v>2026</v>
      </c>
      <c r="C781" s="105">
        <f>YEAR(Table6[[#This Row],[Date]])</f>
        <v>2025</v>
      </c>
      <c r="D781" s="105" t="s">
        <v>465</v>
      </c>
      <c r="E781" s="119">
        <f>Table6[[#This Row],[Date]]-DAY(Table6[[#This Row],[Date]])+1</f>
        <v>45809</v>
      </c>
      <c r="F781" s="118">
        <v>45822</v>
      </c>
      <c r="G781" s="105" t="s">
        <v>92</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526</v>
      </c>
      <c r="L781" s="39" t="str">
        <f>IFERROR(VLOOKUP(Table6[[#This Row],[Error Code]],'Basic Data'!$T:$U,2,0),"")</f>
        <v>Manual Stop</v>
      </c>
      <c r="M781" s="346" t="s">
        <v>499</v>
      </c>
      <c r="N781" s="39" t="s">
        <v>189</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654</v>
      </c>
      <c r="V781" s="351" t="s">
        <v>476</v>
      </c>
      <c r="W781" s="338">
        <f>Table6[[#This Row],[Breakdown Time]]*(1/39)</f>
        <v>6.3247863247863231E-2</v>
      </c>
      <c r="X781" s="336" t="s">
        <v>501</v>
      </c>
      <c r="Y781" s="352" t="s">
        <v>91</v>
      </c>
      <c r="Z781" s="105">
        <v>1943</v>
      </c>
      <c r="AA781" s="107">
        <f>IFERROR((Table6[[#This Row],[Paired WTG Generation for loss calculation]]/24)*Table6[[#This Row],[Breakdown Time]],"")</f>
        <v>199.69722222222214</v>
      </c>
      <c r="AB781" s="105" t="s">
        <v>472</v>
      </c>
    </row>
    <row r="782" spans="1:28">
      <c r="A782" s="105">
        <f t="shared" si="12"/>
        <v>781</v>
      </c>
      <c r="B782" s="107">
        <f>YEAR(Table6[[#This Row],[Date]])+IF(MONTH(Table6[[#This Row],[Date]])&gt;=4,1,0)</f>
        <v>2026</v>
      </c>
      <c r="C782" s="105">
        <f>YEAR(Table6[[#This Row],[Date]])</f>
        <v>2025</v>
      </c>
      <c r="D782" s="105" t="s">
        <v>465</v>
      </c>
      <c r="E782" s="119">
        <f>Table6[[#This Row],[Date]]-DAY(Table6[[#This Row],[Date]])+1</f>
        <v>45809</v>
      </c>
      <c r="F782" s="118">
        <v>45822</v>
      </c>
      <c r="G782" s="105" t="s">
        <v>77</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473</v>
      </c>
      <c r="N782" s="39" t="s">
        <v>474</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475</v>
      </c>
      <c r="V782" s="351" t="s">
        <v>476</v>
      </c>
      <c r="W782" s="338">
        <f>Table6[[#This Row],[Breakdown Time]]*(1/39)</f>
        <v>2.0512820512820506E-2</v>
      </c>
      <c r="X782" s="336" t="s">
        <v>477</v>
      </c>
      <c r="Y782" s="352" t="s">
        <v>76</v>
      </c>
      <c r="Z782" s="105">
        <v>2120</v>
      </c>
      <c r="AA782" s="107">
        <f>IFERROR((Table6[[#This Row],[Paired WTG Generation for loss calculation]]/24)*Table6[[#This Row],[Breakdown Time]],"")</f>
        <v>70.666666666666643</v>
      </c>
      <c r="AB782" s="105" t="s">
        <v>472</v>
      </c>
    </row>
    <row r="783" spans="1:28">
      <c r="A783" s="105">
        <f t="shared" si="12"/>
        <v>782</v>
      </c>
      <c r="B783" s="107">
        <f>YEAR(Table6[[#This Row],[Date]])+IF(MONTH(Table6[[#This Row],[Date]])&gt;=4,1,0)</f>
        <v>2026</v>
      </c>
      <c r="C783" s="105">
        <f>YEAR(Table6[[#This Row],[Date]])</f>
        <v>2025</v>
      </c>
      <c r="D783" s="105" t="s">
        <v>465</v>
      </c>
      <c r="E783" s="119">
        <f>Table6[[#This Row],[Date]]-DAY(Table6[[#This Row],[Date]])+1</f>
        <v>45809</v>
      </c>
      <c r="F783" s="118">
        <v>45823</v>
      </c>
      <c r="G783" s="105" t="s">
        <v>103</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466</v>
      </c>
      <c r="L783" s="39" t="str">
        <f>IFERROR(VLOOKUP(Table6[[#This Row],[Error Code]],'Basic Data'!$T:$U,2,0),"")</f>
        <v>Manual Stop - Safety Related</v>
      </c>
      <c r="M783" s="346" t="s">
        <v>467</v>
      </c>
      <c r="N783" s="39" t="s">
        <v>468</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469</v>
      </c>
      <c r="V783" s="351" t="s">
        <v>470</v>
      </c>
      <c r="W783" s="338">
        <f>Table6[[#This Row],[Breakdown Time]]*(1/39)</f>
        <v>0.61537749287749288</v>
      </c>
      <c r="X783" s="336" t="s">
        <v>486</v>
      </c>
      <c r="Y783" s="352" t="s">
        <v>100</v>
      </c>
      <c r="Z783" s="105">
        <v>7948</v>
      </c>
      <c r="AA783" s="107">
        <f>IFERROR((Table6[[#This Row],[Paired WTG Generation for loss calculation]]/24)*Table6[[#This Row],[Breakdown Time]],"")</f>
        <v>7947.9080092592603</v>
      </c>
      <c r="AB783" s="105" t="s">
        <v>472</v>
      </c>
    </row>
    <row r="784" spans="1:28">
      <c r="A784" s="105">
        <f t="shared" si="12"/>
        <v>783</v>
      </c>
      <c r="B784" s="107">
        <f>YEAR(Table6[[#This Row],[Date]])+IF(MONTH(Table6[[#This Row],[Date]])&gt;=4,1,0)</f>
        <v>2026</v>
      </c>
      <c r="C784" s="105">
        <f>YEAR(Table6[[#This Row],[Date]])</f>
        <v>2025</v>
      </c>
      <c r="D784" s="105" t="s">
        <v>465</v>
      </c>
      <c r="E784" s="119">
        <f>Table6[[#This Row],[Date]]-DAY(Table6[[#This Row],[Date]])+1</f>
        <v>45809</v>
      </c>
      <c r="F784" s="118">
        <v>45823</v>
      </c>
      <c r="G784" s="105" t="s">
        <v>101</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466</v>
      </c>
      <c r="L784" s="39" t="str">
        <f>IFERROR(VLOOKUP(Table6[[#This Row],[Error Code]],'Basic Data'!$T:$U,2,0),"")</f>
        <v>Manual Stop - Safety Related</v>
      </c>
      <c r="M784" s="346" t="s">
        <v>467</v>
      </c>
      <c r="N784" s="39" t="s">
        <v>468</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469</v>
      </c>
      <c r="V784" s="351" t="s">
        <v>470</v>
      </c>
      <c r="W784" s="338">
        <f>Table6[[#This Row],[Breakdown Time]]*(1/39)</f>
        <v>0.61537749287749288</v>
      </c>
      <c r="X784" s="336" t="s">
        <v>486</v>
      </c>
      <c r="Y784" s="352" t="s">
        <v>100</v>
      </c>
      <c r="Z784" s="105">
        <v>7948</v>
      </c>
      <c r="AA784" s="107">
        <f>IFERROR((Table6[[#This Row],[Paired WTG Generation for loss calculation]]/24)*Table6[[#This Row],[Breakdown Time]],"")</f>
        <v>7947.9080092592603</v>
      </c>
      <c r="AB784" s="105" t="s">
        <v>472</v>
      </c>
    </row>
    <row r="785" spans="1:28">
      <c r="A785" s="105">
        <f t="shared" si="12"/>
        <v>784</v>
      </c>
      <c r="B785" s="107">
        <f>YEAR(Table6[[#This Row],[Date]])+IF(MONTH(Table6[[#This Row],[Date]])&gt;=4,1,0)</f>
        <v>2026</v>
      </c>
      <c r="C785" s="105">
        <f>YEAR(Table6[[#This Row],[Date]])</f>
        <v>2025</v>
      </c>
      <c r="D785" s="105" t="s">
        <v>465</v>
      </c>
      <c r="E785" s="119">
        <f>Table6[[#This Row],[Date]]-DAY(Table6[[#This Row],[Date]])+1</f>
        <v>45809</v>
      </c>
      <c r="F785" s="118">
        <v>45823</v>
      </c>
      <c r="G785" s="105" t="s">
        <v>90</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473</v>
      </c>
      <c r="N785" s="39" t="s">
        <v>474</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650</v>
      </c>
      <c r="V785" s="351" t="s">
        <v>470</v>
      </c>
      <c r="W785" s="338">
        <f>Table6[[#This Row],[Breakdown Time]]*(1/39)</f>
        <v>0.61537749287749288</v>
      </c>
      <c r="X785" s="336" t="s">
        <v>477</v>
      </c>
      <c r="Y785" s="352" t="s">
        <v>91</v>
      </c>
      <c r="Z785" s="105">
        <v>7856</v>
      </c>
      <c r="AA785" s="107">
        <f>IFERROR((Table6[[#This Row],[Paired WTG Generation for loss calculation]]/24)*Table6[[#This Row],[Breakdown Time]],"")</f>
        <v>7855.9090740740749</v>
      </c>
      <c r="AB785" s="105" t="s">
        <v>651</v>
      </c>
    </row>
    <row r="786" spans="1:28">
      <c r="A786" s="105">
        <f t="shared" si="12"/>
        <v>785</v>
      </c>
      <c r="B786" s="107">
        <f>YEAR(Table6[[#This Row],[Date]])+IF(MONTH(Table6[[#This Row],[Date]])&gt;=4,1,0)</f>
        <v>2026</v>
      </c>
      <c r="C786" s="105">
        <f>YEAR(Table6[[#This Row],[Date]])</f>
        <v>2025</v>
      </c>
      <c r="D786" s="105" t="s">
        <v>465</v>
      </c>
      <c r="E786" s="119">
        <f>Table6[[#This Row],[Date]]-DAY(Table6[[#This Row],[Date]])+1</f>
        <v>45809</v>
      </c>
      <c r="F786" s="118">
        <v>45823</v>
      </c>
      <c r="G786" s="105" t="s">
        <v>76</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473</v>
      </c>
      <c r="N786" s="39" t="s">
        <v>474</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655</v>
      </c>
      <c r="V786" s="351" t="s">
        <v>476</v>
      </c>
      <c r="W786" s="338">
        <f>Table6[[#This Row],[Breakdown Time]]*(1/39)</f>
        <v>7.3504273504273521E-2</v>
      </c>
      <c r="X786" s="336" t="s">
        <v>477</v>
      </c>
      <c r="Y786" s="352" t="s">
        <v>77</v>
      </c>
      <c r="Z786" s="105">
        <v>8021</v>
      </c>
      <c r="AA786" s="107">
        <f>IFERROR((Table6[[#This Row],[Paired WTG Generation for loss calculation]]/24)*Table6[[#This Row],[Breakdown Time]],"")</f>
        <v>958.06388888888898</v>
      </c>
      <c r="AB786" s="105" t="s">
        <v>472</v>
      </c>
    </row>
    <row r="787" spans="1:28">
      <c r="A787" s="105">
        <f t="shared" si="12"/>
        <v>786</v>
      </c>
      <c r="B787" s="107">
        <f>YEAR(Table6[[#This Row],[Date]])+IF(MONTH(Table6[[#This Row],[Date]])&gt;=4,1,0)</f>
        <v>2026</v>
      </c>
      <c r="C787" s="105">
        <f>YEAR(Table6[[#This Row],[Date]])</f>
        <v>2025</v>
      </c>
      <c r="D787" s="105" t="s">
        <v>465</v>
      </c>
      <c r="E787" s="119">
        <f>Table6[[#This Row],[Date]]-DAY(Table6[[#This Row],[Date]])+1</f>
        <v>45809</v>
      </c>
      <c r="F787" s="118">
        <v>45823</v>
      </c>
      <c r="G787" s="105" t="s">
        <v>84</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473</v>
      </c>
      <c r="N787" s="39" t="s">
        <v>474</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656</v>
      </c>
      <c r="V787" s="351" t="s">
        <v>476</v>
      </c>
      <c r="W787" s="338">
        <f>Table6[[#This Row],[Breakdown Time]]*(1/39)</f>
        <v>5.2136752136752153E-2</v>
      </c>
      <c r="X787" s="336" t="s">
        <v>477</v>
      </c>
      <c r="Y787" s="352" t="s">
        <v>83</v>
      </c>
      <c r="Z787" s="105">
        <v>8099</v>
      </c>
      <c r="AA787" s="107">
        <f>IFERROR((Table6[[#This Row],[Paired WTG Generation for loss calculation]]/24)*Table6[[#This Row],[Breakdown Time]],"")</f>
        <v>686.16527777777799</v>
      </c>
      <c r="AB787" s="105" t="s">
        <v>472</v>
      </c>
    </row>
    <row r="788" spans="1:28">
      <c r="A788" s="105">
        <f t="shared" si="12"/>
        <v>787</v>
      </c>
      <c r="B788" s="107">
        <f>YEAR(Table6[[#This Row],[Date]])+IF(MONTH(Table6[[#This Row],[Date]])&gt;=4,1,0)</f>
        <v>2026</v>
      </c>
      <c r="C788" s="105">
        <f>YEAR(Table6[[#This Row],[Date]])</f>
        <v>2025</v>
      </c>
      <c r="D788" s="105" t="s">
        <v>465</v>
      </c>
      <c r="E788" s="119">
        <f>Table6[[#This Row],[Date]]-DAY(Table6[[#This Row],[Date]])+1</f>
        <v>45809</v>
      </c>
      <c r="F788" s="118">
        <v>45823</v>
      </c>
      <c r="G788" s="105" t="s">
        <v>93</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473</v>
      </c>
      <c r="N788" s="39" t="s">
        <v>474</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657</v>
      </c>
      <c r="V788" s="351" t="s">
        <v>476</v>
      </c>
      <c r="W788" s="338">
        <f>Table6[[#This Row],[Breakdown Time]]*(1/39)</f>
        <v>8.1623931623931639E-2</v>
      </c>
      <c r="X788" s="336" t="s">
        <v>477</v>
      </c>
      <c r="Y788" s="352" t="s">
        <v>92</v>
      </c>
      <c r="Z788" s="105">
        <v>7965</v>
      </c>
      <c r="AA788" s="107">
        <f>IFERROR((Table6[[#This Row],[Paired WTG Generation for loss calculation]]/24)*Table6[[#This Row],[Breakdown Time]],"")</f>
        <v>1056.4687500000002</v>
      </c>
      <c r="AB788" s="105" t="s">
        <v>472</v>
      </c>
    </row>
    <row r="789" spans="1:28">
      <c r="A789" s="105">
        <f t="shared" si="12"/>
        <v>788</v>
      </c>
      <c r="B789" s="107">
        <f>YEAR(Table6[[#This Row],[Date]])+IF(MONTH(Table6[[#This Row],[Date]])&gt;=4,1,0)</f>
        <v>2026</v>
      </c>
      <c r="C789" s="105">
        <f>YEAR(Table6[[#This Row],[Date]])</f>
        <v>2025</v>
      </c>
      <c r="D789" s="105" t="s">
        <v>465</v>
      </c>
      <c r="E789" s="119">
        <f>Table6[[#This Row],[Date]]-DAY(Table6[[#This Row],[Date]])+1</f>
        <v>45809</v>
      </c>
      <c r="F789" s="118">
        <v>45823</v>
      </c>
      <c r="G789" s="105" t="s">
        <v>78</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473</v>
      </c>
      <c r="N789" s="39" t="s">
        <v>474</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475</v>
      </c>
      <c r="V789" s="351" t="s">
        <v>476</v>
      </c>
      <c r="W789" s="338">
        <f>Table6[[#This Row],[Breakdown Time]]*(1/39)</f>
        <v>1.1111111111111105E-2</v>
      </c>
      <c r="X789" s="336" t="s">
        <v>477</v>
      </c>
      <c r="Y789" s="352" t="s">
        <v>95</v>
      </c>
      <c r="Z789" s="105">
        <v>7878</v>
      </c>
      <c r="AA789" s="107">
        <f>IFERROR((Table6[[#This Row],[Paired WTG Generation for loss calculation]]/24)*Table6[[#This Row],[Breakdown Time]],"")</f>
        <v>142.24166666666659</v>
      </c>
      <c r="AB789" s="105" t="s">
        <v>472</v>
      </c>
    </row>
    <row r="790" spans="1:28">
      <c r="A790" s="105">
        <f t="shared" si="12"/>
        <v>789</v>
      </c>
      <c r="B790" s="107">
        <f>YEAR(Table6[[#This Row],[Date]])+IF(MONTH(Table6[[#This Row],[Date]])&gt;=4,1,0)</f>
        <v>2026</v>
      </c>
      <c r="C790" s="105">
        <f>YEAR(Table6[[#This Row],[Date]])</f>
        <v>2025</v>
      </c>
      <c r="D790" s="105" t="s">
        <v>465</v>
      </c>
      <c r="E790" s="119">
        <f>Table6[[#This Row],[Date]]-DAY(Table6[[#This Row],[Date]])+1</f>
        <v>45809</v>
      </c>
      <c r="F790" s="118">
        <v>45823</v>
      </c>
      <c r="G790" s="105" t="s">
        <v>93</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473</v>
      </c>
      <c r="N790" s="39" t="s">
        <v>474</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658</v>
      </c>
      <c r="V790" s="351" t="s">
        <v>476</v>
      </c>
      <c r="W790" s="338">
        <f>Table6[[#This Row],[Breakdown Time]]*(1/39)</f>
        <v>2.0940170940170942E-2</v>
      </c>
      <c r="X790" s="336" t="s">
        <v>477</v>
      </c>
      <c r="Y790" s="352" t="s">
        <v>92</v>
      </c>
      <c r="Z790" s="105">
        <v>7965</v>
      </c>
      <c r="AA790" s="107">
        <f>IFERROR((Table6[[#This Row],[Paired WTG Generation for loss calculation]]/24)*Table6[[#This Row],[Breakdown Time]],"")</f>
        <v>271.03125000000006</v>
      </c>
      <c r="AB790" s="105" t="s">
        <v>472</v>
      </c>
    </row>
    <row r="791" spans="1:28">
      <c r="A791" s="105">
        <f t="shared" si="12"/>
        <v>790</v>
      </c>
      <c r="B791" s="107">
        <f>YEAR(Table6[[#This Row],[Date]])+IF(MONTH(Table6[[#This Row],[Date]])&gt;=4,1,0)</f>
        <v>2026</v>
      </c>
      <c r="C791" s="105">
        <f>YEAR(Table6[[#This Row],[Date]])</f>
        <v>2025</v>
      </c>
      <c r="D791" s="105" t="s">
        <v>465</v>
      </c>
      <c r="E791" s="119">
        <f>Table6[[#This Row],[Date]]-DAY(Table6[[#This Row],[Date]])+1</f>
        <v>45809</v>
      </c>
      <c r="F791" s="118">
        <v>45824</v>
      </c>
      <c r="G791" s="105" t="s">
        <v>103</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466</v>
      </c>
      <c r="L791" s="39" t="str">
        <f>IFERROR(VLOOKUP(Table6[[#This Row],[Error Code]],'Basic Data'!$T:$U,2,0),"")</f>
        <v>Manual Stop - Safety Related</v>
      </c>
      <c r="M791" s="346" t="s">
        <v>467</v>
      </c>
      <c r="N791" s="39" t="s">
        <v>468</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469</v>
      </c>
      <c r="V791" s="351" t="s">
        <v>470</v>
      </c>
      <c r="W791" s="338">
        <f>Table6[[#This Row],[Breakdown Time]]*(1/39)</f>
        <v>0.61537749287749288</v>
      </c>
      <c r="X791" s="336" t="s">
        <v>486</v>
      </c>
      <c r="Y791" s="352" t="s">
        <v>102</v>
      </c>
      <c r="Z791" s="105">
        <v>20213</v>
      </c>
      <c r="AA791" s="107">
        <f>IFERROR((Table6[[#This Row],[Paired WTG Generation for loss calculation]]/24)*Table6[[#This Row],[Breakdown Time]],"")</f>
        <v>20212.766053240743</v>
      </c>
      <c r="AB791" s="105" t="s">
        <v>472</v>
      </c>
    </row>
    <row r="792" spans="1:28">
      <c r="A792" s="105">
        <f t="shared" si="12"/>
        <v>791</v>
      </c>
      <c r="B792" s="107">
        <f>YEAR(Table6[[#This Row],[Date]])+IF(MONTH(Table6[[#This Row],[Date]])&gt;=4,1,0)</f>
        <v>2026</v>
      </c>
      <c r="C792" s="105">
        <f>YEAR(Table6[[#This Row],[Date]])</f>
        <v>2025</v>
      </c>
      <c r="D792" s="105" t="s">
        <v>465</v>
      </c>
      <c r="E792" s="119">
        <f>Table6[[#This Row],[Date]]-DAY(Table6[[#This Row],[Date]])+1</f>
        <v>45809</v>
      </c>
      <c r="F792" s="118">
        <v>45824</v>
      </c>
      <c r="G792" s="105" t="s">
        <v>101</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466</v>
      </c>
      <c r="L792" s="39" t="str">
        <f>IFERROR(VLOOKUP(Table6[[#This Row],[Error Code]],'Basic Data'!$T:$U,2,0),"")</f>
        <v>Manual Stop - Safety Related</v>
      </c>
      <c r="M792" s="346" t="s">
        <v>467</v>
      </c>
      <c r="N792" s="39" t="s">
        <v>468</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469</v>
      </c>
      <c r="V792" s="351" t="s">
        <v>470</v>
      </c>
      <c r="W792" s="338">
        <f>Table6[[#This Row],[Breakdown Time]]*(1/39)</f>
        <v>0.61537749287749288</v>
      </c>
      <c r="X792" s="336" t="s">
        <v>486</v>
      </c>
      <c r="Y792" s="352" t="s">
        <v>102</v>
      </c>
      <c r="Z792" s="105">
        <v>20213</v>
      </c>
      <c r="AA792" s="107">
        <f>IFERROR((Table6[[#This Row],[Paired WTG Generation for loss calculation]]/24)*Table6[[#This Row],[Breakdown Time]],"")</f>
        <v>20212.766053240743</v>
      </c>
      <c r="AB792" s="105" t="s">
        <v>472</v>
      </c>
    </row>
    <row r="793" spans="1:28">
      <c r="A793" s="105">
        <f t="shared" si="12"/>
        <v>792</v>
      </c>
      <c r="B793" s="107">
        <f>YEAR(Table6[[#This Row],[Date]])+IF(MONTH(Table6[[#This Row],[Date]])&gt;=4,1,0)</f>
        <v>2026</v>
      </c>
      <c r="C793" s="105">
        <f>YEAR(Table6[[#This Row],[Date]])</f>
        <v>2025</v>
      </c>
      <c r="D793" s="105" t="s">
        <v>465</v>
      </c>
      <c r="E793" s="119">
        <f>Table6[[#This Row],[Date]]-DAY(Table6[[#This Row],[Date]])+1</f>
        <v>45809</v>
      </c>
      <c r="F793" s="118">
        <v>45824</v>
      </c>
      <c r="G793" s="105" t="s">
        <v>90</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473</v>
      </c>
      <c r="N793" s="39" t="s">
        <v>474</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650</v>
      </c>
      <c r="V793" s="351" t="s">
        <v>470</v>
      </c>
      <c r="W793" s="338">
        <f>Table6[[#This Row],[Breakdown Time]]*(1/39)</f>
        <v>0.61537749287749288</v>
      </c>
      <c r="X793" s="336" t="s">
        <v>477</v>
      </c>
      <c r="Y793" s="352" t="s">
        <v>89</v>
      </c>
      <c r="Z793" s="105">
        <v>21923</v>
      </c>
      <c r="AA793" s="107">
        <f>IFERROR((Table6[[#This Row],[Paired WTG Generation for loss calculation]]/24)*Table6[[#This Row],[Breakdown Time]],"")</f>
        <v>21922.746261574077</v>
      </c>
      <c r="AB793" s="105" t="s">
        <v>651</v>
      </c>
    </row>
    <row r="794" spans="1:28">
      <c r="A794" s="105">
        <f t="shared" si="12"/>
        <v>793</v>
      </c>
      <c r="B794" s="107">
        <f>YEAR(Table6[[#This Row],[Date]])+IF(MONTH(Table6[[#This Row],[Date]])&gt;=4,1,0)</f>
        <v>2026</v>
      </c>
      <c r="C794" s="105">
        <f>YEAR(Table6[[#This Row],[Date]])</f>
        <v>2025</v>
      </c>
      <c r="D794" s="105" t="s">
        <v>465</v>
      </c>
      <c r="E794" s="119">
        <f>Table6[[#This Row],[Date]]-DAY(Table6[[#This Row],[Date]])+1</f>
        <v>45809</v>
      </c>
      <c r="F794" s="118">
        <v>45824</v>
      </c>
      <c r="G794" s="105" t="s">
        <v>76</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473</v>
      </c>
      <c r="N794" s="39" t="s">
        <v>474</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659</v>
      </c>
      <c r="V794" s="351" t="s">
        <v>476</v>
      </c>
      <c r="W794" s="338">
        <f>Table6[[#This Row],[Breakdown Time]]*(1/39)</f>
        <v>1.7094017094017103E-2</v>
      </c>
      <c r="X794" s="336" t="s">
        <v>477</v>
      </c>
      <c r="Y794" s="352" t="s">
        <v>79</v>
      </c>
      <c r="Z794" s="105">
        <v>21400</v>
      </c>
      <c r="AA794" s="107">
        <f>IFERROR((Table6[[#This Row],[Paired WTG Generation for loss calculation]]/24)*Table6[[#This Row],[Breakdown Time]],"")</f>
        <v>594.44444444444468</v>
      </c>
      <c r="AB794" s="105" t="s">
        <v>472</v>
      </c>
    </row>
    <row r="795" spans="1:28">
      <c r="A795" s="105">
        <f t="shared" si="12"/>
        <v>794</v>
      </c>
      <c r="B795" s="107">
        <f>YEAR(Table6[[#This Row],[Date]])+IF(MONTH(Table6[[#This Row],[Date]])&gt;=4,1,0)</f>
        <v>2026</v>
      </c>
      <c r="C795" s="105">
        <f>YEAR(Table6[[#This Row],[Date]])</f>
        <v>2025</v>
      </c>
      <c r="D795" s="105" t="s">
        <v>465</v>
      </c>
      <c r="E795" s="119">
        <f>Table6[[#This Row],[Date]]-DAY(Table6[[#This Row],[Date]])+1</f>
        <v>45809</v>
      </c>
      <c r="F795" s="118">
        <v>45824</v>
      </c>
      <c r="G795" s="105" t="s">
        <v>100</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473</v>
      </c>
      <c r="N795" s="39" t="s">
        <v>474</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660</v>
      </c>
      <c r="V795" s="351" t="s">
        <v>476</v>
      </c>
      <c r="W795" s="338">
        <f>Table6[[#This Row],[Breakdown Time]]*(1/39)</f>
        <v>4.1452991452991438E-2</v>
      </c>
      <c r="X795" s="336" t="s">
        <v>477</v>
      </c>
      <c r="Y795" s="352" t="s">
        <v>102</v>
      </c>
      <c r="Z795" s="105">
        <v>20213</v>
      </c>
      <c r="AA795" s="107">
        <f>IFERROR((Table6[[#This Row],[Paired WTG Generation for loss calculation]]/24)*Table6[[#This Row],[Breakdown Time]],"")</f>
        <v>1361.5701388888886</v>
      </c>
      <c r="AB795" s="105" t="s">
        <v>472</v>
      </c>
    </row>
    <row r="796" spans="1:28">
      <c r="A796" s="105">
        <f t="shared" si="12"/>
        <v>795</v>
      </c>
      <c r="B796" s="107">
        <f>YEAR(Table6[[#This Row],[Date]])+IF(MONTH(Table6[[#This Row],[Date]])&gt;=4,1,0)</f>
        <v>2026</v>
      </c>
      <c r="C796" s="105">
        <f>YEAR(Table6[[#This Row],[Date]])</f>
        <v>2025</v>
      </c>
      <c r="D796" s="105" t="s">
        <v>465</v>
      </c>
      <c r="E796" s="119">
        <f>Table6[[#This Row],[Date]]-DAY(Table6[[#This Row],[Date]])+1</f>
        <v>45809</v>
      </c>
      <c r="F796" s="118">
        <v>45824</v>
      </c>
      <c r="G796" s="105" t="s">
        <v>77</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473</v>
      </c>
      <c r="N796" s="39" t="s">
        <v>474</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652</v>
      </c>
      <c r="V796" s="351" t="s">
        <v>476</v>
      </c>
      <c r="W796" s="338">
        <f>Table6[[#This Row],[Breakdown Time]]*(1/39)</f>
        <v>3.4188034188034171E-2</v>
      </c>
      <c r="X796" s="336" t="s">
        <v>477</v>
      </c>
      <c r="Y796" s="352" t="s">
        <v>79</v>
      </c>
      <c r="Z796" s="105">
        <v>21400</v>
      </c>
      <c r="AA796" s="107">
        <f>IFERROR((Table6[[#This Row],[Paired WTG Generation for loss calculation]]/24)*Table6[[#This Row],[Breakdown Time]],"")</f>
        <v>1188.8888888888882</v>
      </c>
      <c r="AB796" s="105" t="s">
        <v>472</v>
      </c>
    </row>
    <row r="797" spans="1:28">
      <c r="A797" s="105">
        <f t="shared" si="12"/>
        <v>796</v>
      </c>
      <c r="B797" s="107">
        <f>YEAR(Table6[[#This Row],[Date]])+IF(MONTH(Table6[[#This Row],[Date]])&gt;=4,1,0)</f>
        <v>2026</v>
      </c>
      <c r="C797" s="105">
        <f>YEAR(Table6[[#This Row],[Date]])</f>
        <v>2025</v>
      </c>
      <c r="D797" s="105" t="s">
        <v>465</v>
      </c>
      <c r="E797" s="119">
        <f>Table6[[#This Row],[Date]]-DAY(Table6[[#This Row],[Date]])+1</f>
        <v>45809</v>
      </c>
      <c r="F797" s="118">
        <v>45824</v>
      </c>
      <c r="G797" s="105" t="s">
        <v>94</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473</v>
      </c>
      <c r="N797" s="39" t="s">
        <v>474</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475</v>
      </c>
      <c r="V797" s="351" t="s">
        <v>476</v>
      </c>
      <c r="W797" s="338">
        <f>Table6[[#This Row],[Breakdown Time]]*(1/39)</f>
        <v>8.9743589743589772E-3</v>
      </c>
      <c r="X797" s="336" t="s">
        <v>477</v>
      </c>
      <c r="Y797" s="352" t="s">
        <v>95</v>
      </c>
      <c r="Z797" s="105">
        <v>22189</v>
      </c>
      <c r="AA797" s="107">
        <f>IFERROR((Table6[[#This Row],[Paired WTG Generation for loss calculation]]/24)*Table6[[#This Row],[Breakdown Time]],"")</f>
        <v>323.58958333333339</v>
      </c>
      <c r="AB797" s="105" t="s">
        <v>472</v>
      </c>
    </row>
    <row r="798" spans="1:28">
      <c r="A798" s="105">
        <f t="shared" si="12"/>
        <v>797</v>
      </c>
      <c r="B798" s="107">
        <f>YEAR(Table6[[#This Row],[Date]])+IF(MONTH(Table6[[#This Row],[Date]])&gt;=4,1,0)</f>
        <v>2026</v>
      </c>
      <c r="C798" s="105">
        <f>YEAR(Table6[[#This Row],[Date]])</f>
        <v>2025</v>
      </c>
      <c r="D798" s="105" t="s">
        <v>465</v>
      </c>
      <c r="E798" s="119">
        <f>Table6[[#This Row],[Date]]-DAY(Table6[[#This Row],[Date]])+1</f>
        <v>45809</v>
      </c>
      <c r="F798" s="118">
        <v>45824</v>
      </c>
      <c r="G798" s="105" t="s">
        <v>96</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473</v>
      </c>
      <c r="N798" s="39" t="s">
        <v>474</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475</v>
      </c>
      <c r="V798" s="351" t="s">
        <v>476</v>
      </c>
      <c r="W798" s="338">
        <f>Table6[[#This Row],[Breakdown Time]]*(1/39)</f>
        <v>1.1965811965811956E-2</v>
      </c>
      <c r="X798" s="336" t="s">
        <v>477</v>
      </c>
      <c r="Y798" s="352" t="s">
        <v>95</v>
      </c>
      <c r="Z798" s="105">
        <v>22189</v>
      </c>
      <c r="AA798" s="107">
        <f>IFERROR((Table6[[#This Row],[Paired WTG Generation for loss calculation]]/24)*Table6[[#This Row],[Breakdown Time]],"")</f>
        <v>431.45277777777744</v>
      </c>
      <c r="AB798" s="105" t="s">
        <v>472</v>
      </c>
    </row>
    <row r="799" spans="1:28">
      <c r="A799" s="105">
        <f t="shared" si="12"/>
        <v>798</v>
      </c>
      <c r="B799" s="107">
        <f>YEAR(Table6[[#This Row],[Date]])+IF(MONTH(Table6[[#This Row],[Date]])&gt;=4,1,0)</f>
        <v>2026</v>
      </c>
      <c r="C799" s="105">
        <f>YEAR(Table6[[#This Row],[Date]])</f>
        <v>2025</v>
      </c>
      <c r="D799" s="105" t="s">
        <v>465</v>
      </c>
      <c r="E799" s="119">
        <f>Table6[[#This Row],[Date]]-DAY(Table6[[#This Row],[Date]])+1</f>
        <v>45809</v>
      </c>
      <c r="F799" s="118">
        <v>45825</v>
      </c>
      <c r="G799" s="105" t="s">
        <v>103</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466</v>
      </c>
      <c r="L799" s="39" t="str">
        <f>IFERROR(VLOOKUP(Table6[[#This Row],[Error Code]],'Basic Data'!$T:$U,2,0),"")</f>
        <v>Manual Stop - Safety Related</v>
      </c>
      <c r="M799" s="346" t="s">
        <v>467</v>
      </c>
      <c r="N799" s="39" t="s">
        <v>468</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469</v>
      </c>
      <c r="V799" s="351" t="s">
        <v>470</v>
      </c>
      <c r="W799" s="338">
        <f>Table6[[#This Row],[Breakdown Time]]*(1/39)</f>
        <v>0.61537749287749288</v>
      </c>
      <c r="X799" s="336" t="s">
        <v>486</v>
      </c>
      <c r="Y799" s="352" t="s">
        <v>102</v>
      </c>
      <c r="Z799" s="105">
        <v>24110</v>
      </c>
      <c r="AA799" s="107">
        <f>IFERROR((Table6[[#This Row],[Paired WTG Generation for loss calculation]]/24)*Table6[[#This Row],[Breakdown Time]],"")</f>
        <v>24109.720949074079</v>
      </c>
      <c r="AB799" s="105" t="s">
        <v>472</v>
      </c>
    </row>
    <row r="800" spans="1:28">
      <c r="A800" s="105">
        <f t="shared" si="12"/>
        <v>799</v>
      </c>
      <c r="B800" s="107">
        <f>YEAR(Table6[[#This Row],[Date]])+IF(MONTH(Table6[[#This Row],[Date]])&gt;=4,1,0)</f>
        <v>2026</v>
      </c>
      <c r="C800" s="105">
        <f>YEAR(Table6[[#This Row],[Date]])</f>
        <v>2025</v>
      </c>
      <c r="D800" s="105" t="s">
        <v>465</v>
      </c>
      <c r="E800" s="119">
        <f>Table6[[#This Row],[Date]]-DAY(Table6[[#This Row],[Date]])+1</f>
        <v>45809</v>
      </c>
      <c r="F800" s="118">
        <v>45825</v>
      </c>
      <c r="G800" s="105" t="s">
        <v>101</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466</v>
      </c>
      <c r="L800" s="39" t="str">
        <f>IFERROR(VLOOKUP(Table6[[#This Row],[Error Code]],'Basic Data'!$T:$U,2,0),"")</f>
        <v>Manual Stop - Safety Related</v>
      </c>
      <c r="M800" s="346" t="s">
        <v>467</v>
      </c>
      <c r="N800" s="39" t="s">
        <v>468</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469</v>
      </c>
      <c r="V800" s="351" t="s">
        <v>470</v>
      </c>
      <c r="W800" s="338">
        <f>Table6[[#This Row],[Breakdown Time]]*(1/39)</f>
        <v>0.61537749287749288</v>
      </c>
      <c r="X800" s="336" t="s">
        <v>486</v>
      </c>
      <c r="Y800" s="352" t="s">
        <v>102</v>
      </c>
      <c r="Z800" s="105">
        <v>24110</v>
      </c>
      <c r="AA800" s="107">
        <f>IFERROR((Table6[[#This Row],[Paired WTG Generation for loss calculation]]/24)*Table6[[#This Row],[Breakdown Time]],"")</f>
        <v>24109.720949074079</v>
      </c>
      <c r="AB800" s="105" t="s">
        <v>472</v>
      </c>
    </row>
    <row r="801" spans="1:28">
      <c r="A801" s="105">
        <f t="shared" si="12"/>
        <v>800</v>
      </c>
      <c r="B801" s="107">
        <f>YEAR(Table6[[#This Row],[Date]])+IF(MONTH(Table6[[#This Row],[Date]])&gt;=4,1,0)</f>
        <v>2026</v>
      </c>
      <c r="C801" s="105">
        <f>YEAR(Table6[[#This Row],[Date]])</f>
        <v>2025</v>
      </c>
      <c r="D801" s="105" t="s">
        <v>465</v>
      </c>
      <c r="E801" s="119">
        <f>Table6[[#This Row],[Date]]-DAY(Table6[[#This Row],[Date]])+1</f>
        <v>45809</v>
      </c>
      <c r="F801" s="118">
        <v>45825</v>
      </c>
      <c r="G801" s="105" t="s">
        <v>90</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473</v>
      </c>
      <c r="N801" s="39" t="s">
        <v>474</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650</v>
      </c>
      <c r="V801" s="351" t="s">
        <v>470</v>
      </c>
      <c r="W801" s="338">
        <f>Table6[[#This Row],[Breakdown Time]]*(1/39)</f>
        <v>0.61537749287749288</v>
      </c>
      <c r="X801" s="336" t="s">
        <v>477</v>
      </c>
      <c r="Y801" s="352" t="s">
        <v>91</v>
      </c>
      <c r="Z801" s="105">
        <v>24122</v>
      </c>
      <c r="AA801" s="107">
        <f>IFERROR((Table6[[#This Row],[Paired WTG Generation for loss calculation]]/24)*Table6[[#This Row],[Breakdown Time]],"")</f>
        <v>24121.72081018519</v>
      </c>
      <c r="AB801" s="105" t="s">
        <v>651</v>
      </c>
    </row>
    <row r="802" spans="1:28">
      <c r="A802" s="105">
        <f t="shared" si="12"/>
        <v>801</v>
      </c>
      <c r="B802" s="107">
        <f>YEAR(Table6[[#This Row],[Date]])+IF(MONTH(Table6[[#This Row],[Date]])&gt;=4,1,0)</f>
        <v>2026</v>
      </c>
      <c r="C802" s="105">
        <f>YEAR(Table6[[#This Row],[Date]])</f>
        <v>2025</v>
      </c>
      <c r="D802" s="105" t="s">
        <v>465</v>
      </c>
      <c r="E802" s="119">
        <f>Table6[[#This Row],[Date]]-DAY(Table6[[#This Row],[Date]])+1</f>
        <v>45809</v>
      </c>
      <c r="F802" s="118">
        <v>45825</v>
      </c>
      <c r="G802" s="105" t="s">
        <v>88</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473</v>
      </c>
      <c r="N802" s="39" t="s">
        <v>474</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661</v>
      </c>
      <c r="V802" s="351" t="s">
        <v>476</v>
      </c>
      <c r="W802" s="338">
        <f>Table6[[#This Row],[Breakdown Time]]*(1/39)</f>
        <v>3.0341880341880369E-2</v>
      </c>
      <c r="X802" s="336" t="s">
        <v>477</v>
      </c>
      <c r="Y802" s="352" t="s">
        <v>87</v>
      </c>
      <c r="Z802" s="105">
        <v>25011</v>
      </c>
      <c r="AA802" s="107">
        <f>IFERROR((Table6[[#This Row],[Paired WTG Generation for loss calculation]]/24)*Table6[[#This Row],[Breakdown Time]],"")</f>
        <v>1233.1812500000012</v>
      </c>
      <c r="AB802" s="105" t="s">
        <v>472</v>
      </c>
    </row>
    <row r="803" spans="1:28">
      <c r="A803" s="105">
        <f t="shared" si="12"/>
        <v>802</v>
      </c>
      <c r="B803" s="107">
        <f>YEAR(Table6[[#This Row],[Date]])+IF(MONTH(Table6[[#This Row],[Date]])&gt;=4,1,0)</f>
        <v>2026</v>
      </c>
      <c r="C803" s="105">
        <f>YEAR(Table6[[#This Row],[Date]])</f>
        <v>2025</v>
      </c>
      <c r="D803" s="105" t="s">
        <v>465</v>
      </c>
      <c r="E803" s="119">
        <f>Table6[[#This Row],[Date]]-DAY(Table6[[#This Row],[Date]])+1</f>
        <v>45809</v>
      </c>
      <c r="F803" s="118">
        <v>45825</v>
      </c>
      <c r="G803" s="105" t="s">
        <v>100</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473</v>
      </c>
      <c r="N803" s="39" t="s">
        <v>474</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662</v>
      </c>
      <c r="V803" s="351" t="s">
        <v>470</v>
      </c>
      <c r="W803" s="338">
        <f>Table6[[#This Row],[Breakdown Time]]*(1/39)</f>
        <v>0.34145299145299146</v>
      </c>
      <c r="X803" s="336" t="s">
        <v>477</v>
      </c>
      <c r="Y803" s="352" t="s">
        <v>102</v>
      </c>
      <c r="Z803" s="105">
        <v>24110</v>
      </c>
      <c r="AA803" s="107">
        <f>IFERROR((Table6[[#This Row],[Paired WTG Generation for loss calculation]]/24)*Table6[[#This Row],[Breakdown Time]],"")</f>
        <v>13377.701388888889</v>
      </c>
      <c r="AB803" s="105" t="s">
        <v>472</v>
      </c>
    </row>
    <row r="804" spans="1:28">
      <c r="A804" s="105">
        <f t="shared" si="12"/>
        <v>803</v>
      </c>
      <c r="B804" s="107">
        <f>YEAR(Table6[[#This Row],[Date]])+IF(MONTH(Table6[[#This Row],[Date]])&gt;=4,1,0)</f>
        <v>2026</v>
      </c>
      <c r="C804" s="105">
        <f>YEAR(Table6[[#This Row],[Date]])</f>
        <v>2025</v>
      </c>
      <c r="D804" s="105" t="s">
        <v>465</v>
      </c>
      <c r="E804" s="119">
        <f>Table6[[#This Row],[Date]]-DAY(Table6[[#This Row],[Date]])+1</f>
        <v>45809</v>
      </c>
      <c r="F804" s="118">
        <v>45825</v>
      </c>
      <c r="G804" s="105" t="s">
        <v>105</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466</v>
      </c>
      <c r="L804" s="39" t="str">
        <f>IFERROR(VLOOKUP(Table6[[#This Row],[Error Code]],'Basic Data'!$T:$U,2,0),"")</f>
        <v>Manual Stop - Safety Related</v>
      </c>
      <c r="M804" s="346" t="s">
        <v>467</v>
      </c>
      <c r="N804" s="39" t="s">
        <v>189</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506</v>
      </c>
      <c r="V804" s="351" t="s">
        <v>476</v>
      </c>
      <c r="W804" s="338">
        <f>Table6[[#This Row],[Breakdown Time]]*(1/39)</f>
        <v>8.1196581196581172E-2</v>
      </c>
      <c r="X804" s="336" t="s">
        <v>471</v>
      </c>
      <c r="Y804" s="352" t="s">
        <v>106</v>
      </c>
      <c r="Z804" s="105">
        <v>24521</v>
      </c>
      <c r="AA804" s="107">
        <f>IFERROR((Table6[[#This Row],[Paired WTG Generation for loss calculation]]/24)*Table6[[#This Row],[Breakdown Time]],"")</f>
        <v>3235.4097222222217</v>
      </c>
      <c r="AB804" s="105" t="s">
        <v>472</v>
      </c>
    </row>
    <row r="805" spans="1:28">
      <c r="A805" s="105">
        <f t="shared" si="12"/>
        <v>804</v>
      </c>
      <c r="B805" s="107">
        <f>YEAR(Table6[[#This Row],[Date]])+IF(MONTH(Table6[[#This Row],[Date]])&gt;=4,1,0)</f>
        <v>2026</v>
      </c>
      <c r="C805" s="105">
        <f>YEAR(Table6[[#This Row],[Date]])</f>
        <v>2025</v>
      </c>
      <c r="D805" s="105" t="s">
        <v>465</v>
      </c>
      <c r="E805" s="119">
        <f>Table6[[#This Row],[Date]]-DAY(Table6[[#This Row],[Date]])+1</f>
        <v>45809</v>
      </c>
      <c r="F805" s="118">
        <v>45825</v>
      </c>
      <c r="G805" s="105" t="s">
        <v>88</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466</v>
      </c>
      <c r="L805" s="39" t="str">
        <f>IFERROR(VLOOKUP(Table6[[#This Row],[Error Code]],'Basic Data'!$T:$U,2,0),"")</f>
        <v>Manual Stop - Safety Related</v>
      </c>
      <c r="M805" s="346" t="s">
        <v>467</v>
      </c>
      <c r="N805" s="39" t="s">
        <v>189</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506</v>
      </c>
      <c r="V805" s="351" t="s">
        <v>476</v>
      </c>
      <c r="W805" s="338">
        <f>Table6[[#This Row],[Breakdown Time]]*(1/39)</f>
        <v>4.3162393162393141E-2</v>
      </c>
      <c r="X805" s="336" t="s">
        <v>471</v>
      </c>
      <c r="Y805" s="352" t="s">
        <v>87</v>
      </c>
      <c r="Z805" s="105">
        <v>25011</v>
      </c>
      <c r="AA805" s="107">
        <f>IFERROR((Table6[[#This Row],[Paired WTG Generation for loss calculation]]/24)*Table6[[#This Row],[Breakdown Time]],"")</f>
        <v>1754.2437499999994</v>
      </c>
      <c r="AB805" s="105" t="s">
        <v>472</v>
      </c>
    </row>
    <row r="806" spans="1:28">
      <c r="A806" s="105">
        <f t="shared" si="12"/>
        <v>805</v>
      </c>
      <c r="B806" s="107">
        <f>YEAR(Table6[[#This Row],[Date]])+IF(MONTH(Table6[[#This Row],[Date]])&gt;=4,1,0)</f>
        <v>2026</v>
      </c>
      <c r="C806" s="105">
        <f>YEAR(Table6[[#This Row],[Date]])</f>
        <v>2025</v>
      </c>
      <c r="D806" s="105" t="s">
        <v>465</v>
      </c>
      <c r="E806" s="119">
        <f>Table6[[#This Row],[Date]]-DAY(Table6[[#This Row],[Date]])+1</f>
        <v>45809</v>
      </c>
      <c r="F806" s="118">
        <v>45825</v>
      </c>
      <c r="G806" s="105" t="s">
        <v>76</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473</v>
      </c>
      <c r="N806" s="39" t="s">
        <v>474</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475</v>
      </c>
      <c r="V806" s="351" t="s">
        <v>476</v>
      </c>
      <c r="W806" s="338">
        <f>Table6[[#This Row],[Breakdown Time]]*(1/39)</f>
        <v>1.1965811965811991E-2</v>
      </c>
      <c r="X806" s="336" t="s">
        <v>477</v>
      </c>
      <c r="Y806" s="352" t="s">
        <v>77</v>
      </c>
      <c r="Z806" s="105">
        <v>24900</v>
      </c>
      <c r="AA806" s="107">
        <f>IFERROR((Table6[[#This Row],[Paired WTG Generation for loss calculation]]/24)*Table6[[#This Row],[Breakdown Time]],"")</f>
        <v>484.16666666666771</v>
      </c>
      <c r="AB806" s="105" t="s">
        <v>472</v>
      </c>
    </row>
    <row r="807" spans="1:28">
      <c r="A807" s="105">
        <f t="shared" si="12"/>
        <v>806</v>
      </c>
      <c r="B807" s="107">
        <f>YEAR(Table6[[#This Row],[Date]])+IF(MONTH(Table6[[#This Row],[Date]])&gt;=4,1,0)</f>
        <v>2026</v>
      </c>
      <c r="C807" s="105">
        <f>YEAR(Table6[[#This Row],[Date]])</f>
        <v>2025</v>
      </c>
      <c r="D807" s="105" t="s">
        <v>465</v>
      </c>
      <c r="E807" s="119">
        <f>Table6[[#This Row],[Date]]-DAY(Table6[[#This Row],[Date]])+1</f>
        <v>45809</v>
      </c>
      <c r="F807" s="118">
        <v>45825</v>
      </c>
      <c r="G807" s="105" t="s">
        <v>85</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473</v>
      </c>
      <c r="N807" s="39" t="s">
        <v>474</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475</v>
      </c>
      <c r="V807" s="351" t="s">
        <v>476</v>
      </c>
      <c r="W807" s="338">
        <f>Table6[[#This Row],[Breakdown Time]]*(1/39)</f>
        <v>5.9829059829059617E-3</v>
      </c>
      <c r="X807" s="336" t="s">
        <v>477</v>
      </c>
      <c r="Y807" s="352" t="s">
        <v>86</v>
      </c>
      <c r="Z807" s="105">
        <v>26543</v>
      </c>
      <c r="AA807" s="107">
        <f>IFERROR((Table6[[#This Row],[Paired WTG Generation for loss calculation]]/24)*Table6[[#This Row],[Breakdown Time]],"")</f>
        <v>258.0569444444435</v>
      </c>
      <c r="AB807" s="105" t="s">
        <v>472</v>
      </c>
    </row>
    <row r="808" spans="1:28">
      <c r="A808" s="105">
        <f t="shared" si="12"/>
        <v>807</v>
      </c>
      <c r="B808" s="107">
        <f>YEAR(Table6[[#This Row],[Date]])+IF(MONTH(Table6[[#This Row],[Date]])&gt;=4,1,0)</f>
        <v>2026</v>
      </c>
      <c r="C808" s="105">
        <f>YEAR(Table6[[#This Row],[Date]])</f>
        <v>2025</v>
      </c>
      <c r="D808" s="105" t="s">
        <v>465</v>
      </c>
      <c r="E808" s="119">
        <f>Table6[[#This Row],[Date]]-DAY(Table6[[#This Row],[Date]])+1</f>
        <v>45809</v>
      </c>
      <c r="F808" s="118">
        <v>45826</v>
      </c>
      <c r="G808" s="105" t="s">
        <v>103</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466</v>
      </c>
      <c r="L808" s="39" t="str">
        <f>IFERROR(VLOOKUP(Table6[[#This Row],[Error Code]],'Basic Data'!$T:$U,2,0),"")</f>
        <v>Manual Stop - Safety Related</v>
      </c>
      <c r="M808" s="346" t="s">
        <v>467</v>
      </c>
      <c r="N808" s="39" t="s">
        <v>468</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469</v>
      </c>
      <c r="V808" s="351" t="s">
        <v>470</v>
      </c>
      <c r="W808" s="338">
        <f>Table6[[#This Row],[Breakdown Time]]*(1/39)</f>
        <v>0.61537749287749288</v>
      </c>
      <c r="X808" s="336" t="s">
        <v>486</v>
      </c>
      <c r="Y808" s="352" t="s">
        <v>102</v>
      </c>
      <c r="Z808" s="105">
        <v>27943</v>
      </c>
      <c r="AA808" s="107">
        <f>IFERROR((Table6[[#This Row],[Paired WTG Generation for loss calculation]]/24)*Table6[[#This Row],[Breakdown Time]],"")</f>
        <v>27942.676585648154</v>
      </c>
      <c r="AB808" s="105" t="s">
        <v>472</v>
      </c>
    </row>
    <row r="809" spans="1:28">
      <c r="A809" s="105">
        <f t="shared" si="12"/>
        <v>808</v>
      </c>
      <c r="B809" s="107">
        <f>YEAR(Table6[[#This Row],[Date]])+IF(MONTH(Table6[[#This Row],[Date]])&gt;=4,1,0)</f>
        <v>2026</v>
      </c>
      <c r="C809" s="105">
        <f>YEAR(Table6[[#This Row],[Date]])</f>
        <v>2025</v>
      </c>
      <c r="D809" s="105" t="s">
        <v>465</v>
      </c>
      <c r="E809" s="119">
        <f>Table6[[#This Row],[Date]]-DAY(Table6[[#This Row],[Date]])+1</f>
        <v>45809</v>
      </c>
      <c r="F809" s="118">
        <v>45826</v>
      </c>
      <c r="G809" s="105" t="s">
        <v>101</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466</v>
      </c>
      <c r="L809" s="39" t="str">
        <f>IFERROR(VLOOKUP(Table6[[#This Row],[Error Code]],'Basic Data'!$T:$U,2,0),"")</f>
        <v>Manual Stop - Safety Related</v>
      </c>
      <c r="M809" s="346" t="s">
        <v>467</v>
      </c>
      <c r="N809" s="39" t="s">
        <v>468</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469</v>
      </c>
      <c r="V809" s="351" t="s">
        <v>470</v>
      </c>
      <c r="W809" s="338">
        <f>Table6[[#This Row],[Breakdown Time]]*(1/39)</f>
        <v>0.61537749287749288</v>
      </c>
      <c r="X809" s="336" t="s">
        <v>486</v>
      </c>
      <c r="Y809" s="352" t="s">
        <v>102</v>
      </c>
      <c r="Z809" s="105">
        <v>27943</v>
      </c>
      <c r="AA809" s="107">
        <f>IFERROR((Table6[[#This Row],[Paired WTG Generation for loss calculation]]/24)*Table6[[#This Row],[Breakdown Time]],"")</f>
        <v>27942.676585648154</v>
      </c>
      <c r="AB809" s="105" t="s">
        <v>472</v>
      </c>
    </row>
    <row r="810" spans="1:28">
      <c r="A810" s="105">
        <f t="shared" si="12"/>
        <v>809</v>
      </c>
      <c r="B810" s="107">
        <f>YEAR(Table6[[#This Row],[Date]])+IF(MONTH(Table6[[#This Row],[Date]])&gt;=4,1,0)</f>
        <v>2026</v>
      </c>
      <c r="C810" s="105">
        <f>YEAR(Table6[[#This Row],[Date]])</f>
        <v>2025</v>
      </c>
      <c r="D810" s="105" t="s">
        <v>465</v>
      </c>
      <c r="E810" s="119">
        <f>Table6[[#This Row],[Date]]-DAY(Table6[[#This Row],[Date]])+1</f>
        <v>45809</v>
      </c>
      <c r="F810" s="118">
        <v>45826</v>
      </c>
      <c r="G810" s="105" t="s">
        <v>90</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473</v>
      </c>
      <c r="N810" s="39" t="s">
        <v>474</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650</v>
      </c>
      <c r="V810" s="351" t="s">
        <v>470</v>
      </c>
      <c r="W810" s="338">
        <f>Table6[[#This Row],[Breakdown Time]]*(1/39)</f>
        <v>0.61537749287749288</v>
      </c>
      <c r="X810" s="336" t="s">
        <v>477</v>
      </c>
      <c r="Y810" s="352" t="s">
        <v>91</v>
      </c>
      <c r="Z810" s="105">
        <v>28901</v>
      </c>
      <c r="AA810" s="107">
        <f>IFERROR((Table6[[#This Row],[Paired WTG Generation for loss calculation]]/24)*Table6[[#This Row],[Breakdown Time]],"")</f>
        <v>28900.665497685186</v>
      </c>
      <c r="AB810" s="105" t="s">
        <v>651</v>
      </c>
    </row>
    <row r="811" spans="1:28">
      <c r="A811" s="105">
        <f t="shared" si="12"/>
        <v>810</v>
      </c>
      <c r="B811" s="107">
        <f>YEAR(Table6[[#This Row],[Date]])+IF(MONTH(Table6[[#This Row],[Date]])&gt;=4,1,0)</f>
        <v>2026</v>
      </c>
      <c r="C811" s="105">
        <f>YEAR(Table6[[#This Row],[Date]])</f>
        <v>2025</v>
      </c>
      <c r="D811" s="105" t="s">
        <v>465</v>
      </c>
      <c r="E811" s="119">
        <f>Table6[[#This Row],[Date]]-DAY(Table6[[#This Row],[Date]])+1</f>
        <v>45809</v>
      </c>
      <c r="F811" s="118">
        <v>45826</v>
      </c>
      <c r="G811" s="105" t="s">
        <v>111</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473</v>
      </c>
      <c r="N811" s="39" t="s">
        <v>474</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663</v>
      </c>
      <c r="V811" s="351" t="s">
        <v>476</v>
      </c>
      <c r="W811" s="338">
        <f>Table6[[#This Row],[Breakdown Time]]*(1/39)</f>
        <v>6.6666666666666707E-2</v>
      </c>
      <c r="X811" s="336" t="s">
        <v>477</v>
      </c>
      <c r="Y811" s="352" t="s">
        <v>112</v>
      </c>
      <c r="Z811" s="105">
        <v>28381</v>
      </c>
      <c r="AA811" s="107">
        <f>IFERROR((Table6[[#This Row],[Paired WTG Generation for loss calculation]]/24)*Table6[[#This Row],[Breakdown Time]],"")</f>
        <v>3074.6083333333354</v>
      </c>
      <c r="AB811" s="105" t="s">
        <v>472</v>
      </c>
    </row>
    <row r="812" spans="1:28">
      <c r="A812" s="105">
        <f t="shared" si="12"/>
        <v>811</v>
      </c>
      <c r="B812" s="107">
        <f>YEAR(Table6[[#This Row],[Date]])+IF(MONTH(Table6[[#This Row],[Date]])&gt;=4,1,0)</f>
        <v>2026</v>
      </c>
      <c r="C812" s="105">
        <f>YEAR(Table6[[#This Row],[Date]])</f>
        <v>2025</v>
      </c>
      <c r="D812" s="105" t="s">
        <v>465</v>
      </c>
      <c r="E812" s="119">
        <f>Table6[[#This Row],[Date]]-DAY(Table6[[#This Row],[Date]])+1</f>
        <v>45809</v>
      </c>
      <c r="F812" s="118">
        <v>45826</v>
      </c>
      <c r="G812" s="105" t="s">
        <v>80</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473</v>
      </c>
      <c r="N812" s="39" t="s">
        <v>474</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664</v>
      </c>
      <c r="V812" s="351" t="s">
        <v>476</v>
      </c>
      <c r="W812" s="338">
        <f>Table6[[#This Row],[Breakdown Time]]*(1/39)</f>
        <v>6.3675213675213657E-2</v>
      </c>
      <c r="X812" s="336" t="s">
        <v>477</v>
      </c>
      <c r="Y812" s="352" t="s">
        <v>74</v>
      </c>
      <c r="Z812" s="105">
        <v>28803</v>
      </c>
      <c r="AA812" s="107">
        <f>IFERROR((Table6[[#This Row],[Paired WTG Generation for loss calculation]]/24)*Table6[[#This Row],[Breakdown Time]],"")</f>
        <v>2980.3104166666658</v>
      </c>
      <c r="AB812" s="105" t="s">
        <v>472</v>
      </c>
    </row>
    <row r="813" spans="1:28">
      <c r="A813" s="105">
        <f t="shared" si="12"/>
        <v>812</v>
      </c>
      <c r="B813" s="107">
        <f>YEAR(Table6[[#This Row],[Date]])+IF(MONTH(Table6[[#This Row],[Date]])&gt;=4,1,0)</f>
        <v>2026</v>
      </c>
      <c r="C813" s="105">
        <f>YEAR(Table6[[#This Row],[Date]])</f>
        <v>2025</v>
      </c>
      <c r="D813" s="105" t="s">
        <v>465</v>
      </c>
      <c r="E813" s="119">
        <f>Table6[[#This Row],[Date]]-DAY(Table6[[#This Row],[Date]])+1</f>
        <v>45809</v>
      </c>
      <c r="F813" s="118">
        <v>45826</v>
      </c>
      <c r="G813" s="105" t="s">
        <v>100</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473</v>
      </c>
      <c r="N813" s="39" t="s">
        <v>474</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665</v>
      </c>
      <c r="V813" s="351" t="s">
        <v>476</v>
      </c>
      <c r="W813" s="338">
        <f>Table6[[#This Row],[Breakdown Time]]*(1/39)</f>
        <v>2.9487179487179518E-2</v>
      </c>
      <c r="X813" s="336" t="s">
        <v>477</v>
      </c>
      <c r="Y813" s="352" t="s">
        <v>102</v>
      </c>
      <c r="Z813" s="105">
        <v>27943</v>
      </c>
      <c r="AA813" s="107">
        <f>IFERROR((Table6[[#This Row],[Paired WTG Generation for loss calculation]]/24)*Table6[[#This Row],[Breakdown Time]],"")</f>
        <v>1338.9354166666683</v>
      </c>
      <c r="AB813" s="105" t="s">
        <v>472</v>
      </c>
    </row>
    <row r="814" spans="1:28">
      <c r="A814" s="105">
        <f t="shared" si="12"/>
        <v>813</v>
      </c>
      <c r="B814" s="107">
        <f>YEAR(Table6[[#This Row],[Date]])+IF(MONTH(Table6[[#This Row],[Date]])&gt;=4,1,0)</f>
        <v>2026</v>
      </c>
      <c r="C814" s="105">
        <f>YEAR(Table6[[#This Row],[Date]])</f>
        <v>2025</v>
      </c>
      <c r="D814" s="105" t="s">
        <v>465</v>
      </c>
      <c r="E814" s="119">
        <f>Table6[[#This Row],[Date]]-DAY(Table6[[#This Row],[Date]])+1</f>
        <v>45809</v>
      </c>
      <c r="F814" s="118">
        <v>45826</v>
      </c>
      <c r="G814" s="105" t="s">
        <v>107</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473</v>
      </c>
      <c r="N814" s="39" t="s">
        <v>474</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475</v>
      </c>
      <c r="V814" s="351" t="s">
        <v>476</v>
      </c>
      <c r="W814" s="338">
        <f>Table6[[#This Row],[Breakdown Time]]*(1/39)</f>
        <v>4.2735042735042583E-3</v>
      </c>
      <c r="X814" s="336" t="s">
        <v>477</v>
      </c>
      <c r="Y814" s="352" t="s">
        <v>108</v>
      </c>
      <c r="Z814" s="105">
        <v>28732</v>
      </c>
      <c r="AA814" s="107">
        <f>IFERROR((Table6[[#This Row],[Paired WTG Generation for loss calculation]]/24)*Table6[[#This Row],[Breakdown Time]],"")</f>
        <v>199.52777777777709</v>
      </c>
      <c r="AB814" s="105" t="s">
        <v>472</v>
      </c>
    </row>
    <row r="815" spans="1:28">
      <c r="A815" s="105">
        <f t="shared" si="12"/>
        <v>814</v>
      </c>
      <c r="B815" s="107">
        <f>YEAR(Table6[[#This Row],[Date]])+IF(MONTH(Table6[[#This Row],[Date]])&gt;=4,1,0)</f>
        <v>2026</v>
      </c>
      <c r="C815" s="105">
        <f>YEAR(Table6[[#This Row],[Date]])</f>
        <v>2025</v>
      </c>
      <c r="D815" s="105" t="s">
        <v>465</v>
      </c>
      <c r="E815" s="119">
        <f>Table6[[#This Row],[Date]]-DAY(Table6[[#This Row],[Date]])+1</f>
        <v>45809</v>
      </c>
      <c r="F815" s="118">
        <v>45826</v>
      </c>
      <c r="G815" s="105" t="s">
        <v>109</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473</v>
      </c>
      <c r="N815" s="39" t="s">
        <v>474</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475</v>
      </c>
      <c r="V815" s="351" t="s">
        <v>476</v>
      </c>
      <c r="W815" s="338">
        <f>Table6[[#This Row],[Breakdown Time]]*(1/39)</f>
        <v>8.9743589743590101E-3</v>
      </c>
      <c r="X815" s="336" t="s">
        <v>477</v>
      </c>
      <c r="Y815" s="352" t="s">
        <v>108</v>
      </c>
      <c r="Z815" s="105">
        <v>28732</v>
      </c>
      <c r="AA815" s="107">
        <f>IFERROR((Table6[[#This Row],[Paired WTG Generation for loss calculation]]/24)*Table6[[#This Row],[Breakdown Time]],"")</f>
        <v>419.00833333333509</v>
      </c>
      <c r="AB815" s="105" t="s">
        <v>472</v>
      </c>
    </row>
    <row r="816" spans="1:28">
      <c r="A816" s="105">
        <f t="shared" si="12"/>
        <v>815</v>
      </c>
      <c r="B816" s="107">
        <f>YEAR(Table6[[#This Row],[Date]])+IF(MONTH(Table6[[#This Row],[Date]])&gt;=4,1,0)</f>
        <v>2026</v>
      </c>
      <c r="C816" s="105">
        <f>YEAR(Table6[[#This Row],[Date]])</f>
        <v>2025</v>
      </c>
      <c r="D816" s="105" t="s">
        <v>465</v>
      </c>
      <c r="E816" s="119">
        <f>Table6[[#This Row],[Date]]-DAY(Table6[[#This Row],[Date]])+1</f>
        <v>45809</v>
      </c>
      <c r="F816" s="118">
        <v>45826</v>
      </c>
      <c r="G816" s="105" t="s">
        <v>110</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473</v>
      </c>
      <c r="N816" s="39" t="s">
        <v>474</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475</v>
      </c>
      <c r="V816" s="351" t="s">
        <v>476</v>
      </c>
      <c r="W816" s="338">
        <f>Table6[[#This Row],[Breakdown Time]]*(1/39)</f>
        <v>1.2393162393162417E-2</v>
      </c>
      <c r="X816" s="336" t="s">
        <v>477</v>
      </c>
      <c r="Y816" s="352" t="s">
        <v>112</v>
      </c>
      <c r="Z816" s="105">
        <v>28381</v>
      </c>
      <c r="AA816" s="107">
        <f>IFERROR((Table6[[#This Row],[Paired WTG Generation for loss calculation]]/24)*Table6[[#This Row],[Breakdown Time]],"")</f>
        <v>571.5618055555567</v>
      </c>
      <c r="AB816" s="105" t="s">
        <v>472</v>
      </c>
    </row>
    <row r="817" spans="1:28">
      <c r="A817" s="105">
        <f t="shared" si="12"/>
        <v>816</v>
      </c>
      <c r="B817" s="107">
        <f>YEAR(Table6[[#This Row],[Date]])+IF(MONTH(Table6[[#This Row],[Date]])&gt;=4,1,0)</f>
        <v>2026</v>
      </c>
      <c r="C817" s="105">
        <f>YEAR(Table6[[#This Row],[Date]])</f>
        <v>2025</v>
      </c>
      <c r="D817" s="105" t="s">
        <v>465</v>
      </c>
      <c r="E817" s="119">
        <f>Table6[[#This Row],[Date]]-DAY(Table6[[#This Row],[Date]])+1</f>
        <v>45809</v>
      </c>
      <c r="F817" s="118">
        <v>45826</v>
      </c>
      <c r="G817" s="105" t="s">
        <v>98</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473</v>
      </c>
      <c r="N817" s="39" t="s">
        <v>474</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475</v>
      </c>
      <c r="V817" s="351" t="s">
        <v>476</v>
      </c>
      <c r="W817" s="338">
        <f>Table6[[#This Row],[Breakdown Time]]*(1/39)</f>
        <v>1.5811965811965825E-2</v>
      </c>
      <c r="X817" s="336" t="s">
        <v>477</v>
      </c>
      <c r="Y817" s="352" t="s">
        <v>112</v>
      </c>
      <c r="Z817" s="105">
        <v>28381</v>
      </c>
      <c r="AA817" s="107">
        <f>IFERROR((Table6[[#This Row],[Paired WTG Generation for loss calculation]]/24)*Table6[[#This Row],[Breakdown Time]],"")</f>
        <v>729.23402777777835</v>
      </c>
      <c r="AB817" s="105" t="s">
        <v>472</v>
      </c>
    </row>
    <row r="818" spans="1:28">
      <c r="A818" s="105">
        <f t="shared" si="12"/>
        <v>817</v>
      </c>
      <c r="B818" s="107">
        <f>YEAR(Table6[[#This Row],[Date]])+IF(MONTH(Table6[[#This Row],[Date]])&gt;=4,1,0)</f>
        <v>2026</v>
      </c>
      <c r="C818" s="105">
        <f>YEAR(Table6[[#This Row],[Date]])</f>
        <v>2025</v>
      </c>
      <c r="D818" s="105" t="s">
        <v>465</v>
      </c>
      <c r="E818" s="119">
        <f>Table6[[#This Row],[Date]]-DAY(Table6[[#This Row],[Date]])+1</f>
        <v>45809</v>
      </c>
      <c r="F818" s="118">
        <v>45826</v>
      </c>
      <c r="G818" s="105" t="s">
        <v>100</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473</v>
      </c>
      <c r="N818" s="39" t="s">
        <v>474</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666</v>
      </c>
      <c r="V818" s="351" t="s">
        <v>476</v>
      </c>
      <c r="W818" s="338">
        <f>Table6[[#This Row],[Breakdown Time]]*(1/39)</f>
        <v>4.2735042735042736E-2</v>
      </c>
      <c r="X818" s="336" t="s">
        <v>477</v>
      </c>
      <c r="Y818" s="352" t="s">
        <v>102</v>
      </c>
      <c r="Z818" s="105">
        <v>27943</v>
      </c>
      <c r="AA818" s="107">
        <f>IFERROR((Table6[[#This Row],[Paired WTG Generation for loss calculation]]/24)*Table6[[#This Row],[Breakdown Time]],"")</f>
        <v>1940.4861111111113</v>
      </c>
      <c r="AB818" s="105" t="s">
        <v>472</v>
      </c>
    </row>
    <row r="819" spans="1:28">
      <c r="A819" s="105">
        <f t="shared" si="12"/>
        <v>818</v>
      </c>
      <c r="B819" s="107">
        <f>YEAR(Table6[[#This Row],[Date]])+IF(MONTH(Table6[[#This Row],[Date]])&gt;=4,1,0)</f>
        <v>2026</v>
      </c>
      <c r="C819" s="105">
        <f>YEAR(Table6[[#This Row],[Date]])</f>
        <v>2025</v>
      </c>
      <c r="D819" s="105" t="s">
        <v>465</v>
      </c>
      <c r="E819" s="119">
        <f>Table6[[#This Row],[Date]]-DAY(Table6[[#This Row],[Date]])+1</f>
        <v>45809</v>
      </c>
      <c r="F819" s="118">
        <v>45827</v>
      </c>
      <c r="G819" s="105" t="s">
        <v>103</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466</v>
      </c>
      <c r="L819" s="39" t="str">
        <f>IFERROR(VLOOKUP(Table6[[#This Row],[Error Code]],'Basic Data'!$T:$U,2,0),"")</f>
        <v>Manual Stop - Safety Related</v>
      </c>
      <c r="M819" s="346" t="s">
        <v>467</v>
      </c>
      <c r="N819" s="39" t="s">
        <v>468</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469</v>
      </c>
      <c r="V819" s="351" t="s">
        <v>470</v>
      </c>
      <c r="W819" s="338">
        <f>Table6[[#This Row],[Breakdown Time]]*(1/39)</f>
        <v>0.61537749287749288</v>
      </c>
      <c r="X819" s="336" t="s">
        <v>486</v>
      </c>
      <c r="Y819" s="352" t="s">
        <v>102</v>
      </c>
      <c r="Z819" s="105">
        <v>24823</v>
      </c>
      <c r="AA819" s="107">
        <f>IFERROR((Table6[[#This Row],[Paired WTG Generation for loss calculation]]/24)*Table6[[#This Row],[Breakdown Time]],"")</f>
        <v>24822.712696759263</v>
      </c>
      <c r="AB819" s="105" t="s">
        <v>472</v>
      </c>
    </row>
    <row r="820" spans="1:28">
      <c r="A820" s="105">
        <f t="shared" si="12"/>
        <v>819</v>
      </c>
      <c r="B820" s="107">
        <f>YEAR(Table6[[#This Row],[Date]])+IF(MONTH(Table6[[#This Row],[Date]])&gt;=4,1,0)</f>
        <v>2026</v>
      </c>
      <c r="C820" s="105">
        <f>YEAR(Table6[[#This Row],[Date]])</f>
        <v>2025</v>
      </c>
      <c r="D820" s="105" t="s">
        <v>465</v>
      </c>
      <c r="E820" s="119">
        <f>Table6[[#This Row],[Date]]-DAY(Table6[[#This Row],[Date]])+1</f>
        <v>45809</v>
      </c>
      <c r="F820" s="118">
        <v>45827</v>
      </c>
      <c r="G820" s="105" t="s">
        <v>101</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466</v>
      </c>
      <c r="L820" s="39" t="str">
        <f>IFERROR(VLOOKUP(Table6[[#This Row],[Error Code]],'Basic Data'!$T:$U,2,0),"")</f>
        <v>Manual Stop - Safety Related</v>
      </c>
      <c r="M820" s="346" t="s">
        <v>467</v>
      </c>
      <c r="N820" s="39" t="s">
        <v>468</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469</v>
      </c>
      <c r="V820" s="351" t="s">
        <v>470</v>
      </c>
      <c r="W820" s="338">
        <f>Table6[[#This Row],[Breakdown Time]]*(1/39)</f>
        <v>0.61537749287749288</v>
      </c>
      <c r="X820" s="336" t="s">
        <v>486</v>
      </c>
      <c r="Y820" s="352" t="s">
        <v>102</v>
      </c>
      <c r="Z820" s="105">
        <v>24823</v>
      </c>
      <c r="AA820" s="107">
        <f>IFERROR((Table6[[#This Row],[Paired WTG Generation for loss calculation]]/24)*Table6[[#This Row],[Breakdown Time]],"")</f>
        <v>24822.712696759263</v>
      </c>
      <c r="AB820" s="105" t="s">
        <v>472</v>
      </c>
    </row>
    <row r="821" spans="1:28">
      <c r="A821" s="105">
        <f t="shared" si="12"/>
        <v>820</v>
      </c>
      <c r="B821" s="107">
        <f>YEAR(Table6[[#This Row],[Date]])+IF(MONTH(Table6[[#This Row],[Date]])&gt;=4,1,0)</f>
        <v>2026</v>
      </c>
      <c r="C821" s="105">
        <f>YEAR(Table6[[#This Row],[Date]])</f>
        <v>2025</v>
      </c>
      <c r="D821" s="105" t="s">
        <v>465</v>
      </c>
      <c r="E821" s="119">
        <f>Table6[[#This Row],[Date]]-DAY(Table6[[#This Row],[Date]])+1</f>
        <v>45809</v>
      </c>
      <c r="F821" s="118">
        <v>45827</v>
      </c>
      <c r="G821" s="105" t="s">
        <v>90</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473</v>
      </c>
      <c r="N821" s="39" t="s">
        <v>474</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650</v>
      </c>
      <c r="V821" s="351" t="s">
        <v>470</v>
      </c>
      <c r="W821" s="338">
        <f>Table6[[#This Row],[Breakdown Time]]*(1/39)</f>
        <v>0.61537749287749288</v>
      </c>
      <c r="X821" s="336" t="s">
        <v>477</v>
      </c>
      <c r="Y821" s="352" t="s">
        <v>92</v>
      </c>
      <c r="Z821" s="105">
        <v>25458</v>
      </c>
      <c r="AA821" s="107">
        <f>IFERROR((Table6[[#This Row],[Paired WTG Generation for loss calculation]]/24)*Table6[[#This Row],[Breakdown Time]],"")</f>
        <v>25457.705347222225</v>
      </c>
      <c r="AB821" s="105" t="s">
        <v>472</v>
      </c>
    </row>
    <row r="822" spans="1:28">
      <c r="A822" s="105">
        <f t="shared" si="12"/>
        <v>821</v>
      </c>
      <c r="B822" s="107">
        <f>YEAR(Table6[[#This Row],[Date]])+IF(MONTH(Table6[[#This Row],[Date]])&gt;=4,1,0)</f>
        <v>2026</v>
      </c>
      <c r="C822" s="105">
        <f>YEAR(Table6[[#This Row],[Date]])</f>
        <v>2025</v>
      </c>
      <c r="D822" s="105" t="s">
        <v>465</v>
      </c>
      <c r="E822" s="119">
        <f>Table6[[#This Row],[Date]]-DAY(Table6[[#This Row],[Date]])+1</f>
        <v>45809</v>
      </c>
      <c r="F822" s="118">
        <v>45827</v>
      </c>
      <c r="G822" s="105" t="s">
        <v>100</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526</v>
      </c>
      <c r="L822" s="39" t="str">
        <f>IFERROR(VLOOKUP(Table6[[#This Row],[Error Code]],'Basic Data'!$T:$U,2,0),"")</f>
        <v>Manual Stop</v>
      </c>
      <c r="M822" s="346" t="s">
        <v>499</v>
      </c>
      <c r="N822" s="39" t="s">
        <v>189</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667</v>
      </c>
      <c r="V822" s="351" t="s">
        <v>476</v>
      </c>
      <c r="W822" s="338">
        <f>Table6[[#This Row],[Breakdown Time]]*(1/39)</f>
        <v>6.5384615384615374E-2</v>
      </c>
      <c r="X822" s="336" t="s">
        <v>501</v>
      </c>
      <c r="Y822" s="352" t="s">
        <v>102</v>
      </c>
      <c r="Z822" s="105">
        <v>24823</v>
      </c>
      <c r="AA822" s="107">
        <f>IFERROR((Table6[[#This Row],[Paired WTG Generation for loss calculation]]/24)*Table6[[#This Row],[Breakdown Time]],"")</f>
        <v>2637.4437499999999</v>
      </c>
      <c r="AB822" s="105" t="s">
        <v>472</v>
      </c>
    </row>
    <row r="823" spans="1:28">
      <c r="A823" s="105">
        <f t="shared" si="12"/>
        <v>822</v>
      </c>
      <c r="B823" s="107">
        <f>YEAR(Table6[[#This Row],[Date]])+IF(MONTH(Table6[[#This Row],[Date]])&gt;=4,1,0)</f>
        <v>2026</v>
      </c>
      <c r="C823" s="105">
        <f>YEAR(Table6[[#This Row],[Date]])</f>
        <v>2025</v>
      </c>
      <c r="D823" s="105" t="s">
        <v>465</v>
      </c>
      <c r="E823" s="119">
        <f>Table6[[#This Row],[Date]]-DAY(Table6[[#This Row],[Date]])+1</f>
        <v>45809</v>
      </c>
      <c r="F823" s="118">
        <v>45827</v>
      </c>
      <c r="G823" s="105" t="s">
        <v>104</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526</v>
      </c>
      <c r="L823" s="39" t="str">
        <f>IFERROR(VLOOKUP(Table6[[#This Row],[Error Code]],'Basic Data'!$T:$U,2,0),"")</f>
        <v>Manual Stop</v>
      </c>
      <c r="M823" s="346" t="s">
        <v>499</v>
      </c>
      <c r="N823" s="39" t="s">
        <v>189</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668</v>
      </c>
      <c r="V823" s="351" t="s">
        <v>476</v>
      </c>
      <c r="W823" s="338">
        <f>Table6[[#This Row],[Breakdown Time]]*(1/39)</f>
        <v>1.9230769230769232E-2</v>
      </c>
      <c r="X823" s="336" t="s">
        <v>501</v>
      </c>
      <c r="Y823" s="352" t="s">
        <v>98</v>
      </c>
      <c r="Z823" s="105">
        <v>24273</v>
      </c>
      <c r="AA823" s="107">
        <f>IFERROR((Table6[[#This Row],[Paired WTG Generation for loss calculation]]/24)*Table6[[#This Row],[Breakdown Time]],"")</f>
        <v>758.53125</v>
      </c>
      <c r="AB823" s="105" t="s">
        <v>472</v>
      </c>
    </row>
    <row r="824" spans="1:28">
      <c r="A824" s="105">
        <f t="shared" si="12"/>
        <v>823</v>
      </c>
      <c r="B824" s="107">
        <f>YEAR(Table6[[#This Row],[Date]])+IF(MONTH(Table6[[#This Row],[Date]])&gt;=4,1,0)</f>
        <v>2026</v>
      </c>
      <c r="C824" s="105">
        <f>YEAR(Table6[[#This Row],[Date]])</f>
        <v>2025</v>
      </c>
      <c r="D824" s="105" t="s">
        <v>465</v>
      </c>
      <c r="E824" s="119">
        <f>Table6[[#This Row],[Date]]-DAY(Table6[[#This Row],[Date]])+1</f>
        <v>45809</v>
      </c>
      <c r="F824" s="118">
        <v>45827</v>
      </c>
      <c r="G824" s="105" t="s">
        <v>77</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473</v>
      </c>
      <c r="N824" s="39" t="s">
        <v>474</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652</v>
      </c>
      <c r="V824" s="351" t="s">
        <v>476</v>
      </c>
      <c r="W824" s="338">
        <f>Table6[[#This Row],[Breakdown Time]]*(1/39)</f>
        <v>4.1880341880341863E-2</v>
      </c>
      <c r="X824" s="336" t="s">
        <v>477</v>
      </c>
      <c r="Y824" s="352" t="s">
        <v>75</v>
      </c>
      <c r="Z824" s="105">
        <v>25563</v>
      </c>
      <c r="AA824" s="107">
        <f>IFERROR((Table6[[#This Row],[Paired WTG Generation for loss calculation]]/24)*Table6[[#This Row],[Breakdown Time]],"")</f>
        <v>1739.7041666666662</v>
      </c>
      <c r="AB824" s="105" t="s">
        <v>472</v>
      </c>
    </row>
    <row r="825" spans="1:28">
      <c r="A825" s="105">
        <f t="shared" si="12"/>
        <v>824</v>
      </c>
      <c r="B825" s="107">
        <f>YEAR(Table6[[#This Row],[Date]])+IF(MONTH(Table6[[#This Row],[Date]])&gt;=4,1,0)</f>
        <v>2026</v>
      </c>
      <c r="C825" s="105">
        <f>YEAR(Table6[[#This Row],[Date]])</f>
        <v>2025</v>
      </c>
      <c r="D825" s="105" t="s">
        <v>465</v>
      </c>
      <c r="E825" s="119">
        <f>Table6[[#This Row],[Date]]-DAY(Table6[[#This Row],[Date]])+1</f>
        <v>45809</v>
      </c>
      <c r="F825" s="118">
        <v>45827</v>
      </c>
      <c r="G825" s="105" t="s">
        <v>76</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473</v>
      </c>
      <c r="N825" s="39" t="s">
        <v>474</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669</v>
      </c>
      <c r="V825" s="351" t="s">
        <v>476</v>
      </c>
      <c r="W825" s="338">
        <f>Table6[[#This Row],[Breakdown Time]]*(1/39)</f>
        <v>3.8888888888888883E-2</v>
      </c>
      <c r="X825" s="336" t="s">
        <v>477</v>
      </c>
      <c r="Y825" s="352" t="s">
        <v>79</v>
      </c>
      <c r="Z825" s="105">
        <v>25823</v>
      </c>
      <c r="AA825" s="107">
        <f>IFERROR((Table6[[#This Row],[Paired WTG Generation for loss calculation]]/24)*Table6[[#This Row],[Breakdown Time]],"")</f>
        <v>1631.8701388888887</v>
      </c>
      <c r="AB825" s="105" t="s">
        <v>472</v>
      </c>
    </row>
    <row r="826" spans="1:28">
      <c r="A826" s="105">
        <f t="shared" si="12"/>
        <v>825</v>
      </c>
      <c r="B826" s="107">
        <f>YEAR(Table6[[#This Row],[Date]])+IF(MONTH(Table6[[#This Row],[Date]])&gt;=4,1,0)</f>
        <v>2026</v>
      </c>
      <c r="C826" s="105">
        <f>YEAR(Table6[[#This Row],[Date]])</f>
        <v>2025</v>
      </c>
      <c r="D826" s="105" t="s">
        <v>465</v>
      </c>
      <c r="E826" s="119">
        <f>Table6[[#This Row],[Date]]-DAY(Table6[[#This Row],[Date]])+1</f>
        <v>45809</v>
      </c>
      <c r="F826" s="118">
        <v>45827</v>
      </c>
      <c r="G826" s="105" t="s">
        <v>93</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473</v>
      </c>
      <c r="N826" s="39" t="s">
        <v>474</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670</v>
      </c>
      <c r="V826" s="351" t="s">
        <v>476</v>
      </c>
      <c r="W826" s="338">
        <f>Table6[[#This Row],[Breakdown Time]]*(1/39)</f>
        <v>8.5897435897435856E-2</v>
      </c>
      <c r="X826" s="336" t="s">
        <v>477</v>
      </c>
      <c r="Y826" s="352" t="s">
        <v>92</v>
      </c>
      <c r="Z826" s="105">
        <v>25458</v>
      </c>
      <c r="AA826" s="107">
        <f>IFERROR((Table6[[#This Row],[Paired WTG Generation for loss calculation]]/24)*Table6[[#This Row],[Breakdown Time]],"")</f>
        <v>3553.5124999999985</v>
      </c>
      <c r="AB826" s="105" t="s">
        <v>472</v>
      </c>
    </row>
    <row r="827" spans="1:28">
      <c r="A827" s="105">
        <f t="shared" si="12"/>
        <v>826</v>
      </c>
      <c r="B827" s="107">
        <f>YEAR(Table6[[#This Row],[Date]])+IF(MONTH(Table6[[#This Row],[Date]])&gt;=4,1,0)</f>
        <v>2026</v>
      </c>
      <c r="C827" s="105">
        <f>YEAR(Table6[[#This Row],[Date]])</f>
        <v>2025</v>
      </c>
      <c r="D827" s="105" t="s">
        <v>465</v>
      </c>
      <c r="E827" s="119">
        <f>Table6[[#This Row],[Date]]-DAY(Table6[[#This Row],[Date]])+1</f>
        <v>45809</v>
      </c>
      <c r="F827" s="118">
        <v>45827</v>
      </c>
      <c r="G827" s="105" t="s">
        <v>85</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473</v>
      </c>
      <c r="N827" s="39" t="s">
        <v>474</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475</v>
      </c>
      <c r="V827" s="351" t="s">
        <v>476</v>
      </c>
      <c r="W827" s="338">
        <f>Table6[[#This Row],[Breakdown Time]]*(1/39)</f>
        <v>1.025641025641022E-2</v>
      </c>
      <c r="X827" s="336" t="s">
        <v>477</v>
      </c>
      <c r="Y827" s="352" t="s">
        <v>82</v>
      </c>
      <c r="Z827" s="105">
        <v>25623</v>
      </c>
      <c r="AA827" s="107">
        <f>IFERROR((Table6[[#This Row],[Paired WTG Generation for loss calculation]]/24)*Table6[[#This Row],[Breakdown Time]],"")</f>
        <v>427.04999999999848</v>
      </c>
      <c r="AB827" s="105" t="s">
        <v>472</v>
      </c>
    </row>
    <row r="828" spans="1:28">
      <c r="A828" s="105">
        <f t="shared" si="12"/>
        <v>827</v>
      </c>
      <c r="B828" s="107">
        <f>YEAR(Table6[[#This Row],[Date]])+IF(MONTH(Table6[[#This Row],[Date]])&gt;=4,1,0)</f>
        <v>2026</v>
      </c>
      <c r="C828" s="105">
        <f>YEAR(Table6[[#This Row],[Date]])</f>
        <v>2025</v>
      </c>
      <c r="D828" s="105" t="s">
        <v>465</v>
      </c>
      <c r="E828" s="119">
        <f>Table6[[#This Row],[Date]]-DAY(Table6[[#This Row],[Date]])+1</f>
        <v>45809</v>
      </c>
      <c r="F828" s="118">
        <v>45828</v>
      </c>
      <c r="G828" s="105" t="s">
        <v>103</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466</v>
      </c>
      <c r="L828" s="39" t="str">
        <f>IFERROR(VLOOKUP(Table6[[#This Row],[Error Code]],'Basic Data'!$T:$U,2,0),"")</f>
        <v>Manual Stop - Safety Related</v>
      </c>
      <c r="M828" s="346" t="s">
        <v>467</v>
      </c>
      <c r="N828" s="39" t="s">
        <v>468</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469</v>
      </c>
      <c r="V828" s="351" t="s">
        <v>470</v>
      </c>
      <c r="W828" s="338">
        <f>Table6[[#This Row],[Breakdown Time]]*(1/39)</f>
        <v>0.61537749287749288</v>
      </c>
      <c r="X828" s="336" t="s">
        <v>477</v>
      </c>
      <c r="Y828" s="352" t="s">
        <v>102</v>
      </c>
      <c r="Z828" s="105">
        <v>27810</v>
      </c>
      <c r="AA828" s="107">
        <f>IFERROR((Table6[[#This Row],[Paired WTG Generation for loss calculation]]/24)*Table6[[#This Row],[Breakdown Time]],"")</f>
        <v>27809.678125000002</v>
      </c>
      <c r="AB828" s="105" t="s">
        <v>472</v>
      </c>
    </row>
    <row r="829" spans="1:28">
      <c r="A829" s="105">
        <f t="shared" si="12"/>
        <v>828</v>
      </c>
      <c r="B829" s="107">
        <f>YEAR(Table6[[#This Row],[Date]])+IF(MONTH(Table6[[#This Row],[Date]])&gt;=4,1,0)</f>
        <v>2026</v>
      </c>
      <c r="C829" s="105">
        <f>YEAR(Table6[[#This Row],[Date]])</f>
        <v>2025</v>
      </c>
      <c r="D829" s="105" t="s">
        <v>465</v>
      </c>
      <c r="E829" s="119">
        <f>Table6[[#This Row],[Date]]-DAY(Table6[[#This Row],[Date]])+1</f>
        <v>45809</v>
      </c>
      <c r="F829" s="118">
        <v>45828</v>
      </c>
      <c r="G829" s="105" t="s">
        <v>101</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466</v>
      </c>
      <c r="L829" s="39" t="str">
        <f>IFERROR(VLOOKUP(Table6[[#This Row],[Error Code]],'Basic Data'!$T:$U,2,0),"")</f>
        <v>Manual Stop - Safety Related</v>
      </c>
      <c r="M829" s="346" t="s">
        <v>467</v>
      </c>
      <c r="N829" s="39" t="s">
        <v>468</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469</v>
      </c>
      <c r="V829" s="351" t="s">
        <v>470</v>
      </c>
      <c r="W829" s="338">
        <f>Table6[[#This Row],[Breakdown Time]]*(1/39)</f>
        <v>0.61537749287749288</v>
      </c>
      <c r="X829" s="336" t="s">
        <v>477</v>
      </c>
      <c r="Y829" s="352" t="s">
        <v>102</v>
      </c>
      <c r="Z829" s="105">
        <v>27810</v>
      </c>
      <c r="AA829" s="107">
        <f>IFERROR((Table6[[#This Row],[Paired WTG Generation for loss calculation]]/24)*Table6[[#This Row],[Breakdown Time]],"")</f>
        <v>27809.678125000002</v>
      </c>
      <c r="AB829" s="105" t="s">
        <v>472</v>
      </c>
    </row>
    <row r="830" spans="1:28">
      <c r="A830" s="105">
        <f t="shared" si="12"/>
        <v>829</v>
      </c>
      <c r="B830" s="107">
        <f>YEAR(Table6[[#This Row],[Date]])+IF(MONTH(Table6[[#This Row],[Date]])&gt;=4,1,0)</f>
        <v>2026</v>
      </c>
      <c r="C830" s="105">
        <f>YEAR(Table6[[#This Row],[Date]])</f>
        <v>2025</v>
      </c>
      <c r="D830" s="105" t="s">
        <v>465</v>
      </c>
      <c r="E830" s="119">
        <f>Table6[[#This Row],[Date]]-DAY(Table6[[#This Row],[Date]])+1</f>
        <v>45809</v>
      </c>
      <c r="F830" s="118">
        <v>45828</v>
      </c>
      <c r="G830" s="105" t="s">
        <v>90</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473</v>
      </c>
      <c r="N830" s="39" t="s">
        <v>474</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650</v>
      </c>
      <c r="V830" s="351" t="s">
        <v>470</v>
      </c>
      <c r="W830" s="338">
        <f>Table6[[#This Row],[Breakdown Time]]*(1/39)</f>
        <v>0.61537749287749288</v>
      </c>
      <c r="X830" s="336" t="s">
        <v>477</v>
      </c>
      <c r="Y830" s="352" t="s">
        <v>89</v>
      </c>
      <c r="Z830" s="105">
        <v>27812</v>
      </c>
      <c r="AA830" s="107">
        <f>IFERROR((Table6[[#This Row],[Paired WTG Generation for loss calculation]]/24)*Table6[[#This Row],[Breakdown Time]],"")</f>
        <v>27811.678101851852</v>
      </c>
      <c r="AB830" s="105" t="s">
        <v>472</v>
      </c>
    </row>
    <row r="831" spans="1:28">
      <c r="A831" s="105">
        <f t="shared" si="12"/>
        <v>830</v>
      </c>
      <c r="B831" s="107">
        <f>YEAR(Table6[[#This Row],[Date]])+IF(MONTH(Table6[[#This Row],[Date]])&gt;=4,1,0)</f>
        <v>2026</v>
      </c>
      <c r="C831" s="105">
        <f>YEAR(Table6[[#This Row],[Date]])</f>
        <v>2025</v>
      </c>
      <c r="D831" s="105" t="s">
        <v>465</v>
      </c>
      <c r="E831" s="119">
        <f>Table6[[#This Row],[Date]]-DAY(Table6[[#This Row],[Date]])+1</f>
        <v>45809</v>
      </c>
      <c r="F831" s="118">
        <v>45828</v>
      </c>
      <c r="G831" s="105" t="s">
        <v>84</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473</v>
      </c>
      <c r="N831" s="39" t="s">
        <v>474</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671</v>
      </c>
      <c r="V831" s="351" t="s">
        <v>476</v>
      </c>
      <c r="W831" s="338">
        <f>Table6[[#This Row],[Breakdown Time]]*(1/39)</f>
        <v>6.538461538461543E-2</v>
      </c>
      <c r="X831" s="336" t="s">
        <v>477</v>
      </c>
      <c r="Y831" s="352" t="s">
        <v>83</v>
      </c>
      <c r="Z831" s="105">
        <v>27864</v>
      </c>
      <c r="AA831" s="107">
        <f>IFERROR((Table6[[#This Row],[Paired WTG Generation for loss calculation]]/24)*Table6[[#This Row],[Breakdown Time]],"")</f>
        <v>2960.550000000002</v>
      </c>
      <c r="AB831" s="105" t="s">
        <v>472</v>
      </c>
    </row>
    <row r="832" spans="1:28">
      <c r="A832" s="105">
        <f t="shared" si="12"/>
        <v>831</v>
      </c>
      <c r="B832" s="107">
        <f>YEAR(Table6[[#This Row],[Date]])+IF(MONTH(Table6[[#This Row],[Date]])&gt;=4,1,0)</f>
        <v>2026</v>
      </c>
      <c r="C832" s="105">
        <f>YEAR(Table6[[#This Row],[Date]])</f>
        <v>2025</v>
      </c>
      <c r="D832" s="105" t="s">
        <v>465</v>
      </c>
      <c r="E832" s="119">
        <f>Table6[[#This Row],[Date]]-DAY(Table6[[#This Row],[Date]])+1</f>
        <v>45809</v>
      </c>
      <c r="F832" s="118">
        <v>45828</v>
      </c>
      <c r="G832" s="105" t="s">
        <v>94</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473</v>
      </c>
      <c r="N832" s="39" t="s">
        <v>474</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672</v>
      </c>
      <c r="V832" s="351" t="s">
        <v>476</v>
      </c>
      <c r="W832" s="338">
        <f>Table6[[#This Row],[Breakdown Time]]*(1/39)</f>
        <v>3.8888888888888883E-2</v>
      </c>
      <c r="X832" s="336" t="s">
        <v>477</v>
      </c>
      <c r="Y832" s="352" t="s">
        <v>95</v>
      </c>
      <c r="Z832" s="105">
        <v>27345</v>
      </c>
      <c r="AA832" s="107">
        <f>IFERROR((Table6[[#This Row],[Paired WTG Generation for loss calculation]]/24)*Table6[[#This Row],[Breakdown Time]],"")</f>
        <v>1728.0520833333333</v>
      </c>
      <c r="AB832" s="105" t="s">
        <v>472</v>
      </c>
    </row>
    <row r="833" spans="1:28">
      <c r="A833" s="105">
        <f t="shared" si="12"/>
        <v>832</v>
      </c>
      <c r="B833" s="107">
        <f>YEAR(Table6[[#This Row],[Date]])+IF(MONTH(Table6[[#This Row],[Date]])&gt;=4,1,0)</f>
        <v>2026</v>
      </c>
      <c r="C833" s="105">
        <f>YEAR(Table6[[#This Row],[Date]])</f>
        <v>2025</v>
      </c>
      <c r="D833" s="105" t="s">
        <v>465</v>
      </c>
      <c r="E833" s="119">
        <f>Table6[[#This Row],[Date]]-DAY(Table6[[#This Row],[Date]])+1</f>
        <v>45809</v>
      </c>
      <c r="F833" s="118">
        <v>45829</v>
      </c>
      <c r="G833" s="105" t="s">
        <v>103</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466</v>
      </c>
      <c r="L833" s="39" t="str">
        <f>IFERROR(VLOOKUP(Table6[[#This Row],[Error Code]],'Basic Data'!$T:$U,2,0),"")</f>
        <v>Manual Stop - Safety Related</v>
      </c>
      <c r="M833" s="346" t="s">
        <v>467</v>
      </c>
      <c r="N833" s="39" t="s">
        <v>468</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469</v>
      </c>
      <c r="V833" s="351" t="s">
        <v>470</v>
      </c>
      <c r="W833" s="338">
        <f>Table6[[#This Row],[Breakdown Time]]*(1/39)</f>
        <v>0.61537749287749288</v>
      </c>
      <c r="X833" s="336" t="s">
        <v>486</v>
      </c>
      <c r="Y833" s="352" t="s">
        <v>102</v>
      </c>
      <c r="Z833" s="105">
        <v>25110</v>
      </c>
      <c r="AA833" s="107">
        <f>IFERROR((Table6[[#This Row],[Paired WTG Generation for loss calculation]]/24)*Table6[[#This Row],[Breakdown Time]],"")</f>
        <v>25109.709375000002</v>
      </c>
      <c r="AB833" s="105" t="s">
        <v>472</v>
      </c>
    </row>
    <row r="834" spans="1:28">
      <c r="A834" s="105">
        <f t="shared" si="12"/>
        <v>833</v>
      </c>
      <c r="B834" s="107">
        <f>YEAR(Table6[[#This Row],[Date]])+IF(MONTH(Table6[[#This Row],[Date]])&gt;=4,1,0)</f>
        <v>2026</v>
      </c>
      <c r="C834" s="105">
        <f>YEAR(Table6[[#This Row],[Date]])</f>
        <v>2025</v>
      </c>
      <c r="D834" s="105" t="s">
        <v>465</v>
      </c>
      <c r="E834" s="119">
        <f>Table6[[#This Row],[Date]]-DAY(Table6[[#This Row],[Date]])+1</f>
        <v>45809</v>
      </c>
      <c r="F834" s="118">
        <v>45829</v>
      </c>
      <c r="G834" s="105" t="s">
        <v>101</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466</v>
      </c>
      <c r="L834" s="39" t="str">
        <f>IFERROR(VLOOKUP(Table6[[#This Row],[Error Code]],'Basic Data'!$T:$U,2,0),"")</f>
        <v>Manual Stop - Safety Related</v>
      </c>
      <c r="M834" s="346" t="s">
        <v>467</v>
      </c>
      <c r="N834" s="39" t="s">
        <v>468</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469</v>
      </c>
      <c r="V834" s="351" t="s">
        <v>470</v>
      </c>
      <c r="W834" s="338">
        <f>Table6[[#This Row],[Breakdown Time]]*(1/39)</f>
        <v>0.61537749287749288</v>
      </c>
      <c r="X834" s="336" t="s">
        <v>486</v>
      </c>
      <c r="Y834" s="352" t="s">
        <v>102</v>
      </c>
      <c r="Z834" s="105">
        <v>25110</v>
      </c>
      <c r="AA834" s="107">
        <f>IFERROR((Table6[[#This Row],[Paired WTG Generation for loss calculation]]/24)*Table6[[#This Row],[Breakdown Time]],"")</f>
        <v>25109.709375000002</v>
      </c>
      <c r="AB834" s="105" t="s">
        <v>472</v>
      </c>
    </row>
    <row r="835" spans="1:28">
      <c r="A835" s="105">
        <f t="shared" si="12"/>
        <v>834</v>
      </c>
      <c r="B835" s="107">
        <f>YEAR(Table6[[#This Row],[Date]])+IF(MONTH(Table6[[#This Row],[Date]])&gt;=4,1,0)</f>
        <v>2026</v>
      </c>
      <c r="C835" s="105">
        <f>YEAR(Table6[[#This Row],[Date]])</f>
        <v>2025</v>
      </c>
      <c r="D835" s="105" t="s">
        <v>465</v>
      </c>
      <c r="E835" s="119">
        <f>Table6[[#This Row],[Date]]-DAY(Table6[[#This Row],[Date]])+1</f>
        <v>45809</v>
      </c>
      <c r="F835" s="118">
        <v>45829</v>
      </c>
      <c r="G835" s="105" t="s">
        <v>90</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473</v>
      </c>
      <c r="N835" s="39" t="s">
        <v>474</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650</v>
      </c>
      <c r="V835" s="351" t="s">
        <v>470</v>
      </c>
      <c r="W835" s="338">
        <f>Table6[[#This Row],[Breakdown Time]]*(1/39)</f>
        <v>0.61537749287749288</v>
      </c>
      <c r="X835" s="336" t="s">
        <v>477</v>
      </c>
      <c r="Y835" s="352" t="s">
        <v>89</v>
      </c>
      <c r="Z835" s="105">
        <v>26511</v>
      </c>
      <c r="AA835" s="107">
        <f>IFERROR((Table6[[#This Row],[Paired WTG Generation for loss calculation]]/24)*Table6[[#This Row],[Breakdown Time]],"")</f>
        <v>26510.693159722225</v>
      </c>
      <c r="AB835" s="105" t="s">
        <v>472</v>
      </c>
    </row>
    <row r="836" spans="1:28">
      <c r="A836" s="105">
        <f t="shared" ref="A836:A900" si="13">A835+1</f>
        <v>835</v>
      </c>
      <c r="B836" s="107">
        <f>YEAR(Table6[[#This Row],[Date]])+IF(MONTH(Table6[[#This Row],[Date]])&gt;=4,1,0)</f>
        <v>2026</v>
      </c>
      <c r="C836" s="105">
        <f>YEAR(Table6[[#This Row],[Date]])</f>
        <v>2025</v>
      </c>
      <c r="D836" s="105" t="s">
        <v>465</v>
      </c>
      <c r="E836" s="119">
        <f>Table6[[#This Row],[Date]]-DAY(Table6[[#This Row],[Date]])+1</f>
        <v>45809</v>
      </c>
      <c r="F836" s="118">
        <v>45829</v>
      </c>
      <c r="G836" s="105" t="s">
        <v>96</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473</v>
      </c>
      <c r="N836" s="39" t="s">
        <v>474</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673</v>
      </c>
      <c r="V836" s="351" t="s">
        <v>476</v>
      </c>
      <c r="W836" s="338">
        <f>Table6[[#This Row],[Breakdown Time]]*(1/39)</f>
        <v>2.7777777777777745E-2</v>
      </c>
      <c r="X836" s="336" t="s">
        <v>477</v>
      </c>
      <c r="Y836" s="352" t="s">
        <v>95</v>
      </c>
      <c r="Z836" s="105">
        <v>25573</v>
      </c>
      <c r="AA836" s="107">
        <f>IFERROR((Table6[[#This Row],[Paired WTG Generation for loss calculation]]/24)*Table6[[#This Row],[Breakdown Time]],"")</f>
        <v>1154.3368055555543</v>
      </c>
      <c r="AB836" s="105" t="s">
        <v>472</v>
      </c>
    </row>
    <row r="837" spans="1:28">
      <c r="A837" s="105">
        <f t="shared" si="13"/>
        <v>836</v>
      </c>
      <c r="B837" s="107">
        <f>YEAR(Table6[[#This Row],[Date]])+IF(MONTH(Table6[[#This Row],[Date]])&gt;=4,1,0)</f>
        <v>2026</v>
      </c>
      <c r="C837" s="105">
        <f>YEAR(Table6[[#This Row],[Date]])</f>
        <v>2025</v>
      </c>
      <c r="D837" s="105" t="s">
        <v>465</v>
      </c>
      <c r="E837" s="119">
        <f>Table6[[#This Row],[Date]]-DAY(Table6[[#This Row],[Date]])+1</f>
        <v>45809</v>
      </c>
      <c r="F837" s="118">
        <v>45829</v>
      </c>
      <c r="G837" s="105" t="s">
        <v>83</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526</v>
      </c>
      <c r="L837" s="39" t="str">
        <f>IFERROR(VLOOKUP(Table6[[#This Row],[Error Code]],'Basic Data'!$T:$U,2,0),"")</f>
        <v>Manual Stop</v>
      </c>
      <c r="M837" s="346" t="s">
        <v>499</v>
      </c>
      <c r="N837" s="39" t="s">
        <v>189</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674</v>
      </c>
      <c r="V837" s="351" t="s">
        <v>476</v>
      </c>
      <c r="W837" s="338">
        <f>Table6[[#This Row],[Breakdown Time]]*(1/39)</f>
        <v>2.9914529914529944E-2</v>
      </c>
      <c r="X837" s="336" t="s">
        <v>501</v>
      </c>
      <c r="Y837" s="352" t="s">
        <v>81</v>
      </c>
      <c r="Z837" s="105">
        <v>25213</v>
      </c>
      <c r="AA837" s="107">
        <f>IFERROR((Table6[[#This Row],[Paired WTG Generation for loss calculation]]/24)*Table6[[#This Row],[Breakdown Time]],"")</f>
        <v>1225.6319444444457</v>
      </c>
      <c r="AB837" s="105" t="s">
        <v>472</v>
      </c>
    </row>
    <row r="838" spans="1:28">
      <c r="A838" s="105">
        <f t="shared" si="13"/>
        <v>837</v>
      </c>
      <c r="B838" s="107">
        <f>YEAR(Table6[[#This Row],[Date]])+IF(MONTH(Table6[[#This Row],[Date]])&gt;=4,1,0)</f>
        <v>2026</v>
      </c>
      <c r="C838" s="105">
        <f>YEAR(Table6[[#This Row],[Date]])</f>
        <v>2025</v>
      </c>
      <c r="D838" s="105" t="s">
        <v>465</v>
      </c>
      <c r="E838" s="119">
        <f>Table6[[#This Row],[Date]]-DAY(Table6[[#This Row],[Date]])+1</f>
        <v>45809</v>
      </c>
      <c r="F838" s="118">
        <v>45829</v>
      </c>
      <c r="G838" s="105" t="s">
        <v>105</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473</v>
      </c>
      <c r="N838" s="39" t="s">
        <v>474</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675</v>
      </c>
      <c r="V838" s="351" t="s">
        <v>476</v>
      </c>
      <c r="W838" s="338">
        <f>Table6[[#This Row],[Breakdown Time]]*(1/39)</f>
        <v>6.4529914529914578E-2</v>
      </c>
      <c r="X838" s="336" t="s">
        <v>477</v>
      </c>
      <c r="Y838" s="352" t="s">
        <v>106</v>
      </c>
      <c r="Z838" s="105">
        <v>24836</v>
      </c>
      <c r="AA838" s="107">
        <f>IFERROR((Table6[[#This Row],[Paired WTG Generation for loss calculation]]/24)*Table6[[#This Row],[Breakdown Time]],"")</f>
        <v>2604.3305555555571</v>
      </c>
      <c r="AB838" s="105" t="s">
        <v>472</v>
      </c>
    </row>
    <row r="839" spans="1:28">
      <c r="A839" s="105">
        <f t="shared" si="13"/>
        <v>838</v>
      </c>
      <c r="B839" s="107">
        <f>YEAR(Table6[[#This Row],[Date]])+IF(MONTH(Table6[[#This Row],[Date]])&gt;=4,1,0)</f>
        <v>2026</v>
      </c>
      <c r="C839" s="105">
        <f>YEAR(Table6[[#This Row],[Date]])</f>
        <v>2025</v>
      </c>
      <c r="D839" s="105" t="s">
        <v>465</v>
      </c>
      <c r="E839" s="119">
        <f>Table6[[#This Row],[Date]]-DAY(Table6[[#This Row],[Date]])+1</f>
        <v>45809</v>
      </c>
      <c r="F839" s="118">
        <v>45829</v>
      </c>
      <c r="G839" s="105" t="s">
        <v>85</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473</v>
      </c>
      <c r="N839" s="39" t="s">
        <v>474</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676</v>
      </c>
      <c r="V839" s="351" t="s">
        <v>476</v>
      </c>
      <c r="W839" s="338">
        <f>Table6[[#This Row],[Breakdown Time]]*(1/39)</f>
        <v>0.19401709401709405</v>
      </c>
      <c r="X839" s="336" t="s">
        <v>501</v>
      </c>
      <c r="Y839" s="352" t="s">
        <v>86</v>
      </c>
      <c r="Z839" s="105">
        <v>24356</v>
      </c>
      <c r="AA839" s="107">
        <f>IFERROR((Table6[[#This Row],[Paired WTG Generation for loss calculation]]/24)*Table6[[#This Row],[Breakdown Time]],"")</f>
        <v>7678.9055555555578</v>
      </c>
      <c r="AB839" s="105" t="s">
        <v>472</v>
      </c>
    </row>
    <row r="840" spans="1:28">
      <c r="A840" s="105">
        <f t="shared" si="13"/>
        <v>839</v>
      </c>
      <c r="B840" s="107">
        <f>YEAR(Table6[[#This Row],[Date]])+IF(MONTH(Table6[[#This Row],[Date]])&gt;=4,1,0)</f>
        <v>2026</v>
      </c>
      <c r="C840" s="105">
        <f>YEAR(Table6[[#This Row],[Date]])</f>
        <v>2025</v>
      </c>
      <c r="D840" s="105" t="s">
        <v>465</v>
      </c>
      <c r="E840" s="119">
        <f>Table6[[#This Row],[Date]]-DAY(Table6[[#This Row],[Date]])+1</f>
        <v>45809</v>
      </c>
      <c r="F840" s="118">
        <v>45829</v>
      </c>
      <c r="G840" s="105" t="s">
        <v>84</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526</v>
      </c>
      <c r="L840" s="39" t="str">
        <f>IFERROR(VLOOKUP(Table6[[#This Row],[Error Code]],'Basic Data'!$T:$U,2,0),"")</f>
        <v>Manual Stop</v>
      </c>
      <c r="M840" s="346" t="s">
        <v>499</v>
      </c>
      <c r="N840" s="39" t="s">
        <v>189</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677</v>
      </c>
      <c r="V840" s="351" t="s">
        <v>476</v>
      </c>
      <c r="W840" s="338">
        <f>Table6[[#This Row],[Breakdown Time]]*(1/39)</f>
        <v>0.16581196581196575</v>
      </c>
      <c r="X840" s="336" t="s">
        <v>501</v>
      </c>
      <c r="Y840" s="352" t="s">
        <v>86</v>
      </c>
      <c r="Z840" s="105">
        <v>24356</v>
      </c>
      <c r="AA840" s="107">
        <f>IFERROR((Table6[[#This Row],[Paired WTG Generation for loss calculation]]/24)*Table6[[#This Row],[Breakdown Time]],"")</f>
        <v>6562.5888888888876</v>
      </c>
      <c r="AB840" s="105" t="s">
        <v>472</v>
      </c>
    </row>
    <row r="841" spans="1:28">
      <c r="A841" s="105">
        <f t="shared" si="13"/>
        <v>840</v>
      </c>
      <c r="B841" s="107">
        <f>YEAR(Table6[[#This Row],[Date]])+IF(MONTH(Table6[[#This Row],[Date]])&gt;=4,1,0)</f>
        <v>2026</v>
      </c>
      <c r="C841" s="105">
        <f>YEAR(Table6[[#This Row],[Date]])</f>
        <v>2025</v>
      </c>
      <c r="D841" s="105" t="s">
        <v>465</v>
      </c>
      <c r="E841" s="119">
        <f>Table6[[#This Row],[Date]]-DAY(Table6[[#This Row],[Date]])+1</f>
        <v>45809</v>
      </c>
      <c r="F841" s="118">
        <v>45830</v>
      </c>
      <c r="G841" s="105" t="s">
        <v>103</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466</v>
      </c>
      <c r="L841" s="39" t="str">
        <f>IFERROR(VLOOKUP(Table6[[#This Row],[Error Code]],'Basic Data'!$T:$U,2,0),"")</f>
        <v>Manual Stop - Safety Related</v>
      </c>
      <c r="M841" s="346" t="s">
        <v>467</v>
      </c>
      <c r="N841" s="39" t="s">
        <v>468</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469</v>
      </c>
      <c r="V841" s="351" t="s">
        <v>470</v>
      </c>
      <c r="W841" s="338">
        <f>Table6[[#This Row],[Breakdown Time]]*(1/39)</f>
        <v>0.61537749287749288</v>
      </c>
      <c r="X841" s="336" t="s">
        <v>486</v>
      </c>
      <c r="Y841" s="352" t="s">
        <v>102</v>
      </c>
      <c r="Z841" s="105">
        <v>24532</v>
      </c>
      <c r="AA841" s="107">
        <f>IFERROR((Table6[[#This Row],[Paired WTG Generation for loss calculation]]/24)*Table6[[#This Row],[Breakdown Time]],"")</f>
        <v>24531.716064814816</v>
      </c>
      <c r="AB841" s="105" t="s">
        <v>472</v>
      </c>
    </row>
    <row r="842" spans="1:28">
      <c r="A842" s="105">
        <f t="shared" si="13"/>
        <v>841</v>
      </c>
      <c r="B842" s="107">
        <f>YEAR(Table6[[#This Row],[Date]])+IF(MONTH(Table6[[#This Row],[Date]])&gt;=4,1,0)</f>
        <v>2026</v>
      </c>
      <c r="C842" s="105">
        <f>YEAR(Table6[[#This Row],[Date]])</f>
        <v>2025</v>
      </c>
      <c r="D842" s="105" t="s">
        <v>465</v>
      </c>
      <c r="E842" s="119">
        <f>Table6[[#This Row],[Date]]-DAY(Table6[[#This Row],[Date]])+1</f>
        <v>45809</v>
      </c>
      <c r="F842" s="118">
        <v>45830</v>
      </c>
      <c r="G842" s="105" t="s">
        <v>101</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466</v>
      </c>
      <c r="L842" s="39" t="str">
        <f>IFERROR(VLOOKUP(Table6[[#This Row],[Error Code]],'Basic Data'!$T:$U,2,0),"")</f>
        <v>Manual Stop - Safety Related</v>
      </c>
      <c r="M842" s="346" t="s">
        <v>467</v>
      </c>
      <c r="N842" s="39" t="s">
        <v>468</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469</v>
      </c>
      <c r="V842" s="351" t="s">
        <v>470</v>
      </c>
      <c r="W842" s="338">
        <f>Table6[[#This Row],[Breakdown Time]]*(1/39)</f>
        <v>0.61537749287749288</v>
      </c>
      <c r="X842" s="336" t="s">
        <v>486</v>
      </c>
      <c r="Y842" s="352" t="s">
        <v>102</v>
      </c>
      <c r="Z842" s="105">
        <v>24532</v>
      </c>
      <c r="AA842" s="107">
        <f>IFERROR((Table6[[#This Row],[Paired WTG Generation for loss calculation]]/24)*Table6[[#This Row],[Breakdown Time]],"")</f>
        <v>24531.716064814816</v>
      </c>
      <c r="AB842" s="105" t="s">
        <v>472</v>
      </c>
    </row>
    <row r="843" spans="1:28">
      <c r="A843" s="105">
        <f t="shared" si="13"/>
        <v>842</v>
      </c>
      <c r="B843" s="107">
        <f>YEAR(Table6[[#This Row],[Date]])+IF(MONTH(Table6[[#This Row],[Date]])&gt;=4,1,0)</f>
        <v>2026</v>
      </c>
      <c r="C843" s="105">
        <f>YEAR(Table6[[#This Row],[Date]])</f>
        <v>2025</v>
      </c>
      <c r="D843" s="105" t="s">
        <v>465</v>
      </c>
      <c r="E843" s="119">
        <f>Table6[[#This Row],[Date]]-DAY(Table6[[#This Row],[Date]])+1</f>
        <v>45809</v>
      </c>
      <c r="F843" s="118">
        <v>45830</v>
      </c>
      <c r="G843" s="105" t="s">
        <v>90</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473</v>
      </c>
      <c r="N843" s="39" t="s">
        <v>474</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650</v>
      </c>
      <c r="V843" s="351" t="s">
        <v>470</v>
      </c>
      <c r="W843" s="338">
        <f>Table6[[#This Row],[Breakdown Time]]*(1/39)</f>
        <v>0.61537749287749288</v>
      </c>
      <c r="X843" s="336" t="s">
        <v>477</v>
      </c>
      <c r="Y843" s="352" t="s">
        <v>89</v>
      </c>
      <c r="Z843" s="105">
        <v>25412</v>
      </c>
      <c r="AA843" s="107">
        <f>IFERROR((Table6[[#This Row],[Paired WTG Generation for loss calculation]]/24)*Table6[[#This Row],[Breakdown Time]],"")</f>
        <v>25411.70587962963</v>
      </c>
      <c r="AB843" s="105" t="s">
        <v>472</v>
      </c>
    </row>
    <row r="844" spans="1:28">
      <c r="A844" s="105">
        <f t="shared" si="13"/>
        <v>843</v>
      </c>
      <c r="B844" s="107">
        <f>YEAR(Table6[[#This Row],[Date]])+IF(MONTH(Table6[[#This Row],[Date]])&gt;=4,1,0)</f>
        <v>2026</v>
      </c>
      <c r="C844" s="105">
        <f>YEAR(Table6[[#This Row],[Date]])</f>
        <v>2025</v>
      </c>
      <c r="D844" s="105" t="s">
        <v>465</v>
      </c>
      <c r="E844" s="119">
        <f>Table6[[#This Row],[Date]]-DAY(Table6[[#This Row],[Date]])+1</f>
        <v>45809</v>
      </c>
      <c r="F844" s="118">
        <v>45830</v>
      </c>
      <c r="G844" s="105" t="s">
        <v>85</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473</v>
      </c>
      <c r="N844" s="39" t="s">
        <v>474</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678</v>
      </c>
      <c r="V844" s="351" t="s">
        <v>476</v>
      </c>
      <c r="W844" s="338">
        <f>Table6[[#This Row],[Breakdown Time]]*(1/39)</f>
        <v>6.8376068376068369E-2</v>
      </c>
      <c r="X844" s="336" t="s">
        <v>477</v>
      </c>
      <c r="Y844" s="352" t="s">
        <v>86</v>
      </c>
      <c r="Z844" s="105">
        <v>24623</v>
      </c>
      <c r="AA844" s="107">
        <f>IFERROR((Table6[[#This Row],[Paired WTG Generation for loss calculation]]/24)*Table6[[#This Row],[Breakdown Time]],"")</f>
        <v>2735.8888888888887</v>
      </c>
      <c r="AB844" s="105" t="s">
        <v>472</v>
      </c>
    </row>
    <row r="845" spans="1:28">
      <c r="A845" s="105">
        <f t="shared" si="13"/>
        <v>844</v>
      </c>
      <c r="B845" s="107">
        <f>YEAR(Table6[[#This Row],[Date]])+IF(MONTH(Table6[[#This Row],[Date]])&gt;=4,1,0)</f>
        <v>2026</v>
      </c>
      <c r="C845" s="105">
        <f>YEAR(Table6[[#This Row],[Date]])</f>
        <v>2025</v>
      </c>
      <c r="D845" s="105" t="s">
        <v>465</v>
      </c>
      <c r="E845" s="119">
        <f>Table6[[#This Row],[Date]]-DAY(Table6[[#This Row],[Date]])+1</f>
        <v>45809</v>
      </c>
      <c r="F845" s="118">
        <v>45830</v>
      </c>
      <c r="G845" s="105" t="s">
        <v>93</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473</v>
      </c>
      <c r="N845" s="39" t="s">
        <v>474</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679</v>
      </c>
      <c r="V845" s="351" t="s">
        <v>476</v>
      </c>
      <c r="W845" s="338">
        <f>Table6[[#This Row],[Breakdown Time]]*(1/39)</f>
        <v>2.9059829059829092E-2</v>
      </c>
      <c r="X845" s="336" t="s">
        <v>477</v>
      </c>
      <c r="Y845" s="352" t="s">
        <v>92</v>
      </c>
      <c r="Z845" s="105">
        <v>25612</v>
      </c>
      <c r="AA845" s="107">
        <f>IFERROR((Table6[[#This Row],[Paired WTG Generation for loss calculation]]/24)*Table6[[#This Row],[Breakdown Time]],"")</f>
        <v>1209.4555555555571</v>
      </c>
      <c r="AB845" s="105" t="s">
        <v>472</v>
      </c>
    </row>
    <row r="846" spans="1:28">
      <c r="A846" s="105">
        <f t="shared" si="13"/>
        <v>845</v>
      </c>
      <c r="B846" s="107">
        <f>YEAR(Table6[[#This Row],[Date]])+IF(MONTH(Table6[[#This Row],[Date]])&gt;=4,1,0)</f>
        <v>2026</v>
      </c>
      <c r="C846" s="105">
        <f>YEAR(Table6[[#This Row],[Date]])</f>
        <v>2025</v>
      </c>
      <c r="D846" s="105" t="s">
        <v>465</v>
      </c>
      <c r="E846" s="119">
        <f>Table6[[#This Row],[Date]]-DAY(Table6[[#This Row],[Date]])+1</f>
        <v>45809</v>
      </c>
      <c r="F846" s="118">
        <v>45830</v>
      </c>
      <c r="G846" s="105" t="s">
        <v>75</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473</v>
      </c>
      <c r="N846" s="39" t="s">
        <v>474</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652</v>
      </c>
      <c r="V846" s="351" t="s">
        <v>476</v>
      </c>
      <c r="W846" s="338">
        <f>Table6[[#This Row],[Breakdown Time]]*(1/39)</f>
        <v>4.5299145299145305E-2</v>
      </c>
      <c r="X846" s="336" t="s">
        <v>477</v>
      </c>
      <c r="Y846" s="352" t="s">
        <v>77</v>
      </c>
      <c r="Z846" s="105">
        <v>24987</v>
      </c>
      <c r="AA846" s="107">
        <f>IFERROR((Table6[[#This Row],[Paired WTG Generation for loss calculation]]/24)*Table6[[#This Row],[Breakdown Time]],"")</f>
        <v>1839.3208333333337</v>
      </c>
      <c r="AB846" s="105" t="s">
        <v>472</v>
      </c>
    </row>
    <row r="847" spans="1:28">
      <c r="A847" s="105">
        <f t="shared" si="13"/>
        <v>846</v>
      </c>
      <c r="B847" s="107">
        <f>YEAR(Table6[[#This Row],[Date]])+IF(MONTH(Table6[[#This Row],[Date]])&gt;=4,1,0)</f>
        <v>2026</v>
      </c>
      <c r="C847" s="105">
        <f>YEAR(Table6[[#This Row],[Date]])</f>
        <v>2025</v>
      </c>
      <c r="D847" s="105" t="s">
        <v>465</v>
      </c>
      <c r="E847" s="119">
        <f>Table6[[#This Row],[Date]]-DAY(Table6[[#This Row],[Date]])+1</f>
        <v>45809</v>
      </c>
      <c r="F847" s="118">
        <v>45830</v>
      </c>
      <c r="G847" s="105" t="s">
        <v>110</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473</v>
      </c>
      <c r="N847" s="39" t="s">
        <v>474</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475</v>
      </c>
      <c r="V847" s="351" t="s">
        <v>476</v>
      </c>
      <c r="W847" s="338">
        <f>Table6[[#This Row],[Breakdown Time]]*(1/39)</f>
        <v>1.1111111111111105E-2</v>
      </c>
      <c r="X847" s="336" t="s">
        <v>477</v>
      </c>
      <c r="Y847" s="352" t="s">
        <v>111</v>
      </c>
      <c r="Z847" s="105">
        <v>25472</v>
      </c>
      <c r="AA847" s="107">
        <f>IFERROR((Table6[[#This Row],[Paired WTG Generation for loss calculation]]/24)*Table6[[#This Row],[Breakdown Time]],"")</f>
        <v>459.91111111111087</v>
      </c>
      <c r="AB847" s="105" t="s">
        <v>472</v>
      </c>
    </row>
    <row r="848" spans="1:28">
      <c r="A848" s="105">
        <f t="shared" si="13"/>
        <v>847</v>
      </c>
      <c r="B848" s="107">
        <f>YEAR(Table6[[#This Row],[Date]])+IF(MONTH(Table6[[#This Row],[Date]])&gt;=4,1,0)</f>
        <v>2026</v>
      </c>
      <c r="C848" s="105">
        <f>YEAR(Table6[[#This Row],[Date]])</f>
        <v>2025</v>
      </c>
      <c r="D848" s="105" t="s">
        <v>465</v>
      </c>
      <c r="E848" s="119">
        <f>Table6[[#This Row],[Date]]-DAY(Table6[[#This Row],[Date]])+1</f>
        <v>45809</v>
      </c>
      <c r="F848" s="118">
        <v>45830</v>
      </c>
      <c r="G848" s="105" t="s">
        <v>85</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473</v>
      </c>
      <c r="N848" s="39" t="s">
        <v>474</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680</v>
      </c>
      <c r="V848" s="351" t="s">
        <v>476</v>
      </c>
      <c r="W848" s="338">
        <f>Table6[[#This Row],[Breakdown Time]]*(1/39)</f>
        <v>5.8974358974358994E-2</v>
      </c>
      <c r="X848" s="336" t="s">
        <v>477</v>
      </c>
      <c r="Y848" s="352" t="s">
        <v>86</v>
      </c>
      <c r="Z848" s="105">
        <v>24623</v>
      </c>
      <c r="AA848" s="107">
        <f>IFERROR((Table6[[#This Row],[Paired WTG Generation for loss calculation]]/24)*Table6[[#This Row],[Breakdown Time]],"")</f>
        <v>2359.7041666666673</v>
      </c>
      <c r="AB848" s="105" t="s">
        <v>472</v>
      </c>
    </row>
    <row r="849" spans="1:28">
      <c r="A849" s="105">
        <f t="shared" si="13"/>
        <v>848</v>
      </c>
      <c r="B849" s="107">
        <f>YEAR(Table6[[#This Row],[Date]])+IF(MONTH(Table6[[#This Row],[Date]])&gt;=4,1,0)</f>
        <v>2026</v>
      </c>
      <c r="C849" s="105">
        <f>YEAR(Table6[[#This Row],[Date]])</f>
        <v>2025</v>
      </c>
      <c r="D849" s="105" t="s">
        <v>465</v>
      </c>
      <c r="E849" s="119">
        <f>Table6[[#This Row],[Date]]-DAY(Table6[[#This Row],[Date]])+1</f>
        <v>45809</v>
      </c>
      <c r="F849" s="118">
        <v>45831</v>
      </c>
      <c r="G849" s="105" t="s">
        <v>103</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526</v>
      </c>
      <c r="L849" s="39" t="str">
        <f>IFERROR(VLOOKUP(Table6[[#This Row],[Error Code]],'Basic Data'!$T:$U,2,0),"")</f>
        <v>Manual Stop</v>
      </c>
      <c r="M849" s="346" t="s">
        <v>467</v>
      </c>
      <c r="N849" s="39" t="s">
        <v>468</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469</v>
      </c>
      <c r="V849" s="351" t="s">
        <v>470</v>
      </c>
      <c r="W849" s="338">
        <f>Table6[[#This Row],[Breakdown Time]]*(1/39)</f>
        <v>0.61537749287749288</v>
      </c>
      <c r="X849" s="336" t="s">
        <v>486</v>
      </c>
      <c r="Y849" s="352" t="s">
        <v>102</v>
      </c>
      <c r="Z849" s="105">
        <v>29732</v>
      </c>
      <c r="AA849" s="107">
        <f>IFERROR((Table6[[#This Row],[Paired WTG Generation for loss calculation]]/24)*Table6[[#This Row],[Breakdown Time]],"")</f>
        <v>29731.65587962963</v>
      </c>
      <c r="AB849" s="105" t="s">
        <v>472</v>
      </c>
    </row>
    <row r="850" spans="1:28">
      <c r="A850" s="105">
        <f t="shared" si="13"/>
        <v>849</v>
      </c>
      <c r="B850" s="107">
        <f>YEAR(Table6[[#This Row],[Date]])+IF(MONTH(Table6[[#This Row],[Date]])&gt;=4,1,0)</f>
        <v>2026</v>
      </c>
      <c r="C850" s="105">
        <f>YEAR(Table6[[#This Row],[Date]])</f>
        <v>2025</v>
      </c>
      <c r="D850" s="105" t="s">
        <v>465</v>
      </c>
      <c r="E850" s="119">
        <f>Table6[[#This Row],[Date]]-DAY(Table6[[#This Row],[Date]])+1</f>
        <v>45809</v>
      </c>
      <c r="F850" s="118">
        <v>45831</v>
      </c>
      <c r="G850" s="105" t="s">
        <v>101</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466</v>
      </c>
      <c r="L850" s="39" t="str">
        <f>IFERROR(VLOOKUP(Table6[[#This Row],[Error Code]],'Basic Data'!$T:$U,2,0),"")</f>
        <v>Manual Stop - Safety Related</v>
      </c>
      <c r="M850" s="346" t="s">
        <v>467</v>
      </c>
      <c r="N850" s="39" t="s">
        <v>468</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469</v>
      </c>
      <c r="V850" s="351" t="s">
        <v>470</v>
      </c>
      <c r="W850" s="338">
        <f>Table6[[#This Row],[Breakdown Time]]*(1/39)</f>
        <v>0.61537749287749288</v>
      </c>
      <c r="X850" s="336" t="s">
        <v>486</v>
      </c>
      <c r="Y850" s="352" t="s">
        <v>102</v>
      </c>
      <c r="Z850" s="105">
        <v>29732</v>
      </c>
      <c r="AA850" s="107">
        <f>IFERROR((Table6[[#This Row],[Paired WTG Generation for loss calculation]]/24)*Table6[[#This Row],[Breakdown Time]],"")</f>
        <v>29731.65587962963</v>
      </c>
      <c r="AB850" s="105" t="s">
        <v>472</v>
      </c>
    </row>
    <row r="851" spans="1:28">
      <c r="A851" s="105">
        <f t="shared" si="13"/>
        <v>850</v>
      </c>
      <c r="B851" s="107">
        <f>YEAR(Table6[[#This Row],[Date]])+IF(MONTH(Table6[[#This Row],[Date]])&gt;=4,1,0)</f>
        <v>2026</v>
      </c>
      <c r="C851" s="105">
        <f>YEAR(Table6[[#This Row],[Date]])</f>
        <v>2025</v>
      </c>
      <c r="D851" s="105" t="s">
        <v>465</v>
      </c>
      <c r="E851" s="119">
        <f>Table6[[#This Row],[Date]]-DAY(Table6[[#This Row],[Date]])+1</f>
        <v>45809</v>
      </c>
      <c r="F851" s="118">
        <v>45831</v>
      </c>
      <c r="G851" s="105" t="s">
        <v>90</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466</v>
      </c>
      <c r="L851" s="39" t="str">
        <f>IFERROR(VLOOKUP(Table6[[#This Row],[Error Code]],'Basic Data'!$T:$U,2,0),"")</f>
        <v>Manual Stop - Safety Related</v>
      </c>
      <c r="M851" s="346" t="s">
        <v>473</v>
      </c>
      <c r="N851" s="39" t="s">
        <v>474</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650</v>
      </c>
      <c r="V851" s="351" t="s">
        <v>470</v>
      </c>
      <c r="W851" s="338">
        <f>Table6[[#This Row],[Breakdown Time]]*(1/39)</f>
        <v>0.61537749287749288</v>
      </c>
      <c r="X851" s="336" t="s">
        <v>477</v>
      </c>
      <c r="Y851" s="352" t="s">
        <v>89</v>
      </c>
      <c r="Z851" s="105">
        <v>30372</v>
      </c>
      <c r="AA851" s="107">
        <f>IFERROR((Table6[[#This Row],[Paired WTG Generation for loss calculation]]/24)*Table6[[#This Row],[Breakdown Time]],"")</f>
        <v>30371.648472222227</v>
      </c>
      <c r="AB851" s="105" t="s">
        <v>472</v>
      </c>
    </row>
    <row r="852" spans="1:28">
      <c r="A852" s="105">
        <f t="shared" si="13"/>
        <v>851</v>
      </c>
      <c r="B852" s="107">
        <f>YEAR(Table6[[#This Row],[Date]])+IF(MONTH(Table6[[#This Row],[Date]])&gt;=4,1,0)</f>
        <v>2026</v>
      </c>
      <c r="C852" s="105">
        <f>YEAR(Table6[[#This Row],[Date]])</f>
        <v>2025</v>
      </c>
      <c r="D852" s="105" t="s">
        <v>465</v>
      </c>
      <c r="E852" s="119">
        <f>Table6[[#This Row],[Date]]-DAY(Table6[[#This Row],[Date]])+1</f>
        <v>45809</v>
      </c>
      <c r="F852" s="118">
        <v>45831</v>
      </c>
      <c r="G852" s="105" t="s">
        <v>93</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467</v>
      </c>
      <c r="N852" s="39" t="s">
        <v>474</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681</v>
      </c>
      <c r="V852" s="351" t="s">
        <v>476</v>
      </c>
      <c r="W852" s="338">
        <f>Table6[[#This Row],[Breakdown Time]]*(1/39)</f>
        <v>5.6410256410256411E-2</v>
      </c>
      <c r="X852" s="336" t="s">
        <v>471</v>
      </c>
      <c r="Y852" s="352" t="s">
        <v>92</v>
      </c>
      <c r="Z852" s="105">
        <v>29932</v>
      </c>
      <c r="AA852" s="107">
        <f>IFERROR((Table6[[#This Row],[Paired WTG Generation for loss calculation]]/24)*Table6[[#This Row],[Breakdown Time]],"")</f>
        <v>2743.7666666666669</v>
      </c>
      <c r="AB852" s="105" t="s">
        <v>472</v>
      </c>
    </row>
    <row r="853" spans="1:28">
      <c r="A853" s="105">
        <f t="shared" si="13"/>
        <v>852</v>
      </c>
      <c r="B853" s="107">
        <f>YEAR(Table6[[#This Row],[Date]])+IF(MONTH(Table6[[#This Row],[Date]])&gt;=4,1,0)</f>
        <v>2026</v>
      </c>
      <c r="C853" s="105">
        <f>YEAR(Table6[[#This Row],[Date]])</f>
        <v>2025</v>
      </c>
      <c r="D853" s="105" t="s">
        <v>465</v>
      </c>
      <c r="E853" s="119">
        <f>Table6[[#This Row],[Date]]-DAY(Table6[[#This Row],[Date]])+1</f>
        <v>45809</v>
      </c>
      <c r="F853" s="118">
        <v>45831</v>
      </c>
      <c r="G853" s="105" t="s">
        <v>87</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473</v>
      </c>
      <c r="N853" s="39" t="s">
        <v>474</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475</v>
      </c>
      <c r="V853" s="351" t="s">
        <v>476</v>
      </c>
      <c r="W853" s="338">
        <f>Table6[[#This Row],[Breakdown Time]]*(1/39)</f>
        <v>4.2735042735043268E-3</v>
      </c>
      <c r="X853" s="336" t="s">
        <v>477</v>
      </c>
      <c r="Y853" s="352" t="s">
        <v>86</v>
      </c>
      <c r="Z853" s="105">
        <v>28151</v>
      </c>
      <c r="AA853" s="107">
        <f>IFERROR((Table6[[#This Row],[Paired WTG Generation for loss calculation]]/24)*Table6[[#This Row],[Breakdown Time]],"")</f>
        <v>195.49305555555799</v>
      </c>
      <c r="AB853" s="105" t="s">
        <v>472</v>
      </c>
    </row>
    <row r="854" spans="1:28">
      <c r="A854" s="105">
        <f t="shared" si="13"/>
        <v>853</v>
      </c>
      <c r="B854" s="107">
        <f>YEAR(Table6[[#This Row],[Date]])+IF(MONTH(Table6[[#This Row],[Date]])&gt;=4,1,0)</f>
        <v>2026</v>
      </c>
      <c r="C854" s="105">
        <f>YEAR(Table6[[#This Row],[Date]])</f>
        <v>2025</v>
      </c>
      <c r="D854" s="105" t="s">
        <v>465</v>
      </c>
      <c r="E854" s="119">
        <f>Table6[[#This Row],[Date]]-DAY(Table6[[#This Row],[Date]])+1</f>
        <v>45809</v>
      </c>
      <c r="F854" s="118">
        <v>45831</v>
      </c>
      <c r="G854" s="105" t="s">
        <v>85</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467</v>
      </c>
      <c r="N854" s="39" t="s">
        <v>474</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681</v>
      </c>
      <c r="V854" s="351" t="s">
        <v>476</v>
      </c>
      <c r="W854" s="338">
        <f>Table6[[#This Row],[Breakdown Time]]*(1/39)</f>
        <v>5.6410256410256411E-2</v>
      </c>
      <c r="X854" s="336" t="s">
        <v>471</v>
      </c>
      <c r="Y854" s="352" t="s">
        <v>86</v>
      </c>
      <c r="Z854" s="105">
        <v>28151</v>
      </c>
      <c r="AA854" s="107">
        <f>IFERROR((Table6[[#This Row],[Paired WTG Generation for loss calculation]]/24)*Table6[[#This Row],[Breakdown Time]],"")</f>
        <v>2580.5083333333332</v>
      </c>
      <c r="AB854" s="105" t="s">
        <v>472</v>
      </c>
    </row>
    <row r="855" spans="1:28">
      <c r="A855" s="105">
        <f t="shared" si="13"/>
        <v>854</v>
      </c>
      <c r="B855" s="107">
        <f>YEAR(Table6[[#This Row],[Date]])+IF(MONTH(Table6[[#This Row],[Date]])&gt;=4,1,0)</f>
        <v>2026</v>
      </c>
      <c r="C855" s="105">
        <f>YEAR(Table6[[#This Row],[Date]])</f>
        <v>2025</v>
      </c>
      <c r="D855" s="105" t="s">
        <v>465</v>
      </c>
      <c r="E855" s="119">
        <f>Table6[[#This Row],[Date]]-DAY(Table6[[#This Row],[Date]])+1</f>
        <v>45809</v>
      </c>
      <c r="F855" s="118">
        <v>45831</v>
      </c>
      <c r="G855" s="105" t="s">
        <v>93</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473</v>
      </c>
      <c r="N855" s="39" t="s">
        <v>474</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682</v>
      </c>
      <c r="V855" s="351" t="s">
        <v>476</v>
      </c>
      <c r="W855" s="338">
        <f>Table6[[#This Row],[Breakdown Time]]*(1/39)</f>
        <v>3.03418803418803E-2</v>
      </c>
      <c r="X855" s="336" t="s">
        <v>477</v>
      </c>
      <c r="Y855" s="352" t="s">
        <v>92</v>
      </c>
      <c r="Z855" s="105">
        <v>29932</v>
      </c>
      <c r="AA855" s="107">
        <f>IFERROR((Table6[[#This Row],[Paired WTG Generation for loss calculation]]/24)*Table6[[#This Row],[Breakdown Time]],"")</f>
        <v>1475.813888888887</v>
      </c>
      <c r="AB855" s="105" t="s">
        <v>472</v>
      </c>
    </row>
    <row r="856" spans="1:28">
      <c r="A856" s="105">
        <f t="shared" si="13"/>
        <v>855</v>
      </c>
      <c r="B856" s="107">
        <f>YEAR(Table6[[#This Row],[Date]])+IF(MONTH(Table6[[#This Row],[Date]])&gt;=4,1,0)</f>
        <v>2026</v>
      </c>
      <c r="C856" s="105">
        <f>YEAR(Table6[[#This Row],[Date]])</f>
        <v>2025</v>
      </c>
      <c r="D856" s="105" t="s">
        <v>465</v>
      </c>
      <c r="E856" s="119">
        <f>Table6[[#This Row],[Date]]-DAY(Table6[[#This Row],[Date]])+1</f>
        <v>45809</v>
      </c>
      <c r="F856" s="118">
        <v>45831</v>
      </c>
      <c r="G856" s="105" t="s">
        <v>78</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473</v>
      </c>
      <c r="N856" s="39" t="s">
        <v>474</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475</v>
      </c>
      <c r="V856" s="351" t="s">
        <v>476</v>
      </c>
      <c r="W856" s="338">
        <f>Table6[[#This Row],[Breakdown Time]]*(1/39)</f>
        <v>1.3675213675213694E-2</v>
      </c>
      <c r="X856" s="336" t="s">
        <v>477</v>
      </c>
      <c r="Y856" s="352" t="s">
        <v>95</v>
      </c>
      <c r="Z856" s="105">
        <v>30231</v>
      </c>
      <c r="AA856" s="107">
        <f>IFERROR((Table6[[#This Row],[Paired WTG Generation for loss calculation]]/24)*Table6[[#This Row],[Breakdown Time]],"")</f>
        <v>671.80000000000098</v>
      </c>
      <c r="AB856" s="105" t="s">
        <v>472</v>
      </c>
    </row>
    <row r="857" spans="1:28">
      <c r="A857" s="105">
        <f t="shared" si="13"/>
        <v>856</v>
      </c>
      <c r="B857" s="107">
        <f>YEAR(Table6[[#This Row],[Date]])+IF(MONTH(Table6[[#This Row],[Date]])&gt;=4,1,0)</f>
        <v>2026</v>
      </c>
      <c r="C857" s="105">
        <f>YEAR(Table6[[#This Row],[Date]])</f>
        <v>2025</v>
      </c>
      <c r="D857" s="105" t="s">
        <v>465</v>
      </c>
      <c r="E857" s="119">
        <f>Table6[[#This Row],[Date]]-DAY(Table6[[#This Row],[Date]])+1</f>
        <v>45809</v>
      </c>
      <c r="F857" s="118">
        <v>45831</v>
      </c>
      <c r="G857" s="105" t="s">
        <v>93</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473</v>
      </c>
      <c r="N857" s="39" t="s">
        <v>474</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475</v>
      </c>
      <c r="V857" s="351" t="s">
        <v>476</v>
      </c>
      <c r="W857" s="338">
        <f>Table6[[#This Row],[Breakdown Time]]*(1/39)</f>
        <v>1.2820512820512843E-2</v>
      </c>
      <c r="X857" s="336" t="s">
        <v>477</v>
      </c>
      <c r="Y857" s="352" t="s">
        <v>92</v>
      </c>
      <c r="Z857" s="105">
        <v>29932</v>
      </c>
      <c r="AA857" s="107">
        <f>IFERROR((Table6[[#This Row],[Paired WTG Generation for loss calculation]]/24)*Table6[[#This Row],[Breakdown Time]],"")</f>
        <v>623.58333333333451</v>
      </c>
      <c r="AB857" s="105" t="s">
        <v>472</v>
      </c>
    </row>
    <row r="858" spans="1:28">
      <c r="A858" s="105">
        <f t="shared" si="13"/>
        <v>857</v>
      </c>
      <c r="B858" s="107">
        <f>YEAR(Table6[[#This Row],[Date]])+IF(MONTH(Table6[[#This Row],[Date]])&gt;=4,1,0)</f>
        <v>2026</v>
      </c>
      <c r="C858" s="105">
        <f>YEAR(Table6[[#This Row],[Date]])</f>
        <v>2025</v>
      </c>
      <c r="D858" s="105" t="s">
        <v>465</v>
      </c>
      <c r="E858" s="119">
        <f>Table6[[#This Row],[Date]]-DAY(Table6[[#This Row],[Date]])+1</f>
        <v>45809</v>
      </c>
      <c r="F858" s="118">
        <v>45831</v>
      </c>
      <c r="G858" s="105" t="s">
        <v>85</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473</v>
      </c>
      <c r="N858" s="39" t="s">
        <v>474</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475</v>
      </c>
      <c r="V858" s="351" t="s">
        <v>476</v>
      </c>
      <c r="W858" s="338">
        <f>Table6[[#This Row],[Breakdown Time]]*(1/39)</f>
        <v>1.0683760683760713E-2</v>
      </c>
      <c r="X858" s="336" t="s">
        <v>477</v>
      </c>
      <c r="Y858" s="352" t="s">
        <v>86</v>
      </c>
      <c r="Z858" s="105">
        <v>28151</v>
      </c>
      <c r="AA858" s="107">
        <f>IFERROR((Table6[[#This Row],[Paired WTG Generation for loss calculation]]/24)*Table6[[#This Row],[Breakdown Time]],"")</f>
        <v>488.73263888889022</v>
      </c>
      <c r="AB858" s="105" t="s">
        <v>472</v>
      </c>
    </row>
    <row r="859" spans="1:28">
      <c r="A859" s="105">
        <f t="shared" si="13"/>
        <v>858</v>
      </c>
      <c r="B859" s="107">
        <f>YEAR(Table6[[#This Row],[Date]])+IF(MONTH(Table6[[#This Row],[Date]])&gt;=4,1,0)</f>
        <v>2026</v>
      </c>
      <c r="C859" s="105">
        <f>YEAR(Table6[[#This Row],[Date]])</f>
        <v>2025</v>
      </c>
      <c r="D859" s="105" t="s">
        <v>465</v>
      </c>
      <c r="E859" s="119">
        <f>Table6[[#This Row],[Date]]-DAY(Table6[[#This Row],[Date]])+1</f>
        <v>45809</v>
      </c>
      <c r="F859" s="118">
        <v>45832</v>
      </c>
      <c r="G859" s="105" t="s">
        <v>103</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466</v>
      </c>
      <c r="L859" s="39" t="str">
        <f>IFERROR(VLOOKUP(Table6[[#This Row],[Error Code]],'Basic Data'!$T:$U,2,0),"")</f>
        <v>Manual Stop - Safety Related</v>
      </c>
      <c r="M859" s="346" t="s">
        <v>467</v>
      </c>
      <c r="N859" s="39" t="s">
        <v>468</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469</v>
      </c>
      <c r="V859" s="351" t="s">
        <v>470</v>
      </c>
      <c r="W859" s="338">
        <f>Table6[[#This Row],[Breakdown Time]]*(1/39)</f>
        <v>0.61537749287749288</v>
      </c>
      <c r="X859" s="336" t="s">
        <v>471</v>
      </c>
      <c r="Y859" s="352" t="s">
        <v>102</v>
      </c>
      <c r="Z859" s="105">
        <v>29408</v>
      </c>
      <c r="AA859" s="107">
        <f>IFERROR((Table6[[#This Row],[Paired WTG Generation for loss calculation]]/24)*Table6[[#This Row],[Breakdown Time]],"")</f>
        <v>29407.65962962963</v>
      </c>
      <c r="AB859" s="105" t="s">
        <v>472</v>
      </c>
    </row>
    <row r="860" spans="1:28">
      <c r="A860" s="105">
        <f t="shared" si="13"/>
        <v>859</v>
      </c>
      <c r="B860" s="107">
        <f>YEAR(Table6[[#This Row],[Date]])+IF(MONTH(Table6[[#This Row],[Date]])&gt;=4,1,0)</f>
        <v>2026</v>
      </c>
      <c r="C860" s="105">
        <f>YEAR(Table6[[#This Row],[Date]])</f>
        <v>2025</v>
      </c>
      <c r="D860" s="105" t="s">
        <v>465</v>
      </c>
      <c r="E860" s="119">
        <f>Table6[[#This Row],[Date]]-DAY(Table6[[#This Row],[Date]])+1</f>
        <v>45809</v>
      </c>
      <c r="F860" s="118">
        <v>45832</v>
      </c>
      <c r="G860" s="105" t="s">
        <v>101</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466</v>
      </c>
      <c r="L860" s="39" t="str">
        <f>IFERROR(VLOOKUP(Table6[[#This Row],[Error Code]],'Basic Data'!$T:$U,2,0),"")</f>
        <v>Manual Stop - Safety Related</v>
      </c>
      <c r="M860" s="346" t="s">
        <v>467</v>
      </c>
      <c r="N860" s="39" t="s">
        <v>468</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469</v>
      </c>
      <c r="V860" s="351" t="s">
        <v>470</v>
      </c>
      <c r="W860" s="338">
        <f>Table6[[#This Row],[Breakdown Time]]*(1/39)</f>
        <v>0.61537749287749288</v>
      </c>
      <c r="X860" s="336" t="s">
        <v>471</v>
      </c>
      <c r="Y860" s="352" t="s">
        <v>102</v>
      </c>
      <c r="Z860" s="105">
        <v>29408</v>
      </c>
      <c r="AA860" s="107">
        <f>IFERROR((Table6[[#This Row],[Paired WTG Generation for loss calculation]]/24)*Table6[[#This Row],[Breakdown Time]],"")</f>
        <v>29407.65962962963</v>
      </c>
      <c r="AB860" s="105" t="s">
        <v>472</v>
      </c>
    </row>
    <row r="861" spans="1:28">
      <c r="A861" s="105">
        <f t="shared" si="13"/>
        <v>860</v>
      </c>
      <c r="B861" s="107">
        <f>YEAR(Table6[[#This Row],[Date]])+IF(MONTH(Table6[[#This Row],[Date]])&gt;=4,1,0)</f>
        <v>2026</v>
      </c>
      <c r="C861" s="105">
        <f>YEAR(Table6[[#This Row],[Date]])</f>
        <v>2025</v>
      </c>
      <c r="D861" s="105" t="s">
        <v>465</v>
      </c>
      <c r="E861" s="119">
        <f>Table6[[#This Row],[Date]]-DAY(Table6[[#This Row],[Date]])+1</f>
        <v>45809</v>
      </c>
      <c r="F861" s="118">
        <v>45832</v>
      </c>
      <c r="G861" s="105" t="s">
        <v>90</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466</v>
      </c>
      <c r="L861" s="39" t="str">
        <f>IFERROR(VLOOKUP(Table6[[#This Row],[Error Code]],'Basic Data'!$T:$U,2,0),"")</f>
        <v>Manual Stop - Safety Related</v>
      </c>
      <c r="M861" s="346" t="s">
        <v>473</v>
      </c>
      <c r="N861" s="39" t="s">
        <v>474</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650</v>
      </c>
      <c r="V861" s="351" t="s">
        <v>470</v>
      </c>
      <c r="W861" s="338">
        <f>Table6[[#This Row],[Breakdown Time]]*(1/39)</f>
        <v>0.61537749287749288</v>
      </c>
      <c r="X861" s="336" t="s">
        <v>477</v>
      </c>
      <c r="Y861" s="352" t="s">
        <v>89</v>
      </c>
      <c r="Z861" s="105">
        <v>29912</v>
      </c>
      <c r="AA861" s="107">
        <f>IFERROR((Table6[[#This Row],[Paired WTG Generation for loss calculation]]/24)*Table6[[#This Row],[Breakdown Time]],"")</f>
        <v>29911.653796296298</v>
      </c>
      <c r="AB861" s="105" t="s">
        <v>472</v>
      </c>
    </row>
    <row r="862" spans="1:28">
      <c r="A862" s="105">
        <f t="shared" si="13"/>
        <v>861</v>
      </c>
      <c r="B862" s="107">
        <f>YEAR(Table6[[#This Row],[Date]])+IF(MONTH(Table6[[#This Row],[Date]])&gt;=4,1,0)</f>
        <v>2026</v>
      </c>
      <c r="C862" s="105">
        <f>YEAR(Table6[[#This Row],[Date]])</f>
        <v>2025</v>
      </c>
      <c r="D862" s="105" t="s">
        <v>465</v>
      </c>
      <c r="E862" s="119">
        <f>Table6[[#This Row],[Date]]-DAY(Table6[[#This Row],[Date]])+1</f>
        <v>45809</v>
      </c>
      <c r="F862" s="118">
        <v>45832</v>
      </c>
      <c r="G862" s="105" t="s">
        <v>82</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473</v>
      </c>
      <c r="N862" s="39" t="s">
        <v>474</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683</v>
      </c>
      <c r="V862" s="351" t="s">
        <v>476</v>
      </c>
      <c r="W862" s="338">
        <f>Table6[[#This Row],[Breakdown Time]]*(1/39)</f>
        <v>8.4615384615384648E-2</v>
      </c>
      <c r="X862" s="336" t="s">
        <v>477</v>
      </c>
      <c r="Y862" s="352" t="s">
        <v>86</v>
      </c>
      <c r="Z862" s="105">
        <v>29109</v>
      </c>
      <c r="AA862" s="107">
        <f>IFERROR((Table6[[#This Row],[Paired WTG Generation for loss calculation]]/24)*Table6[[#This Row],[Breakdown Time]],"")</f>
        <v>4002.487500000002</v>
      </c>
      <c r="AB862" s="105" t="s">
        <v>472</v>
      </c>
    </row>
    <row r="863" spans="1:28">
      <c r="A863" s="105">
        <f t="shared" si="13"/>
        <v>862</v>
      </c>
      <c r="B863" s="107">
        <f>YEAR(Table6[[#This Row],[Date]])+IF(MONTH(Table6[[#This Row],[Date]])&gt;=4,1,0)</f>
        <v>2026</v>
      </c>
      <c r="C863" s="105">
        <f>YEAR(Table6[[#This Row],[Date]])</f>
        <v>2025</v>
      </c>
      <c r="D863" s="105" t="s">
        <v>465</v>
      </c>
      <c r="E863" s="119">
        <f>Table6[[#This Row],[Date]]-DAY(Table6[[#This Row],[Date]])+1</f>
        <v>45809</v>
      </c>
      <c r="F863" s="118">
        <v>45832</v>
      </c>
      <c r="G863" s="105" t="s">
        <v>85</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473</v>
      </c>
      <c r="N863" s="39" t="s">
        <v>474</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684</v>
      </c>
      <c r="V863" s="351" t="s">
        <v>476</v>
      </c>
      <c r="W863" s="338">
        <f>Table6[[#This Row],[Breakdown Time]]*(1/39)</f>
        <v>2.7350427350427319E-2</v>
      </c>
      <c r="X863" s="336" t="s">
        <v>477</v>
      </c>
      <c r="Y863" s="352" t="s">
        <v>86</v>
      </c>
      <c r="Z863" s="105">
        <v>29109</v>
      </c>
      <c r="AA863" s="107">
        <f>IFERROR((Table6[[#This Row],[Paired WTG Generation for loss calculation]]/24)*Table6[[#This Row],[Breakdown Time]],"")</f>
        <v>1293.733333333332</v>
      </c>
      <c r="AB863" s="105" t="s">
        <v>472</v>
      </c>
    </row>
    <row r="864" spans="1:28">
      <c r="A864" s="105">
        <f t="shared" si="13"/>
        <v>863</v>
      </c>
      <c r="B864" s="107">
        <f>YEAR(Table6[[#This Row],[Date]])+IF(MONTH(Table6[[#This Row],[Date]])&gt;=4,1,0)</f>
        <v>2026</v>
      </c>
      <c r="C864" s="105">
        <f>YEAR(Table6[[#This Row],[Date]])</f>
        <v>2025</v>
      </c>
      <c r="D864" s="105" t="s">
        <v>465</v>
      </c>
      <c r="E864" s="119">
        <f>Table6[[#This Row],[Date]]-DAY(Table6[[#This Row],[Date]])+1</f>
        <v>45809</v>
      </c>
      <c r="F864" s="118">
        <v>45833</v>
      </c>
      <c r="G864" s="105" t="s">
        <v>103</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466</v>
      </c>
      <c r="L864" s="39" t="str">
        <f>IFERROR(VLOOKUP(Table6[[#This Row],[Error Code]],'Basic Data'!$T:$U,2,0),"")</f>
        <v>Manual Stop - Safety Related</v>
      </c>
      <c r="M864" s="346" t="s">
        <v>467</v>
      </c>
      <c r="N864" s="39" t="s">
        <v>468</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469</v>
      </c>
      <c r="V864" s="351" t="s">
        <v>470</v>
      </c>
      <c r="W864" s="338">
        <f>Table6[[#This Row],[Breakdown Time]]*(1/39)</f>
        <v>0.61537749287749288</v>
      </c>
      <c r="X864" s="336" t="s">
        <v>471</v>
      </c>
      <c r="Y864" s="352" t="s">
        <v>102</v>
      </c>
      <c r="Z864" s="105">
        <v>18453</v>
      </c>
      <c r="AA864" s="107">
        <f>IFERROR((Table6[[#This Row],[Paired WTG Generation for loss calculation]]/24)*Table6[[#This Row],[Breakdown Time]],"")</f>
        <v>18452.786423611113</v>
      </c>
      <c r="AB864" s="105" t="s">
        <v>472</v>
      </c>
    </row>
    <row r="865" spans="1:28">
      <c r="A865" s="105">
        <f t="shared" si="13"/>
        <v>864</v>
      </c>
      <c r="B865" s="107">
        <f>YEAR(Table6[[#This Row],[Date]])+IF(MONTH(Table6[[#This Row],[Date]])&gt;=4,1,0)</f>
        <v>2026</v>
      </c>
      <c r="C865" s="105">
        <f>YEAR(Table6[[#This Row],[Date]])</f>
        <v>2025</v>
      </c>
      <c r="D865" s="105" t="s">
        <v>465</v>
      </c>
      <c r="E865" s="119">
        <f>Table6[[#This Row],[Date]]-DAY(Table6[[#This Row],[Date]])+1</f>
        <v>45809</v>
      </c>
      <c r="F865" s="118">
        <v>45833</v>
      </c>
      <c r="G865" s="105" t="s">
        <v>101</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466</v>
      </c>
      <c r="L865" s="39" t="str">
        <f>IFERROR(VLOOKUP(Table6[[#This Row],[Error Code]],'Basic Data'!$T:$U,2,0),"")</f>
        <v>Manual Stop - Safety Related</v>
      </c>
      <c r="M865" s="346" t="s">
        <v>467</v>
      </c>
      <c r="N865" s="39" t="s">
        <v>468</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469</v>
      </c>
      <c r="V865" s="351" t="s">
        <v>470</v>
      </c>
      <c r="W865" s="338">
        <f>Table6[[#This Row],[Breakdown Time]]*(1/39)</f>
        <v>0.61537749287749288</v>
      </c>
      <c r="X865" s="336" t="s">
        <v>471</v>
      </c>
      <c r="Y865" s="352" t="s">
        <v>102</v>
      </c>
      <c r="Z865" s="105">
        <v>18453</v>
      </c>
      <c r="AA865" s="107">
        <f>IFERROR((Table6[[#This Row],[Paired WTG Generation for loss calculation]]/24)*Table6[[#This Row],[Breakdown Time]],"")</f>
        <v>18452.786423611113</v>
      </c>
      <c r="AB865" s="105" t="s">
        <v>472</v>
      </c>
    </row>
    <row r="866" spans="1:28">
      <c r="A866" s="105">
        <f t="shared" si="13"/>
        <v>865</v>
      </c>
      <c r="B866" s="107">
        <f>YEAR(Table6[[#This Row],[Date]])+IF(MONTH(Table6[[#This Row],[Date]])&gt;=4,1,0)</f>
        <v>2026</v>
      </c>
      <c r="C866" s="105">
        <f>YEAR(Table6[[#This Row],[Date]])</f>
        <v>2025</v>
      </c>
      <c r="D866" s="105" t="s">
        <v>465</v>
      </c>
      <c r="E866" s="119">
        <f>Table6[[#This Row],[Date]]-DAY(Table6[[#This Row],[Date]])+1</f>
        <v>45809</v>
      </c>
      <c r="F866" s="118">
        <v>45833</v>
      </c>
      <c r="G866" s="105" t="s">
        <v>90</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466</v>
      </c>
      <c r="L866" s="39" t="str">
        <f>IFERROR(VLOOKUP(Table6[[#This Row],[Error Code]],'Basic Data'!$T:$U,2,0),"")</f>
        <v>Manual Stop - Safety Related</v>
      </c>
      <c r="M866" s="346" t="s">
        <v>473</v>
      </c>
      <c r="N866" s="39" t="s">
        <v>474</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650</v>
      </c>
      <c r="V866" s="351" t="s">
        <v>470</v>
      </c>
      <c r="W866" s="338">
        <f>Table6[[#This Row],[Breakdown Time]]*(1/39)</f>
        <v>0.61537749287749288</v>
      </c>
      <c r="X866" s="336" t="s">
        <v>477</v>
      </c>
      <c r="Y866" s="352" t="s">
        <v>91</v>
      </c>
      <c r="Z866" s="105">
        <v>18881</v>
      </c>
      <c r="AA866" s="107">
        <f>IFERROR((Table6[[#This Row],[Paired WTG Generation for loss calculation]]/24)*Table6[[#This Row],[Breakdown Time]],"")</f>
        <v>18880.781469907412</v>
      </c>
      <c r="AB866" s="105" t="s">
        <v>472</v>
      </c>
    </row>
    <row r="867" spans="1:28">
      <c r="A867" s="105">
        <f t="shared" si="13"/>
        <v>866</v>
      </c>
      <c r="B867" s="107">
        <f>YEAR(Table6[[#This Row],[Date]])+IF(MONTH(Table6[[#This Row],[Date]])&gt;=4,1,0)</f>
        <v>2026</v>
      </c>
      <c r="C867" s="105">
        <f>YEAR(Table6[[#This Row],[Date]])</f>
        <v>2025</v>
      </c>
      <c r="D867" s="105" t="s">
        <v>465</v>
      </c>
      <c r="E867" s="119">
        <f>Table6[[#This Row],[Date]]-DAY(Table6[[#This Row],[Date]])+1</f>
        <v>45809</v>
      </c>
      <c r="F867" s="118">
        <v>45833</v>
      </c>
      <c r="G867" s="105" t="s">
        <v>89</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526</v>
      </c>
      <c r="L867" s="39" t="str">
        <f>IFERROR(VLOOKUP(Table6[[#This Row],[Error Code]],'Basic Data'!$T:$U,2,0),"")</f>
        <v>Manual Stop</v>
      </c>
      <c r="M867" s="346" t="s">
        <v>499</v>
      </c>
      <c r="N867" s="39" t="s">
        <v>189</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685</v>
      </c>
      <c r="V867" s="351" t="s">
        <v>476</v>
      </c>
      <c r="W867" s="338">
        <f>Table6[[#This Row],[Breakdown Time]]*(1/39)</f>
        <v>3.162393162393165E-2</v>
      </c>
      <c r="X867" s="336" t="s">
        <v>501</v>
      </c>
      <c r="Y867" s="352" t="s">
        <v>91</v>
      </c>
      <c r="Z867" s="105">
        <v>18881</v>
      </c>
      <c r="AA867" s="107">
        <f>IFERROR((Table6[[#This Row],[Paired WTG Generation for loss calculation]]/24)*Table6[[#This Row],[Breakdown Time]],"")</f>
        <v>970.2736111111119</v>
      </c>
      <c r="AB867" s="105" t="s">
        <v>472</v>
      </c>
    </row>
    <row r="868" spans="1:28">
      <c r="A868" s="105">
        <f t="shared" si="13"/>
        <v>867</v>
      </c>
      <c r="B868" s="107">
        <f>YEAR(Table6[[#This Row],[Date]])+IF(MONTH(Table6[[#This Row],[Date]])&gt;=4,1,0)</f>
        <v>2026</v>
      </c>
      <c r="C868" s="105">
        <f>YEAR(Table6[[#This Row],[Date]])</f>
        <v>2025</v>
      </c>
      <c r="D868" s="105" t="s">
        <v>465</v>
      </c>
      <c r="E868" s="119">
        <f>Table6[[#This Row],[Date]]-DAY(Table6[[#This Row],[Date]])+1</f>
        <v>45809</v>
      </c>
      <c r="F868" s="118">
        <v>45833</v>
      </c>
      <c r="G868" s="105" t="s">
        <v>110</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473</v>
      </c>
      <c r="N868" s="39" t="s">
        <v>474</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652</v>
      </c>
      <c r="V868" s="351" t="s">
        <v>476</v>
      </c>
      <c r="W868" s="338">
        <f>Table6[[#This Row],[Breakdown Time]]*(1/39)</f>
        <v>4.7863247863247825E-2</v>
      </c>
      <c r="X868" s="336" t="s">
        <v>477</v>
      </c>
      <c r="Y868" s="352" t="s">
        <v>111</v>
      </c>
      <c r="Z868" s="105">
        <v>18432</v>
      </c>
      <c r="AA868" s="107">
        <f>IFERROR((Table6[[#This Row],[Paired WTG Generation for loss calculation]]/24)*Table6[[#This Row],[Breakdown Time]],"")</f>
        <v>1433.599999999999</v>
      </c>
      <c r="AB868" s="105" t="s">
        <v>472</v>
      </c>
    </row>
    <row r="869" spans="1:28">
      <c r="A869" s="105">
        <f t="shared" si="13"/>
        <v>868</v>
      </c>
      <c r="B869" s="107">
        <f>YEAR(Table6[[#This Row],[Date]])+IF(MONTH(Table6[[#This Row],[Date]])&gt;=4,1,0)</f>
        <v>2026</v>
      </c>
      <c r="C869" s="105">
        <f>YEAR(Table6[[#This Row],[Date]])</f>
        <v>2025</v>
      </c>
      <c r="D869" s="105" t="s">
        <v>465</v>
      </c>
      <c r="E869" s="119">
        <f>Table6[[#This Row],[Date]]-DAY(Table6[[#This Row],[Date]])+1</f>
        <v>45809</v>
      </c>
      <c r="F869" s="118">
        <v>45833</v>
      </c>
      <c r="G869" s="105" t="s">
        <v>75</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473</v>
      </c>
      <c r="N869" s="39" t="s">
        <v>474</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475</v>
      </c>
      <c r="V869" s="351" t="s">
        <v>476</v>
      </c>
      <c r="W869" s="338">
        <f>Table6[[#This Row],[Breakdown Time]]*(1/39)</f>
        <v>1.4529914529914546E-2</v>
      </c>
      <c r="X869" s="336" t="s">
        <v>477</v>
      </c>
      <c r="Y869" s="352" t="s">
        <v>77</v>
      </c>
      <c r="Z869" s="105">
        <v>17945</v>
      </c>
      <c r="AA869" s="107">
        <f>IFERROR((Table6[[#This Row],[Paired WTG Generation for loss calculation]]/24)*Table6[[#This Row],[Breakdown Time]],"")</f>
        <v>423.70138888888943</v>
      </c>
      <c r="AB869" s="105" t="s">
        <v>472</v>
      </c>
    </row>
    <row r="870" spans="1:28">
      <c r="A870" s="105">
        <f t="shared" si="13"/>
        <v>869</v>
      </c>
      <c r="B870" s="107">
        <f>YEAR(Table6[[#This Row],[Date]])+IF(MONTH(Table6[[#This Row],[Date]])&gt;=4,1,0)</f>
        <v>2026</v>
      </c>
      <c r="C870" s="105">
        <f>YEAR(Table6[[#This Row],[Date]])</f>
        <v>2025</v>
      </c>
      <c r="D870" s="105" t="s">
        <v>465</v>
      </c>
      <c r="E870" s="119">
        <f>Table6[[#This Row],[Date]]-DAY(Table6[[#This Row],[Date]])+1</f>
        <v>45809</v>
      </c>
      <c r="F870" s="118">
        <v>45834</v>
      </c>
      <c r="G870" s="105" t="s">
        <v>103</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466</v>
      </c>
      <c r="L870" s="39" t="str">
        <f>IFERROR(VLOOKUP(Table6[[#This Row],[Error Code]],'Basic Data'!$T:$U,2,0),"")</f>
        <v>Manual Stop - Safety Related</v>
      </c>
      <c r="M870" s="346" t="s">
        <v>467</v>
      </c>
      <c r="N870" s="39" t="s">
        <v>468</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469</v>
      </c>
      <c r="V870" s="351" t="s">
        <v>470</v>
      </c>
      <c r="W870" s="338">
        <f>Table6[[#This Row],[Breakdown Time]]*(1/39)</f>
        <v>0.61537749287749288</v>
      </c>
      <c r="X870" s="336" t="s">
        <v>471</v>
      </c>
      <c r="Y870" s="352" t="s">
        <v>102</v>
      </c>
      <c r="Z870" s="105">
        <v>10021</v>
      </c>
      <c r="AA870" s="107">
        <f>IFERROR((Table6[[#This Row],[Paired WTG Generation for loss calculation]]/24)*Table6[[#This Row],[Breakdown Time]],"")</f>
        <v>10020.884016203705</v>
      </c>
      <c r="AB870" s="105" t="s">
        <v>472</v>
      </c>
    </row>
    <row r="871" spans="1:28">
      <c r="A871" s="105">
        <f t="shared" si="13"/>
        <v>870</v>
      </c>
      <c r="B871" s="107">
        <f>YEAR(Table6[[#This Row],[Date]])+IF(MONTH(Table6[[#This Row],[Date]])&gt;=4,1,0)</f>
        <v>2026</v>
      </c>
      <c r="C871" s="105">
        <f>YEAR(Table6[[#This Row],[Date]])</f>
        <v>2025</v>
      </c>
      <c r="D871" s="105" t="s">
        <v>465</v>
      </c>
      <c r="E871" s="119">
        <f>Table6[[#This Row],[Date]]-DAY(Table6[[#This Row],[Date]])+1</f>
        <v>45809</v>
      </c>
      <c r="F871" s="118">
        <v>45834</v>
      </c>
      <c r="G871" s="105" t="s">
        <v>101</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466</v>
      </c>
      <c r="L871" s="39" t="str">
        <f>IFERROR(VLOOKUP(Table6[[#This Row],[Error Code]],'Basic Data'!$T:$U,2,0),"")</f>
        <v>Manual Stop - Safety Related</v>
      </c>
      <c r="M871" s="346" t="s">
        <v>467</v>
      </c>
      <c r="N871" s="39" t="s">
        <v>468</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469</v>
      </c>
      <c r="V871" s="351" t="s">
        <v>470</v>
      </c>
      <c r="W871" s="338">
        <f>Table6[[#This Row],[Breakdown Time]]*(1/39)</f>
        <v>0.61537749287749288</v>
      </c>
      <c r="X871" s="336" t="s">
        <v>471</v>
      </c>
      <c r="Y871" s="352" t="s">
        <v>102</v>
      </c>
      <c r="Z871" s="105">
        <v>10021</v>
      </c>
      <c r="AA871" s="107">
        <f>IFERROR((Table6[[#This Row],[Paired WTG Generation for loss calculation]]/24)*Table6[[#This Row],[Breakdown Time]],"")</f>
        <v>10020.884016203705</v>
      </c>
      <c r="AB871" s="105" t="s">
        <v>472</v>
      </c>
    </row>
    <row r="872" spans="1:28">
      <c r="A872" s="105">
        <f t="shared" si="13"/>
        <v>871</v>
      </c>
      <c r="B872" s="107">
        <f>YEAR(Table6[[#This Row],[Date]])+IF(MONTH(Table6[[#This Row],[Date]])&gt;=4,1,0)</f>
        <v>2026</v>
      </c>
      <c r="C872" s="105">
        <f>YEAR(Table6[[#This Row],[Date]])</f>
        <v>2025</v>
      </c>
      <c r="D872" s="105" t="s">
        <v>465</v>
      </c>
      <c r="E872" s="119">
        <f>Table6[[#This Row],[Date]]-DAY(Table6[[#This Row],[Date]])+1</f>
        <v>45809</v>
      </c>
      <c r="F872" s="118">
        <v>45834</v>
      </c>
      <c r="G872" s="105" t="s">
        <v>90</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466</v>
      </c>
      <c r="L872" s="39" t="str">
        <f>IFERROR(VLOOKUP(Table6[[#This Row],[Error Code]],'Basic Data'!$T:$U,2,0),"")</f>
        <v>Manual Stop - Safety Related</v>
      </c>
      <c r="M872" s="346" t="s">
        <v>473</v>
      </c>
      <c r="N872" s="39" t="s">
        <v>474</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650</v>
      </c>
      <c r="V872" s="351" t="s">
        <v>470</v>
      </c>
      <c r="W872" s="338">
        <f>Table6[[#This Row],[Breakdown Time]]*(1/39)</f>
        <v>0.61537749287749288</v>
      </c>
      <c r="X872" s="336" t="s">
        <v>477</v>
      </c>
      <c r="Y872" s="352" t="s">
        <v>91</v>
      </c>
      <c r="Z872" s="105">
        <v>10123</v>
      </c>
      <c r="AA872" s="107">
        <f>IFERROR((Table6[[#This Row],[Paired WTG Generation for loss calculation]]/24)*Table6[[#This Row],[Breakdown Time]],"")</f>
        <v>10122.88283564815</v>
      </c>
      <c r="AB872" s="105" t="s">
        <v>472</v>
      </c>
    </row>
    <row r="873" spans="1:28">
      <c r="A873" s="105">
        <f t="shared" si="13"/>
        <v>872</v>
      </c>
      <c r="B873" s="107">
        <f>YEAR(Table6[[#This Row],[Date]])+IF(MONTH(Table6[[#This Row],[Date]])&gt;=4,1,0)</f>
        <v>2026</v>
      </c>
      <c r="C873" s="105">
        <f>YEAR(Table6[[#This Row],[Date]])</f>
        <v>2025</v>
      </c>
      <c r="D873" s="105" t="s">
        <v>465</v>
      </c>
      <c r="E873" s="119">
        <f>Table6[[#This Row],[Date]]-DAY(Table6[[#This Row],[Date]])+1</f>
        <v>45809</v>
      </c>
      <c r="F873" s="118">
        <v>45834</v>
      </c>
      <c r="G873" s="105" t="s">
        <v>86</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526</v>
      </c>
      <c r="L873" s="39" t="str">
        <f>IFERROR(VLOOKUP(Table6[[#This Row],[Error Code]],'Basic Data'!$T:$U,2,0),"")</f>
        <v>Manual Stop</v>
      </c>
      <c r="M873" s="346" t="s">
        <v>499</v>
      </c>
      <c r="N873" s="39" t="s">
        <v>189</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686</v>
      </c>
      <c r="V873" s="351" t="s">
        <v>476</v>
      </c>
      <c r="W873" s="338">
        <f>Table6[[#This Row],[Breakdown Time]]*(1/39)</f>
        <v>0.10769230769230767</v>
      </c>
      <c r="X873" s="336" t="s">
        <v>501</v>
      </c>
      <c r="Y873" s="352" t="s">
        <v>85</v>
      </c>
      <c r="Z873" s="105">
        <v>10231</v>
      </c>
      <c r="AA873" s="107">
        <f>IFERROR((Table6[[#This Row],[Paired WTG Generation for loss calculation]]/24)*Table6[[#This Row],[Breakdown Time]],"")</f>
        <v>1790.4249999999997</v>
      </c>
      <c r="AB873" s="105" t="s">
        <v>472</v>
      </c>
    </row>
    <row r="874" spans="1:28">
      <c r="A874" s="105">
        <f t="shared" si="13"/>
        <v>873</v>
      </c>
      <c r="B874" s="107">
        <f>YEAR(Table6[[#This Row],[Date]])+IF(MONTH(Table6[[#This Row],[Date]])&gt;=4,1,0)</f>
        <v>2026</v>
      </c>
      <c r="C874" s="105">
        <f>YEAR(Table6[[#This Row],[Date]])</f>
        <v>2025</v>
      </c>
      <c r="D874" s="105" t="s">
        <v>465</v>
      </c>
      <c r="E874" s="119">
        <f>Table6[[#This Row],[Date]]-DAY(Table6[[#This Row],[Date]])+1</f>
        <v>45809</v>
      </c>
      <c r="F874" s="118">
        <v>45834</v>
      </c>
      <c r="G874" s="105" t="s">
        <v>75</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473</v>
      </c>
      <c r="N874" s="39" t="s">
        <v>474</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687</v>
      </c>
      <c r="V874" s="351" t="s">
        <v>476</v>
      </c>
      <c r="W874" s="338">
        <f>Table6[[#This Row],[Breakdown Time]]*(1/39)</f>
        <v>8.2051282051282023E-2</v>
      </c>
      <c r="X874" s="336" t="s">
        <v>477</v>
      </c>
      <c r="Y874" s="352" t="s">
        <v>77</v>
      </c>
      <c r="Z874" s="105">
        <v>10037</v>
      </c>
      <c r="AA874" s="107">
        <f>IFERROR((Table6[[#This Row],[Paired WTG Generation for loss calculation]]/24)*Table6[[#This Row],[Breakdown Time]],"")</f>
        <v>1338.2666666666662</v>
      </c>
      <c r="AB874" s="105" t="s">
        <v>472</v>
      </c>
    </row>
    <row r="875" spans="1:28">
      <c r="A875" s="105">
        <f t="shared" si="13"/>
        <v>874</v>
      </c>
      <c r="B875" s="107">
        <f>YEAR(Table6[[#This Row],[Date]])+IF(MONTH(Table6[[#This Row],[Date]])&gt;=4,1,0)</f>
        <v>2026</v>
      </c>
      <c r="C875" s="105">
        <f>YEAR(Table6[[#This Row],[Date]])</f>
        <v>2025</v>
      </c>
      <c r="D875" s="105" t="s">
        <v>465</v>
      </c>
      <c r="E875" s="119">
        <f>Table6[[#This Row],[Date]]-DAY(Table6[[#This Row],[Date]])+1</f>
        <v>45809</v>
      </c>
      <c r="F875" s="118">
        <v>45834</v>
      </c>
      <c r="G875" s="105" t="s">
        <v>76</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526</v>
      </c>
      <c r="L875" s="39" t="str">
        <f>IFERROR(VLOOKUP(Table6[[#This Row],[Error Code]],'Basic Data'!$T:$U,2,0),"")</f>
        <v>Manual Stop</v>
      </c>
      <c r="M875" s="346" t="s">
        <v>499</v>
      </c>
      <c r="N875" s="39" t="s">
        <v>189</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688</v>
      </c>
      <c r="V875" s="351" t="s">
        <v>476</v>
      </c>
      <c r="W875" s="338">
        <f>Table6[[#This Row],[Breakdown Time]]*(1/39)</f>
        <v>2.008547008547008E-2</v>
      </c>
      <c r="X875" s="336" t="s">
        <v>501</v>
      </c>
      <c r="Y875" s="352" t="s">
        <v>77</v>
      </c>
      <c r="Z875" s="105">
        <v>10037</v>
      </c>
      <c r="AA875" s="107">
        <f>IFERROR((Table6[[#This Row],[Paired WTG Generation for loss calculation]]/24)*Table6[[#This Row],[Breakdown Time]],"")</f>
        <v>327.59652777777774</v>
      </c>
      <c r="AB875" s="105" t="s">
        <v>472</v>
      </c>
    </row>
    <row r="876" spans="1:28">
      <c r="A876" s="105">
        <f t="shared" si="13"/>
        <v>875</v>
      </c>
      <c r="B876" s="107">
        <f>YEAR(Table6[[#This Row],[Date]])+IF(MONTH(Table6[[#This Row],[Date]])&gt;=4,1,0)</f>
        <v>2026</v>
      </c>
      <c r="C876" s="105">
        <f>YEAR(Table6[[#This Row],[Date]])</f>
        <v>2025</v>
      </c>
      <c r="D876" s="105" t="s">
        <v>465</v>
      </c>
      <c r="E876" s="119">
        <f>Table6[[#This Row],[Date]]-DAY(Table6[[#This Row],[Date]])+1</f>
        <v>45809</v>
      </c>
      <c r="F876" s="118">
        <v>45834</v>
      </c>
      <c r="G876" s="105" t="s">
        <v>109</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473</v>
      </c>
      <c r="N876" s="39" t="s">
        <v>474</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689</v>
      </c>
      <c r="V876" s="351" t="s">
        <v>476</v>
      </c>
      <c r="W876" s="338">
        <f>Table6[[#This Row],[Breakdown Time]]*(1/39)</f>
        <v>5.2136752136752083E-2</v>
      </c>
      <c r="X876" s="336" t="s">
        <v>477</v>
      </c>
      <c r="Y876" s="352" t="s">
        <v>108</v>
      </c>
      <c r="Z876" s="105">
        <v>10493</v>
      </c>
      <c r="AA876" s="107">
        <f>IFERROR((Table6[[#This Row],[Paired WTG Generation for loss calculation]]/24)*Table6[[#This Row],[Breakdown Time]],"")</f>
        <v>888.9902777777769</v>
      </c>
      <c r="AB876" s="105" t="s">
        <v>472</v>
      </c>
    </row>
    <row r="877" spans="1:28">
      <c r="A877" s="105">
        <f t="shared" si="13"/>
        <v>876</v>
      </c>
      <c r="B877" s="107">
        <f>YEAR(Table6[[#This Row],[Date]])+IF(MONTH(Table6[[#This Row],[Date]])&gt;=4,1,0)</f>
        <v>2026</v>
      </c>
      <c r="C877" s="105">
        <f>YEAR(Table6[[#This Row],[Date]])</f>
        <v>2025</v>
      </c>
      <c r="D877" s="105" t="s">
        <v>465</v>
      </c>
      <c r="E877" s="119">
        <f>Table6[[#This Row],[Date]]-DAY(Table6[[#This Row],[Date]])+1</f>
        <v>45809</v>
      </c>
      <c r="F877" s="118">
        <v>45834</v>
      </c>
      <c r="G877" s="105" t="s">
        <v>100</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473</v>
      </c>
      <c r="N877" s="39" t="s">
        <v>474</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690</v>
      </c>
      <c r="V877" s="351" t="s">
        <v>476</v>
      </c>
      <c r="W877" s="338">
        <f>Table6[[#This Row],[Breakdown Time]]*(1/39)</f>
        <v>9.8290598290598274E-2</v>
      </c>
      <c r="X877" s="336" t="s">
        <v>477</v>
      </c>
      <c r="Y877" s="352" t="s">
        <v>102</v>
      </c>
      <c r="Z877" s="105">
        <v>10021</v>
      </c>
      <c r="AA877" s="107">
        <f>IFERROR((Table6[[#This Row],[Paired WTG Generation for loss calculation]]/24)*Table6[[#This Row],[Breakdown Time]],"")</f>
        <v>1600.5763888888889</v>
      </c>
      <c r="AB877" s="105" t="s">
        <v>472</v>
      </c>
    </row>
    <row r="878" spans="1:28">
      <c r="A878" s="105">
        <f t="shared" si="13"/>
        <v>877</v>
      </c>
      <c r="B878" s="107">
        <f>YEAR(Table6[[#This Row],[Date]])+IF(MONTH(Table6[[#This Row],[Date]])&gt;=4,1,0)</f>
        <v>2026</v>
      </c>
      <c r="C878" s="105">
        <f>YEAR(Table6[[#This Row],[Date]])</f>
        <v>2025</v>
      </c>
      <c r="D878" s="105" t="s">
        <v>465</v>
      </c>
      <c r="E878" s="119">
        <f>Table6[[#This Row],[Date]]-DAY(Table6[[#This Row],[Date]])+1</f>
        <v>45809</v>
      </c>
      <c r="F878" s="118">
        <v>45834</v>
      </c>
      <c r="G878" s="105" t="s">
        <v>76</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618</v>
      </c>
      <c r="L878" s="39" t="str">
        <f>IFERROR(VLOOKUP(Table6[[#This Row],[Error Code]],'Basic Data'!$T:$U,2,0),"")</f>
        <v>Manual Stop - Audit</v>
      </c>
      <c r="M878" s="346" t="s">
        <v>576</v>
      </c>
      <c r="N878" s="39" t="s">
        <v>189</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691</v>
      </c>
      <c r="V878" s="351" t="s">
        <v>476</v>
      </c>
      <c r="W878" s="338">
        <f>Table6[[#This Row],[Breakdown Time]]*(1/39)</f>
        <v>1.9230769230769232E-2</v>
      </c>
      <c r="X878" s="336" t="s">
        <v>501</v>
      </c>
      <c r="Y878" s="352" t="s">
        <v>77</v>
      </c>
      <c r="Z878" s="105">
        <v>10037</v>
      </c>
      <c r="AA878" s="107">
        <f>IFERROR((Table6[[#This Row],[Paired WTG Generation for loss calculation]]/24)*Table6[[#This Row],[Breakdown Time]],"")</f>
        <v>313.65625</v>
      </c>
      <c r="AB878" s="105" t="s">
        <v>472</v>
      </c>
    </row>
    <row r="879" spans="1:28">
      <c r="A879" s="105">
        <f t="shared" si="13"/>
        <v>878</v>
      </c>
      <c r="B879" s="107">
        <f>YEAR(Table6[[#This Row],[Date]])+IF(MONTH(Table6[[#This Row],[Date]])&gt;=4,1,0)</f>
        <v>2026</v>
      </c>
      <c r="C879" s="105">
        <f>YEAR(Table6[[#This Row],[Date]])</f>
        <v>2025</v>
      </c>
      <c r="D879" s="105" t="s">
        <v>465</v>
      </c>
      <c r="E879" s="119">
        <f>Table6[[#This Row],[Date]]-DAY(Table6[[#This Row],[Date]])+1</f>
        <v>45809</v>
      </c>
      <c r="F879" s="118">
        <v>45835</v>
      </c>
      <c r="G879" s="105" t="s">
        <v>103</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466</v>
      </c>
      <c r="L879" s="39" t="str">
        <f>IFERROR(VLOOKUP(Table6[[#This Row],[Error Code]],'Basic Data'!$T:$U,2,0),"")</f>
        <v>Manual Stop - Safety Related</v>
      </c>
      <c r="M879" s="346" t="s">
        <v>467</v>
      </c>
      <c r="N879" s="39" t="s">
        <v>468</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469</v>
      </c>
      <c r="V879" s="351" t="s">
        <v>470</v>
      </c>
      <c r="W879" s="338">
        <f>Table6[[#This Row],[Breakdown Time]]*(1/39)</f>
        <v>0.61537749287749288</v>
      </c>
      <c r="X879" s="336" t="s">
        <v>471</v>
      </c>
      <c r="Y879" s="352" t="s">
        <v>102</v>
      </c>
      <c r="Z879" s="105">
        <v>16041</v>
      </c>
      <c r="AA879" s="107">
        <f>IFERROR((Table6[[#This Row],[Paired WTG Generation for loss calculation]]/24)*Table6[[#This Row],[Breakdown Time]],"")</f>
        <v>16040.814340277779</v>
      </c>
      <c r="AB879" s="105" t="s">
        <v>472</v>
      </c>
    </row>
    <row r="880" spans="1:28">
      <c r="A880" s="105">
        <f t="shared" si="13"/>
        <v>879</v>
      </c>
      <c r="B880" s="107">
        <f>YEAR(Table6[[#This Row],[Date]])+IF(MONTH(Table6[[#This Row],[Date]])&gt;=4,1,0)</f>
        <v>2026</v>
      </c>
      <c r="C880" s="105">
        <f>YEAR(Table6[[#This Row],[Date]])</f>
        <v>2025</v>
      </c>
      <c r="D880" s="105" t="s">
        <v>465</v>
      </c>
      <c r="E880" s="119">
        <f>Table6[[#This Row],[Date]]-DAY(Table6[[#This Row],[Date]])+1</f>
        <v>45809</v>
      </c>
      <c r="F880" s="118">
        <v>45835</v>
      </c>
      <c r="G880" s="105" t="s">
        <v>101</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466</v>
      </c>
      <c r="L880" s="39" t="str">
        <f>IFERROR(VLOOKUP(Table6[[#This Row],[Error Code]],'Basic Data'!$T:$U,2,0),"")</f>
        <v>Manual Stop - Safety Related</v>
      </c>
      <c r="M880" s="346" t="s">
        <v>467</v>
      </c>
      <c r="N880" s="39" t="s">
        <v>468</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469</v>
      </c>
      <c r="V880" s="351" t="s">
        <v>470</v>
      </c>
      <c r="W880" s="338">
        <f>Table6[[#This Row],[Breakdown Time]]*(1/39)</f>
        <v>0.61537749287749288</v>
      </c>
      <c r="X880" s="336" t="s">
        <v>471</v>
      </c>
      <c r="Y880" s="352" t="s">
        <v>102</v>
      </c>
      <c r="Z880" s="105">
        <v>16041</v>
      </c>
      <c r="AA880" s="107">
        <f>IFERROR((Table6[[#This Row],[Paired WTG Generation for loss calculation]]/24)*Table6[[#This Row],[Breakdown Time]],"")</f>
        <v>16040.814340277779</v>
      </c>
      <c r="AB880" s="105" t="s">
        <v>472</v>
      </c>
    </row>
    <row r="881" spans="1:28">
      <c r="A881" s="105">
        <f t="shared" si="13"/>
        <v>880</v>
      </c>
      <c r="B881" s="107">
        <f>YEAR(Table6[[#This Row],[Date]])+IF(MONTH(Table6[[#This Row],[Date]])&gt;=4,1,0)</f>
        <v>2026</v>
      </c>
      <c r="C881" s="105">
        <f>YEAR(Table6[[#This Row],[Date]])</f>
        <v>2025</v>
      </c>
      <c r="D881" s="105" t="s">
        <v>465</v>
      </c>
      <c r="E881" s="119">
        <f>Table6[[#This Row],[Date]]-DAY(Table6[[#This Row],[Date]])+1</f>
        <v>45809</v>
      </c>
      <c r="F881" s="118">
        <v>45835</v>
      </c>
      <c r="G881" s="105" t="s">
        <v>90</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466</v>
      </c>
      <c r="L881" s="39" t="str">
        <f>IFERROR(VLOOKUP(Table6[[#This Row],[Error Code]],'Basic Data'!$T:$U,2,0),"")</f>
        <v>Manual Stop - Safety Related</v>
      </c>
      <c r="M881" s="346" t="s">
        <v>473</v>
      </c>
      <c r="N881" s="39" t="s">
        <v>474</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650</v>
      </c>
      <c r="V881" s="351" t="s">
        <v>470</v>
      </c>
      <c r="W881" s="338">
        <f>Table6[[#This Row],[Breakdown Time]]*(1/39)</f>
        <v>0.61537749287749288</v>
      </c>
      <c r="X881" s="336" t="s">
        <v>477</v>
      </c>
      <c r="Y881" s="352" t="s">
        <v>91</v>
      </c>
      <c r="Z881" s="105">
        <v>16043</v>
      </c>
      <c r="AA881" s="107">
        <f>IFERROR((Table6[[#This Row],[Paired WTG Generation for loss calculation]]/24)*Table6[[#This Row],[Breakdown Time]],"")</f>
        <v>16042.814317129632</v>
      </c>
      <c r="AB881" s="105" t="s">
        <v>472</v>
      </c>
    </row>
    <row r="882" spans="1:28">
      <c r="A882" s="105">
        <f t="shared" si="13"/>
        <v>881</v>
      </c>
      <c r="B882" s="107">
        <f>YEAR(Table6[[#This Row],[Date]])+IF(MONTH(Table6[[#This Row],[Date]])&gt;=4,1,0)</f>
        <v>2026</v>
      </c>
      <c r="C882" s="105">
        <f>YEAR(Table6[[#This Row],[Date]])</f>
        <v>2025</v>
      </c>
      <c r="D882" s="105" t="s">
        <v>465</v>
      </c>
      <c r="E882" s="119">
        <f>Table6[[#This Row],[Date]]-DAY(Table6[[#This Row],[Date]])+1</f>
        <v>45809</v>
      </c>
      <c r="F882" s="118">
        <v>45835</v>
      </c>
      <c r="G882" s="105" t="s">
        <v>74</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473</v>
      </c>
      <c r="N882" s="39" t="s">
        <v>474</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692</v>
      </c>
      <c r="V882" s="351" t="s">
        <v>476</v>
      </c>
      <c r="W882" s="338">
        <f>Table6[[#This Row],[Breakdown Time]]*(1/39)</f>
        <v>3.8888888888888855E-2</v>
      </c>
      <c r="X882" s="336" t="s">
        <v>477</v>
      </c>
      <c r="Y882" s="352" t="s">
        <v>80</v>
      </c>
      <c r="Z882" s="105">
        <v>16015</v>
      </c>
      <c r="AA882" s="107">
        <f>IFERROR((Table6[[#This Row],[Paired WTG Generation for loss calculation]]/24)*Table6[[#This Row],[Breakdown Time]],"")</f>
        <v>1012.0590277777768</v>
      </c>
      <c r="AB882" s="105" t="s">
        <v>472</v>
      </c>
    </row>
    <row r="883" spans="1:28">
      <c r="A883" s="105">
        <f t="shared" si="13"/>
        <v>882</v>
      </c>
      <c r="B883" s="107">
        <f>YEAR(Table6[[#This Row],[Date]])+IF(MONTH(Table6[[#This Row],[Date]])&gt;=4,1,0)</f>
        <v>2026</v>
      </c>
      <c r="C883" s="105">
        <f>YEAR(Table6[[#This Row],[Date]])</f>
        <v>2025</v>
      </c>
      <c r="D883" s="105" t="s">
        <v>465</v>
      </c>
      <c r="E883" s="119">
        <f>Table6[[#This Row],[Date]]-DAY(Table6[[#This Row],[Date]])+1</f>
        <v>45809</v>
      </c>
      <c r="F883" s="118">
        <v>45835</v>
      </c>
      <c r="G883" s="105" t="s">
        <v>100</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473</v>
      </c>
      <c r="N883" s="39" t="s">
        <v>474</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693</v>
      </c>
      <c r="V883" s="351" t="s">
        <v>476</v>
      </c>
      <c r="W883" s="338">
        <f>Table6[[#This Row],[Breakdown Time]]*(1/39)</f>
        <v>0.30128205128205127</v>
      </c>
      <c r="X883" s="336" t="s">
        <v>477</v>
      </c>
      <c r="Y883" s="352" t="s">
        <v>102</v>
      </c>
      <c r="Z883" s="105">
        <v>16041</v>
      </c>
      <c r="AA883" s="107">
        <f>IFERROR((Table6[[#This Row],[Paired WTG Generation for loss calculation]]/24)*Table6[[#This Row],[Breakdown Time]],"")</f>
        <v>7853.40625</v>
      </c>
      <c r="AB883" s="105" t="s">
        <v>472</v>
      </c>
    </row>
    <row r="884" spans="1:28">
      <c r="A884" s="105">
        <f t="shared" si="13"/>
        <v>883</v>
      </c>
      <c r="B884" s="107">
        <f>YEAR(Table6[[#This Row],[Date]])+IF(MONTH(Table6[[#This Row],[Date]])&gt;=4,1,0)</f>
        <v>2026</v>
      </c>
      <c r="C884" s="105">
        <f>YEAR(Table6[[#This Row],[Date]])</f>
        <v>2025</v>
      </c>
      <c r="D884" s="105" t="s">
        <v>465</v>
      </c>
      <c r="E884" s="119">
        <f>Table6[[#This Row],[Date]]-DAY(Table6[[#This Row],[Date]])+1</f>
        <v>45809</v>
      </c>
      <c r="F884" s="118">
        <v>45836</v>
      </c>
      <c r="G884" s="105" t="s">
        <v>103</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466</v>
      </c>
      <c r="L884" s="39" t="str">
        <f>IFERROR(VLOOKUP(Table6[[#This Row],[Error Code]],'Basic Data'!$T:$U,2,0),"")</f>
        <v>Manual Stop - Safety Related</v>
      </c>
      <c r="M884" s="346" t="s">
        <v>467</v>
      </c>
      <c r="N884" s="39" t="s">
        <v>468</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469</v>
      </c>
      <c r="V884" s="351" t="s">
        <v>470</v>
      </c>
      <c r="W884" s="338">
        <f>Table6[[#This Row],[Breakdown Time]]*(1/39)</f>
        <v>0.61537749287749288</v>
      </c>
      <c r="X884" s="336" t="s">
        <v>471</v>
      </c>
      <c r="Y884" s="352" t="s">
        <v>102</v>
      </c>
      <c r="Z884" s="105">
        <v>23418</v>
      </c>
      <c r="AA884" s="107">
        <f>IFERROR((Table6[[#This Row],[Paired WTG Generation for loss calculation]]/24)*Table6[[#This Row],[Breakdown Time]],"")</f>
        <v>23417.728958333337</v>
      </c>
      <c r="AB884" s="105" t="s">
        <v>472</v>
      </c>
    </row>
    <row r="885" spans="1:28">
      <c r="A885" s="105">
        <f t="shared" si="13"/>
        <v>884</v>
      </c>
      <c r="B885" s="107">
        <f>YEAR(Table6[[#This Row],[Date]])+IF(MONTH(Table6[[#This Row],[Date]])&gt;=4,1,0)</f>
        <v>2026</v>
      </c>
      <c r="C885" s="105">
        <f>YEAR(Table6[[#This Row],[Date]])</f>
        <v>2025</v>
      </c>
      <c r="D885" s="105" t="s">
        <v>465</v>
      </c>
      <c r="E885" s="119">
        <f>Table6[[#This Row],[Date]]-DAY(Table6[[#This Row],[Date]])+1</f>
        <v>45809</v>
      </c>
      <c r="F885" s="118">
        <v>45836</v>
      </c>
      <c r="G885" s="105" t="s">
        <v>101</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466</v>
      </c>
      <c r="L885" s="39" t="str">
        <f>IFERROR(VLOOKUP(Table6[[#This Row],[Error Code]],'Basic Data'!$T:$U,2,0),"")</f>
        <v>Manual Stop - Safety Related</v>
      </c>
      <c r="M885" s="346" t="s">
        <v>467</v>
      </c>
      <c r="N885" s="39" t="s">
        <v>468</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469</v>
      </c>
      <c r="V885" s="351" t="s">
        <v>470</v>
      </c>
      <c r="W885" s="338">
        <f>Table6[[#This Row],[Breakdown Time]]*(1/39)</f>
        <v>0.61537749287749288</v>
      </c>
      <c r="X885" s="336" t="s">
        <v>471</v>
      </c>
      <c r="Y885" s="352" t="s">
        <v>102</v>
      </c>
      <c r="Z885" s="105">
        <v>23418</v>
      </c>
      <c r="AA885" s="107">
        <f>IFERROR((Table6[[#This Row],[Paired WTG Generation for loss calculation]]/24)*Table6[[#This Row],[Breakdown Time]],"")</f>
        <v>23417.728958333337</v>
      </c>
      <c r="AB885" s="105" t="s">
        <v>472</v>
      </c>
    </row>
    <row r="886" spans="1:28">
      <c r="A886" s="105">
        <f t="shared" si="13"/>
        <v>885</v>
      </c>
      <c r="B886" s="107">
        <f>YEAR(Table6[[#This Row],[Date]])+IF(MONTH(Table6[[#This Row],[Date]])&gt;=4,1,0)</f>
        <v>2026</v>
      </c>
      <c r="C886" s="105">
        <f>YEAR(Table6[[#This Row],[Date]])</f>
        <v>2025</v>
      </c>
      <c r="D886" s="105" t="s">
        <v>465</v>
      </c>
      <c r="E886" s="119">
        <f>Table6[[#This Row],[Date]]-DAY(Table6[[#This Row],[Date]])+1</f>
        <v>45809</v>
      </c>
      <c r="F886" s="118">
        <v>45836</v>
      </c>
      <c r="G886" s="105" t="s">
        <v>90</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466</v>
      </c>
      <c r="L886" s="39" t="str">
        <f>IFERROR(VLOOKUP(Table6[[#This Row],[Error Code]],'Basic Data'!$T:$U,2,0),"")</f>
        <v>Manual Stop - Safety Related</v>
      </c>
      <c r="M886" s="346" t="s">
        <v>473</v>
      </c>
      <c r="N886" s="39" t="s">
        <v>474</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650</v>
      </c>
      <c r="V886" s="351" t="s">
        <v>470</v>
      </c>
      <c r="W886" s="338">
        <f>Table6[[#This Row],[Breakdown Time]]*(1/39)</f>
        <v>0.61537749287749288</v>
      </c>
      <c r="X886" s="336" t="s">
        <v>477</v>
      </c>
      <c r="Y886" s="352" t="s">
        <v>91</v>
      </c>
      <c r="Z886" s="105">
        <v>23109</v>
      </c>
      <c r="AA886" s="107">
        <f>IFERROR((Table6[[#This Row],[Paired WTG Generation for loss calculation]]/24)*Table6[[#This Row],[Breakdown Time]],"")</f>
        <v>23108.732534722225</v>
      </c>
      <c r="AB886" s="105" t="s">
        <v>472</v>
      </c>
    </row>
    <row r="887" spans="1:28">
      <c r="A887" s="105">
        <f t="shared" si="13"/>
        <v>886</v>
      </c>
      <c r="B887" s="107">
        <f>YEAR(Table6[[#This Row],[Date]])+IF(MONTH(Table6[[#This Row],[Date]])&gt;=4,1,0)</f>
        <v>2026</v>
      </c>
      <c r="C887" s="105">
        <f>YEAR(Table6[[#This Row],[Date]])</f>
        <v>2025</v>
      </c>
      <c r="D887" s="105" t="s">
        <v>465</v>
      </c>
      <c r="E887" s="119">
        <f>Table6[[#This Row],[Date]]-DAY(Table6[[#This Row],[Date]])+1</f>
        <v>45809</v>
      </c>
      <c r="F887" s="118">
        <v>45836</v>
      </c>
      <c r="G887" s="105" t="s">
        <v>75</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473</v>
      </c>
      <c r="N887" s="39" t="s">
        <v>474</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694</v>
      </c>
      <c r="V887" s="351" t="s">
        <v>476</v>
      </c>
      <c r="W887" s="338">
        <f>Table6[[#This Row],[Breakdown Time]]*(1/39)</f>
        <v>0.14316239316239313</v>
      </c>
      <c r="X887" s="336" t="s">
        <v>477</v>
      </c>
      <c r="Y887" s="352" t="s">
        <v>77</v>
      </c>
      <c r="Z887" s="105">
        <v>23335</v>
      </c>
      <c r="AA887" s="107">
        <f>IFERROR((Table6[[#This Row],[Paired WTG Generation for loss calculation]]/24)*Table6[[#This Row],[Breakdown Time]],"")</f>
        <v>5428.6284722222208</v>
      </c>
      <c r="AB887" s="105" t="s">
        <v>472</v>
      </c>
    </row>
    <row r="888" spans="1:28">
      <c r="A888" s="105">
        <f t="shared" si="13"/>
        <v>887</v>
      </c>
      <c r="B888" s="107">
        <f>YEAR(Table6[[#This Row],[Date]])+IF(MONTH(Table6[[#This Row],[Date]])&gt;=4,1,0)</f>
        <v>2026</v>
      </c>
      <c r="C888" s="105">
        <f>YEAR(Table6[[#This Row],[Date]])</f>
        <v>2025</v>
      </c>
      <c r="D888" s="105" t="s">
        <v>465</v>
      </c>
      <c r="E888" s="119">
        <f>Table6[[#This Row],[Date]]-DAY(Table6[[#This Row],[Date]])+1</f>
        <v>45809</v>
      </c>
      <c r="F888" s="118">
        <v>45836</v>
      </c>
      <c r="G888" s="105" t="s">
        <v>85</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473</v>
      </c>
      <c r="N888" s="39" t="s">
        <v>474</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695</v>
      </c>
      <c r="V888" s="351" t="s">
        <v>476</v>
      </c>
      <c r="W888" s="338">
        <f>Table6[[#This Row],[Breakdown Time]]*(1/39)</f>
        <v>9.4017094017094016E-2</v>
      </c>
      <c r="X888" s="336" t="s">
        <v>477</v>
      </c>
      <c r="Y888" s="352" t="s">
        <v>86</v>
      </c>
      <c r="Z888" s="105">
        <v>23421</v>
      </c>
      <c r="AA888" s="107">
        <f>IFERROR((Table6[[#This Row],[Paired WTG Generation for loss calculation]]/24)*Table6[[#This Row],[Breakdown Time]],"")</f>
        <v>3578.2083333333335</v>
      </c>
      <c r="AB888" s="105" t="s">
        <v>472</v>
      </c>
    </row>
    <row r="889" spans="1:28">
      <c r="A889" s="105">
        <f t="shared" si="13"/>
        <v>888</v>
      </c>
      <c r="B889" s="107">
        <f>YEAR(Table6[[#This Row],[Date]])+IF(MONTH(Table6[[#This Row],[Date]])&gt;=4,1,0)</f>
        <v>2026</v>
      </c>
      <c r="C889" s="105">
        <f>YEAR(Table6[[#This Row],[Date]])</f>
        <v>2025</v>
      </c>
      <c r="D889" s="105" t="s">
        <v>465</v>
      </c>
      <c r="E889" s="119">
        <f>Table6[[#This Row],[Date]]-DAY(Table6[[#This Row],[Date]])+1</f>
        <v>45809</v>
      </c>
      <c r="F889" s="118">
        <v>45836</v>
      </c>
      <c r="G889" s="105" t="s">
        <v>82</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473</v>
      </c>
      <c r="N889" s="39" t="s">
        <v>474</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696</v>
      </c>
      <c r="V889" s="351" t="s">
        <v>476</v>
      </c>
      <c r="W889" s="338">
        <f>Table6[[#This Row],[Breakdown Time]]*(1/39)</f>
        <v>7.2649572649572669E-2</v>
      </c>
      <c r="X889" s="336" t="s">
        <v>477</v>
      </c>
      <c r="Y889" s="352" t="s">
        <v>86</v>
      </c>
      <c r="Z889" s="105">
        <v>23421</v>
      </c>
      <c r="AA889" s="107">
        <f>IFERROR((Table6[[#This Row],[Paired WTG Generation for loss calculation]]/24)*Table6[[#This Row],[Breakdown Time]],"")</f>
        <v>2764.9791666666674</v>
      </c>
      <c r="AB889" s="105" t="s">
        <v>472</v>
      </c>
    </row>
    <row r="890" spans="1:28">
      <c r="A890" s="105">
        <f t="shared" si="13"/>
        <v>889</v>
      </c>
      <c r="B890" s="107">
        <f>YEAR(Table6[[#This Row],[Date]])+IF(MONTH(Table6[[#This Row],[Date]])&gt;=4,1,0)</f>
        <v>2026</v>
      </c>
      <c r="C890" s="105">
        <f>YEAR(Table6[[#This Row],[Date]])</f>
        <v>2025</v>
      </c>
      <c r="D890" s="105" t="s">
        <v>465</v>
      </c>
      <c r="E890" s="119">
        <f>Table6[[#This Row],[Date]]-DAY(Table6[[#This Row],[Date]])+1</f>
        <v>45809</v>
      </c>
      <c r="F890" s="118">
        <v>45836</v>
      </c>
      <c r="G890" s="105" t="s">
        <v>76</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473</v>
      </c>
      <c r="N890" s="39" t="s">
        <v>474</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697</v>
      </c>
      <c r="V890" s="351" t="s">
        <v>476</v>
      </c>
      <c r="W890" s="338">
        <f>Table6[[#This Row],[Breakdown Time]]*(1/39)</f>
        <v>3.2051282051282076E-2</v>
      </c>
      <c r="X890" s="336" t="s">
        <v>477</v>
      </c>
      <c r="Y890" s="352" t="s">
        <v>77</v>
      </c>
      <c r="Z890" s="105">
        <v>23335</v>
      </c>
      <c r="AA890" s="107">
        <f>IFERROR((Table6[[#This Row],[Paired WTG Generation for loss calculation]]/24)*Table6[[#This Row],[Breakdown Time]],"")</f>
        <v>1215.3645833333342</v>
      </c>
      <c r="AB890" s="105" t="s">
        <v>472</v>
      </c>
    </row>
    <row r="891" spans="1:28">
      <c r="A891" s="105">
        <f t="shared" si="13"/>
        <v>890</v>
      </c>
      <c r="B891" s="107">
        <f>YEAR(Table6[[#This Row],[Date]])+IF(MONTH(Table6[[#This Row],[Date]])&gt;=4,1,0)</f>
        <v>2026</v>
      </c>
      <c r="C891" s="105">
        <f>YEAR(Table6[[#This Row],[Date]])</f>
        <v>2025</v>
      </c>
      <c r="D891" s="105" t="s">
        <v>465</v>
      </c>
      <c r="E891" s="119">
        <f>Table6[[#This Row],[Date]]-DAY(Table6[[#This Row],[Date]])+1</f>
        <v>45809</v>
      </c>
      <c r="F891" s="118">
        <v>45836</v>
      </c>
      <c r="G891" s="105" t="s">
        <v>96</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473</v>
      </c>
      <c r="N891" s="39" t="s">
        <v>474</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475</v>
      </c>
      <c r="V891" s="351" t="s">
        <v>476</v>
      </c>
      <c r="W891" s="338">
        <f>Table6[[#This Row],[Breakdown Time]]*(1/39)</f>
        <v>2.4786324786324834E-2</v>
      </c>
      <c r="X891" s="336" t="s">
        <v>477</v>
      </c>
      <c r="Y891" s="352" t="s">
        <v>95</v>
      </c>
      <c r="Z891" s="105">
        <v>23276</v>
      </c>
      <c r="AA891" s="107">
        <f>IFERROR((Table6[[#This Row],[Paired WTG Generation for loss calculation]]/24)*Table6[[#This Row],[Breakdown Time]],"")</f>
        <v>937.50555555555741</v>
      </c>
      <c r="AB891" s="105" t="s">
        <v>472</v>
      </c>
    </row>
    <row r="892" spans="1:28">
      <c r="A892" s="105">
        <f t="shared" si="13"/>
        <v>891</v>
      </c>
      <c r="B892" s="107">
        <f>YEAR(Table6[[#This Row],[Date]])+IF(MONTH(Table6[[#This Row],[Date]])&gt;=4,1,0)</f>
        <v>2026</v>
      </c>
      <c r="C892" s="105">
        <f>YEAR(Table6[[#This Row],[Date]])</f>
        <v>2025</v>
      </c>
      <c r="D892" s="105" t="s">
        <v>465</v>
      </c>
      <c r="E892" s="119">
        <f>Table6[[#This Row],[Date]]-DAY(Table6[[#This Row],[Date]])+1</f>
        <v>45809</v>
      </c>
      <c r="F892" s="118">
        <v>45837</v>
      </c>
      <c r="G892" s="105" t="s">
        <v>103</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466</v>
      </c>
      <c r="L892" s="39" t="str">
        <f>IFERROR(VLOOKUP(Table6[[#This Row],[Error Code]],'Basic Data'!$T:$U,2,0),"")</f>
        <v>Manual Stop - Safety Related</v>
      </c>
      <c r="M892" s="346" t="s">
        <v>467</v>
      </c>
      <c r="N892" s="39" t="s">
        <v>468</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469</v>
      </c>
      <c r="V892" s="351" t="s">
        <v>470</v>
      </c>
      <c r="W892" s="338">
        <f>Table6[[#This Row],[Breakdown Time]]*(1/39)</f>
        <v>0.61537749287749288</v>
      </c>
      <c r="X892" s="336" t="s">
        <v>471</v>
      </c>
      <c r="Y892" s="352" t="s">
        <v>102</v>
      </c>
      <c r="Z892" s="105">
        <v>31102</v>
      </c>
      <c r="AA892" s="107">
        <f>IFERROR((Table6[[#This Row],[Paired WTG Generation for loss calculation]]/24)*Table6[[#This Row],[Breakdown Time]],"")</f>
        <v>31101.640023148153</v>
      </c>
      <c r="AB892" s="105" t="s">
        <v>472</v>
      </c>
    </row>
    <row r="893" spans="1:28">
      <c r="A893" s="105">
        <f t="shared" si="13"/>
        <v>892</v>
      </c>
      <c r="B893" s="107">
        <f>YEAR(Table6[[#This Row],[Date]])+IF(MONTH(Table6[[#This Row],[Date]])&gt;=4,1,0)</f>
        <v>2026</v>
      </c>
      <c r="C893" s="105">
        <f>YEAR(Table6[[#This Row],[Date]])</f>
        <v>2025</v>
      </c>
      <c r="D893" s="105" t="s">
        <v>465</v>
      </c>
      <c r="E893" s="119">
        <f>Table6[[#This Row],[Date]]-DAY(Table6[[#This Row],[Date]])+1</f>
        <v>45809</v>
      </c>
      <c r="F893" s="118">
        <v>45837</v>
      </c>
      <c r="G893" s="105" t="s">
        <v>101</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466</v>
      </c>
      <c r="L893" s="39" t="str">
        <f>IFERROR(VLOOKUP(Table6[[#This Row],[Error Code]],'Basic Data'!$T:$U,2,0),"")</f>
        <v>Manual Stop - Safety Related</v>
      </c>
      <c r="M893" s="346" t="s">
        <v>467</v>
      </c>
      <c r="N893" s="39" t="s">
        <v>468</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469</v>
      </c>
      <c r="V893" s="351" t="s">
        <v>470</v>
      </c>
      <c r="W893" s="338">
        <f>Table6[[#This Row],[Breakdown Time]]*(1/39)</f>
        <v>0.61537749287749288</v>
      </c>
      <c r="X893" s="336" t="s">
        <v>471</v>
      </c>
      <c r="Y893" s="352" t="s">
        <v>102</v>
      </c>
      <c r="Z893" s="105">
        <v>31102</v>
      </c>
      <c r="AA893" s="107">
        <f>IFERROR((Table6[[#This Row],[Paired WTG Generation for loss calculation]]/24)*Table6[[#This Row],[Breakdown Time]],"")</f>
        <v>31101.640023148153</v>
      </c>
      <c r="AB893" s="105" t="s">
        <v>472</v>
      </c>
    </row>
    <row r="894" spans="1:28">
      <c r="A894" s="105">
        <f t="shared" si="13"/>
        <v>893</v>
      </c>
      <c r="B894" s="107">
        <f>YEAR(Table6[[#This Row],[Date]])+IF(MONTH(Table6[[#This Row],[Date]])&gt;=4,1,0)</f>
        <v>2026</v>
      </c>
      <c r="C894" s="105">
        <f>YEAR(Table6[[#This Row],[Date]])</f>
        <v>2025</v>
      </c>
      <c r="D894" s="105" t="s">
        <v>465</v>
      </c>
      <c r="E894" s="119">
        <f>Table6[[#This Row],[Date]]-DAY(Table6[[#This Row],[Date]])+1</f>
        <v>45809</v>
      </c>
      <c r="F894" s="118">
        <v>45837</v>
      </c>
      <c r="G894" s="105" t="s">
        <v>90</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466</v>
      </c>
      <c r="L894" s="39" t="str">
        <f>IFERROR(VLOOKUP(Table6[[#This Row],[Error Code]],'Basic Data'!$T:$U,2,0),"")</f>
        <v>Manual Stop - Safety Related</v>
      </c>
      <c r="M894" s="346" t="s">
        <v>473</v>
      </c>
      <c r="N894" s="39" t="s">
        <v>474</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650</v>
      </c>
      <c r="V894" s="351" t="s">
        <v>470</v>
      </c>
      <c r="W894" s="338">
        <f>Table6[[#This Row],[Breakdown Time]]*(1/39)</f>
        <v>0.61537749287749288</v>
      </c>
      <c r="X894" s="336" t="s">
        <v>477</v>
      </c>
      <c r="Y894" s="352" t="s">
        <v>91</v>
      </c>
      <c r="Z894" s="105">
        <v>30432</v>
      </c>
      <c r="AA894" s="107">
        <f>IFERROR((Table6[[#This Row],[Paired WTG Generation for loss calculation]]/24)*Table6[[#This Row],[Breakdown Time]],"")</f>
        <v>30431.64777777778</v>
      </c>
      <c r="AB894" s="105" t="s">
        <v>472</v>
      </c>
    </row>
    <row r="895" spans="1:28">
      <c r="A895" s="105">
        <f t="shared" si="13"/>
        <v>894</v>
      </c>
      <c r="B895" s="107">
        <f>YEAR(Table6[[#This Row],[Date]])+IF(MONTH(Table6[[#This Row],[Date]])&gt;=4,1,0)</f>
        <v>2026</v>
      </c>
      <c r="C895" s="105">
        <f>YEAR(Table6[[#This Row],[Date]])</f>
        <v>2025</v>
      </c>
      <c r="D895" s="105" t="s">
        <v>465</v>
      </c>
      <c r="E895" s="119">
        <f>Table6[[#This Row],[Date]]-DAY(Table6[[#This Row],[Date]])+1</f>
        <v>45809</v>
      </c>
      <c r="F895" s="118">
        <v>45837</v>
      </c>
      <c r="G895" s="105" t="s">
        <v>75</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473</v>
      </c>
      <c r="N895" s="39" t="s">
        <v>474</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698</v>
      </c>
      <c r="V895" s="351" t="s">
        <v>476</v>
      </c>
      <c r="W895" s="338">
        <f>Table6[[#This Row],[Breakdown Time]]*(1/39)</f>
        <v>0.10897435897435898</v>
      </c>
      <c r="X895" s="336" t="s">
        <v>477</v>
      </c>
      <c r="Y895" s="352" t="s">
        <v>77</v>
      </c>
      <c r="Z895" s="105">
        <v>30134</v>
      </c>
      <c r="AA895" s="107">
        <f>IFERROR((Table6[[#This Row],[Paired WTG Generation for loss calculation]]/24)*Table6[[#This Row],[Breakdown Time]],"")</f>
        <v>5336.2291666666661</v>
      </c>
      <c r="AB895" s="105" t="s">
        <v>472</v>
      </c>
    </row>
    <row r="896" spans="1:28">
      <c r="A896" s="105">
        <f t="shared" si="13"/>
        <v>895</v>
      </c>
      <c r="B896" s="107">
        <f>YEAR(Table6[[#This Row],[Date]])+IF(MONTH(Table6[[#This Row],[Date]])&gt;=4,1,0)</f>
        <v>2026</v>
      </c>
      <c r="C896" s="105">
        <f>YEAR(Table6[[#This Row],[Date]])</f>
        <v>2025</v>
      </c>
      <c r="D896" s="105" t="s">
        <v>465</v>
      </c>
      <c r="E896" s="119">
        <f>Table6[[#This Row],[Date]]-DAY(Table6[[#This Row],[Date]])+1</f>
        <v>45809</v>
      </c>
      <c r="F896" s="118">
        <v>45837</v>
      </c>
      <c r="G896" s="105" t="s">
        <v>75</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473</v>
      </c>
      <c r="N896" s="39" t="s">
        <v>474</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699</v>
      </c>
      <c r="V896" s="351" t="s">
        <v>476</v>
      </c>
      <c r="W896" s="338">
        <f>Table6[[#This Row],[Breakdown Time]]*(1/39)</f>
        <v>2.008547008547008E-2</v>
      </c>
      <c r="X896" s="336" t="s">
        <v>477</v>
      </c>
      <c r="Y896" s="352" t="s">
        <v>77</v>
      </c>
      <c r="Z896" s="105">
        <v>30134</v>
      </c>
      <c r="AA896" s="107">
        <f>IFERROR((Table6[[#This Row],[Paired WTG Generation for loss calculation]]/24)*Table6[[#This Row],[Breakdown Time]],"")</f>
        <v>983.54027777777753</v>
      </c>
      <c r="AB896" s="105" t="s">
        <v>472</v>
      </c>
    </row>
    <row r="897" spans="1:28">
      <c r="A897" s="105">
        <f t="shared" si="13"/>
        <v>896</v>
      </c>
      <c r="B897" s="107">
        <f>YEAR(Table6[[#This Row],[Date]])+IF(MONTH(Table6[[#This Row],[Date]])&gt;=4,1,0)</f>
        <v>2026</v>
      </c>
      <c r="C897" s="105">
        <f>YEAR(Table6[[#This Row],[Date]])</f>
        <v>2025</v>
      </c>
      <c r="D897" s="105" t="s">
        <v>465</v>
      </c>
      <c r="E897" s="119">
        <f>Table6[[#This Row],[Date]]-DAY(Table6[[#This Row],[Date]])+1</f>
        <v>45809</v>
      </c>
      <c r="F897" s="118">
        <v>45837</v>
      </c>
      <c r="G897" s="105" t="s">
        <v>82</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473</v>
      </c>
      <c r="N897" s="39" t="s">
        <v>474</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475</v>
      </c>
      <c r="V897" s="351" t="s">
        <v>476</v>
      </c>
      <c r="W897" s="338">
        <f>Table6[[#This Row],[Breakdown Time]]*(1/39)</f>
        <v>5.9829059829059617E-3</v>
      </c>
      <c r="X897" s="336" t="s">
        <v>477</v>
      </c>
      <c r="Y897" s="352" t="s">
        <v>86</v>
      </c>
      <c r="Z897" s="105">
        <v>31564</v>
      </c>
      <c r="AA897" s="107">
        <f>IFERROR((Table6[[#This Row],[Paired WTG Generation for loss calculation]]/24)*Table6[[#This Row],[Breakdown Time]],"")</f>
        <v>306.87222222222113</v>
      </c>
      <c r="AB897" s="105" t="s">
        <v>472</v>
      </c>
    </row>
    <row r="898" spans="1:28">
      <c r="A898" s="105">
        <f t="shared" si="13"/>
        <v>897</v>
      </c>
      <c r="B898" s="107">
        <f>YEAR(Table6[[#This Row],[Date]])+IF(MONTH(Table6[[#This Row],[Date]])&gt;=4,1,0)</f>
        <v>2026</v>
      </c>
      <c r="C898" s="105">
        <f>YEAR(Table6[[#This Row],[Date]])</f>
        <v>2025</v>
      </c>
      <c r="D898" s="105" t="s">
        <v>465</v>
      </c>
      <c r="E898" s="119">
        <f>Table6[[#This Row],[Date]]-DAY(Table6[[#This Row],[Date]])+1</f>
        <v>45809</v>
      </c>
      <c r="F898" s="118">
        <v>45837</v>
      </c>
      <c r="G898" s="105" t="s">
        <v>85</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473</v>
      </c>
      <c r="N898" s="39" t="s">
        <v>474</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475</v>
      </c>
      <c r="V898" s="351" t="s">
        <v>476</v>
      </c>
      <c r="W898" s="338">
        <f>Table6[[#This Row],[Breakdown Time]]*(1/39)</f>
        <v>5.5555555555556043E-3</v>
      </c>
      <c r="X898" s="336" t="s">
        <v>477</v>
      </c>
      <c r="Y898" s="352" t="s">
        <v>86</v>
      </c>
      <c r="Z898" s="105">
        <v>31564</v>
      </c>
      <c r="AA898" s="107">
        <f>IFERROR((Table6[[#This Row],[Paired WTG Generation for loss calculation]]/24)*Table6[[#This Row],[Breakdown Time]],"")</f>
        <v>284.95277777778028</v>
      </c>
      <c r="AB898" s="105" t="s">
        <v>472</v>
      </c>
    </row>
    <row r="899" spans="1:28">
      <c r="A899" s="105">
        <f t="shared" si="13"/>
        <v>898</v>
      </c>
      <c r="B899" s="107">
        <f>YEAR(Table6[[#This Row],[Date]])+IF(MONTH(Table6[[#This Row],[Date]])&gt;=4,1,0)</f>
        <v>2026</v>
      </c>
      <c r="C899" s="105">
        <f>YEAR(Table6[[#This Row],[Date]])</f>
        <v>2025</v>
      </c>
      <c r="D899" s="105" t="s">
        <v>465</v>
      </c>
      <c r="E899" s="119">
        <f>Table6[[#This Row],[Date]]-DAY(Table6[[#This Row],[Date]])+1</f>
        <v>45809</v>
      </c>
      <c r="F899" s="118">
        <v>45837</v>
      </c>
      <c r="G899" s="105" t="s">
        <v>111</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473</v>
      </c>
      <c r="N899" s="39" t="s">
        <v>474</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475</v>
      </c>
      <c r="V899" s="351" t="s">
        <v>476</v>
      </c>
      <c r="W899" s="338">
        <f>Table6[[#This Row],[Breakdown Time]]*(1/39)</f>
        <v>1.1111111111111139E-2</v>
      </c>
      <c r="X899" s="336" t="s">
        <v>477</v>
      </c>
      <c r="Y899" s="352" t="s">
        <v>112</v>
      </c>
      <c r="Z899" s="105">
        <v>31260</v>
      </c>
      <c r="AA899" s="107">
        <f>IFERROR((Table6[[#This Row],[Paired WTG Generation for loss calculation]]/24)*Table6[[#This Row],[Breakdown Time]],"")</f>
        <v>564.41666666666811</v>
      </c>
      <c r="AB899" s="105" t="s">
        <v>472</v>
      </c>
    </row>
    <row r="900" spans="1:28">
      <c r="A900" s="105">
        <f t="shared" si="13"/>
        <v>899</v>
      </c>
      <c r="B900" s="107">
        <f>YEAR(Table6[[#This Row],[Date]])+IF(MONTH(Table6[[#This Row],[Date]])&gt;=4,1,0)</f>
        <v>2026</v>
      </c>
      <c r="C900" s="105">
        <f>YEAR(Table6[[#This Row],[Date]])</f>
        <v>2025</v>
      </c>
      <c r="D900" s="105" t="s">
        <v>465</v>
      </c>
      <c r="E900" s="119">
        <f>Table6[[#This Row],[Date]]-DAY(Table6[[#This Row],[Date]])+1</f>
        <v>45809</v>
      </c>
      <c r="F900" s="118">
        <v>45838</v>
      </c>
      <c r="G900" s="105" t="s">
        <v>103</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466</v>
      </c>
      <c r="L900" s="39" t="str">
        <f>IFERROR(VLOOKUP(Table6[[#This Row],[Error Code]],'Basic Data'!$T:$U,2,0),"")</f>
        <v>Manual Stop - Safety Related</v>
      </c>
      <c r="M900" s="346" t="s">
        <v>467</v>
      </c>
      <c r="N900" s="39" t="s">
        <v>468</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469</v>
      </c>
      <c r="V900" s="351" t="s">
        <v>470</v>
      </c>
      <c r="W900" s="338">
        <f>Table6[[#This Row],[Breakdown Time]]*(1/39)</f>
        <v>0.61537749287749288</v>
      </c>
      <c r="X900" s="336" t="s">
        <v>471</v>
      </c>
      <c r="Y900" s="352" t="s">
        <v>102</v>
      </c>
      <c r="Z900" s="105">
        <v>22127</v>
      </c>
      <c r="AA900" s="107">
        <f>IFERROR((Table6[[#This Row],[Paired WTG Generation for loss calculation]]/24)*Table6[[#This Row],[Breakdown Time]],"")</f>
        <v>22126.743900462967</v>
      </c>
      <c r="AB900" s="105" t="s">
        <v>472</v>
      </c>
    </row>
    <row r="901" spans="1:28">
      <c r="A901" s="105">
        <f t="shared" ref="A901:A964" si="14">A900+1</f>
        <v>900</v>
      </c>
      <c r="B901" s="107">
        <f>YEAR(Table6[[#This Row],[Date]])+IF(MONTH(Table6[[#This Row],[Date]])&gt;=4,1,0)</f>
        <v>2026</v>
      </c>
      <c r="C901" s="105">
        <f>YEAR(Table6[[#This Row],[Date]])</f>
        <v>2025</v>
      </c>
      <c r="D901" s="105" t="s">
        <v>465</v>
      </c>
      <c r="E901" s="119">
        <f>Table6[[#This Row],[Date]]-DAY(Table6[[#This Row],[Date]])+1</f>
        <v>45809</v>
      </c>
      <c r="F901" s="118">
        <v>45838</v>
      </c>
      <c r="G901" s="105" t="s">
        <v>101</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466</v>
      </c>
      <c r="L901" s="39" t="str">
        <f>IFERROR(VLOOKUP(Table6[[#This Row],[Error Code]],'Basic Data'!$T:$U,2,0),"")</f>
        <v>Manual Stop - Safety Related</v>
      </c>
      <c r="M901" s="346" t="s">
        <v>467</v>
      </c>
      <c r="N901" s="39" t="s">
        <v>468</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469</v>
      </c>
      <c r="V901" s="351" t="s">
        <v>470</v>
      </c>
      <c r="W901" s="338">
        <f>Table6[[#This Row],[Breakdown Time]]*(1/39)</f>
        <v>0.61537749287749288</v>
      </c>
      <c r="X901" s="336" t="s">
        <v>471</v>
      </c>
      <c r="Y901" s="352" t="s">
        <v>102</v>
      </c>
      <c r="Z901" s="105">
        <v>22127</v>
      </c>
      <c r="AA901" s="107">
        <f>IFERROR((Table6[[#This Row],[Paired WTG Generation for loss calculation]]/24)*Table6[[#This Row],[Breakdown Time]],"")</f>
        <v>22126.743900462967</v>
      </c>
      <c r="AB901" s="105" t="s">
        <v>472</v>
      </c>
    </row>
    <row r="902" spans="1:28">
      <c r="A902" s="105">
        <f t="shared" si="14"/>
        <v>901</v>
      </c>
      <c r="B902" s="107">
        <f>YEAR(Table6[[#This Row],[Date]])+IF(MONTH(Table6[[#This Row],[Date]])&gt;=4,1,0)</f>
        <v>2026</v>
      </c>
      <c r="C902" s="105">
        <f>YEAR(Table6[[#This Row],[Date]])</f>
        <v>2025</v>
      </c>
      <c r="D902" s="105" t="s">
        <v>465</v>
      </c>
      <c r="E902" s="119">
        <f>Table6[[#This Row],[Date]]-DAY(Table6[[#This Row],[Date]])+1</f>
        <v>45809</v>
      </c>
      <c r="F902" s="118">
        <v>45838</v>
      </c>
      <c r="G902" s="105" t="s">
        <v>90</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466</v>
      </c>
      <c r="L902" s="39" t="str">
        <f>IFERROR(VLOOKUP(Table6[[#This Row],[Error Code]],'Basic Data'!$T:$U,2,0),"")</f>
        <v>Manual Stop - Safety Related</v>
      </c>
      <c r="M902" s="346" t="s">
        <v>473</v>
      </c>
      <c r="N902" s="39" t="s">
        <v>474</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650</v>
      </c>
      <c r="V902" s="351" t="s">
        <v>470</v>
      </c>
      <c r="W902" s="338">
        <f>Table6[[#This Row],[Breakdown Time]]*(1/39)</f>
        <v>0.61537749287749288</v>
      </c>
      <c r="X902" s="336" t="s">
        <v>477</v>
      </c>
      <c r="Y902" s="352" t="s">
        <v>91</v>
      </c>
      <c r="Z902" s="105">
        <v>22013</v>
      </c>
      <c r="AA902" s="107">
        <f>IFERROR((Table6[[#This Row],[Paired WTG Generation for loss calculation]]/24)*Table6[[#This Row],[Breakdown Time]],"")</f>
        <v>22012.745219907411</v>
      </c>
      <c r="AB902" s="105" t="s">
        <v>472</v>
      </c>
    </row>
    <row r="903" spans="1:28">
      <c r="A903" s="105">
        <f t="shared" si="14"/>
        <v>902</v>
      </c>
      <c r="B903" s="107">
        <f>YEAR(Table6[[#This Row],[Date]])+IF(MONTH(Table6[[#This Row],[Date]])&gt;=4,1,0)</f>
        <v>2026</v>
      </c>
      <c r="C903" s="105">
        <f>YEAR(Table6[[#This Row],[Date]])</f>
        <v>2025</v>
      </c>
      <c r="D903" s="105" t="s">
        <v>465</v>
      </c>
      <c r="E903" s="119">
        <f>Table6[[#This Row],[Date]]-DAY(Table6[[#This Row],[Date]])+1</f>
        <v>45809</v>
      </c>
      <c r="F903" s="118">
        <v>45838</v>
      </c>
      <c r="G903" s="105" t="s">
        <v>110</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526</v>
      </c>
      <c r="L903" s="39" t="str">
        <f>IFERROR(VLOOKUP(Table6[[#This Row],[Error Code]],'Basic Data'!$T:$U,2,0),"")</f>
        <v>Manual Stop</v>
      </c>
      <c r="M903" s="346" t="s">
        <v>467</v>
      </c>
      <c r="N903" s="39" t="s">
        <v>189</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700</v>
      </c>
      <c r="V903" s="351" t="s">
        <v>476</v>
      </c>
      <c r="W903" s="338">
        <f>Table6[[#This Row],[Breakdown Time]]*(1/39)</f>
        <v>5.7692307692307689E-2</v>
      </c>
      <c r="X903" s="336" t="s">
        <v>471</v>
      </c>
      <c r="Y903" s="352" t="s">
        <v>111</v>
      </c>
      <c r="Z903" s="105">
        <v>22234</v>
      </c>
      <c r="AA903" s="107">
        <f>IFERROR((Table6[[#This Row],[Paired WTG Generation for loss calculation]]/24)*Table6[[#This Row],[Breakdown Time]],"")</f>
        <v>2084.4375</v>
      </c>
      <c r="AB903" s="105" t="s">
        <v>472</v>
      </c>
    </row>
    <row r="904" spans="1:28">
      <c r="A904" s="105">
        <f t="shared" si="14"/>
        <v>903</v>
      </c>
      <c r="B904" s="107">
        <f>YEAR(Table6[[#This Row],[Date]])+IF(MONTH(Table6[[#This Row],[Date]])&gt;=4,1,0)</f>
        <v>2026</v>
      </c>
      <c r="C904" s="105">
        <f>YEAR(Table6[[#This Row],[Date]])</f>
        <v>2025</v>
      </c>
      <c r="D904" s="105" t="s">
        <v>465</v>
      </c>
      <c r="E904" s="119">
        <f>Table6[[#This Row],[Date]]-DAY(Table6[[#This Row],[Date]])+1</f>
        <v>45809</v>
      </c>
      <c r="F904" s="118">
        <v>45838</v>
      </c>
      <c r="G904" s="105" t="s">
        <v>110</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466</v>
      </c>
      <c r="L904" s="39" t="str">
        <f>IFERROR(VLOOKUP(Table6[[#This Row],[Error Code]],'Basic Data'!$T:$U,2,0),"")</f>
        <v>Manual Stop - Safety Related</v>
      </c>
      <c r="M904" s="346" t="s">
        <v>576</v>
      </c>
      <c r="N904" s="39" t="s">
        <v>189</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691</v>
      </c>
      <c r="V904" s="351" t="s">
        <v>476</v>
      </c>
      <c r="W904" s="338">
        <f>Table6[[#This Row],[Breakdown Time]]*(1/39)</f>
        <v>2.1367521367521358E-2</v>
      </c>
      <c r="X904" s="336" t="s">
        <v>471</v>
      </c>
      <c r="Y904" s="352" t="s">
        <v>111</v>
      </c>
      <c r="Z904" s="105">
        <v>22234</v>
      </c>
      <c r="AA904" s="107">
        <f>IFERROR((Table6[[#This Row],[Paired WTG Generation for loss calculation]]/24)*Table6[[#This Row],[Breakdown Time]],"")</f>
        <v>772.01388888888857</v>
      </c>
      <c r="AB904" s="105" t="s">
        <v>472</v>
      </c>
    </row>
    <row r="905" spans="1:28">
      <c r="A905" s="105">
        <f t="shared" si="14"/>
        <v>904</v>
      </c>
      <c r="B905" s="107">
        <f>YEAR(Table6[[#This Row],[Date]])+IF(MONTH(Table6[[#This Row],[Date]])&gt;=4,1,0)</f>
        <v>2026</v>
      </c>
      <c r="C905" s="105">
        <f>YEAR(Table6[[#This Row],[Date]])</f>
        <v>2025</v>
      </c>
      <c r="D905" s="105" t="s">
        <v>465</v>
      </c>
      <c r="E905" s="119">
        <f>Table6[[#This Row],[Date]]-DAY(Table6[[#This Row],[Date]])+1</f>
        <v>45839</v>
      </c>
      <c r="F905" s="118">
        <v>45839</v>
      </c>
      <c r="G905" s="105" t="s">
        <v>103</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466</v>
      </c>
      <c r="L905" s="39" t="str">
        <f>IFERROR(VLOOKUP(Table6[[#This Row],[Error Code]],'Basic Data'!$T:$U,2,0),"")</f>
        <v>Manual Stop - Safety Related</v>
      </c>
      <c r="M905" s="346" t="s">
        <v>467</v>
      </c>
      <c r="N905" s="39" t="s">
        <v>468</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469</v>
      </c>
      <c r="V905" s="351" t="s">
        <v>470</v>
      </c>
      <c r="W905" s="338">
        <f>Table6[[#This Row],[Breakdown Time]]*(1/39)</f>
        <v>0.61537749287749288</v>
      </c>
      <c r="X905" s="336" t="s">
        <v>471</v>
      </c>
      <c r="Y905" s="352" t="s">
        <v>102</v>
      </c>
      <c r="Z905" s="105">
        <v>21100</v>
      </c>
      <c r="AA905" s="107">
        <f>IFERROR((Table6[[#This Row],[Paired WTG Generation for loss calculation]]/24)*Table6[[#This Row],[Breakdown Time]],"")</f>
        <v>21099.75578703704</v>
      </c>
      <c r="AB905" s="105" t="s">
        <v>472</v>
      </c>
    </row>
    <row r="906" spans="1:28">
      <c r="A906" s="105">
        <f t="shared" si="14"/>
        <v>905</v>
      </c>
      <c r="B906" s="107">
        <f>YEAR(Table6[[#This Row],[Date]])+IF(MONTH(Table6[[#This Row],[Date]])&gt;=4,1,0)</f>
        <v>2026</v>
      </c>
      <c r="C906" s="105">
        <f>YEAR(Table6[[#This Row],[Date]])</f>
        <v>2025</v>
      </c>
      <c r="D906" s="105" t="s">
        <v>465</v>
      </c>
      <c r="E906" s="119">
        <f>Table6[[#This Row],[Date]]-DAY(Table6[[#This Row],[Date]])+1</f>
        <v>45839</v>
      </c>
      <c r="F906" s="118">
        <v>45839</v>
      </c>
      <c r="G906" s="105" t="s">
        <v>101</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466</v>
      </c>
      <c r="L906" s="39" t="str">
        <f>IFERROR(VLOOKUP(Table6[[#This Row],[Error Code]],'Basic Data'!$T:$U,2,0),"")</f>
        <v>Manual Stop - Safety Related</v>
      </c>
      <c r="M906" s="346" t="s">
        <v>467</v>
      </c>
      <c r="N906" s="39" t="s">
        <v>468</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469</v>
      </c>
      <c r="V906" s="351" t="s">
        <v>470</v>
      </c>
      <c r="W906" s="338">
        <f>Table6[[#This Row],[Breakdown Time]]*(1/39)</f>
        <v>0.61537749287749288</v>
      </c>
      <c r="X906" s="336" t="s">
        <v>471</v>
      </c>
      <c r="Y906" s="352" t="s">
        <v>102</v>
      </c>
      <c r="Z906" s="105">
        <v>21100</v>
      </c>
      <c r="AA906" s="107">
        <f>IFERROR((Table6[[#This Row],[Paired WTG Generation for loss calculation]]/24)*Table6[[#This Row],[Breakdown Time]],"")</f>
        <v>21099.75578703704</v>
      </c>
      <c r="AB906" s="105" t="s">
        <v>472</v>
      </c>
    </row>
    <row r="907" spans="1:28">
      <c r="A907" s="105">
        <f t="shared" si="14"/>
        <v>906</v>
      </c>
      <c r="B907" s="107">
        <f>YEAR(Table6[[#This Row],[Date]])+IF(MONTH(Table6[[#This Row],[Date]])&gt;=4,1,0)</f>
        <v>2026</v>
      </c>
      <c r="C907" s="105">
        <f>YEAR(Table6[[#This Row],[Date]])</f>
        <v>2025</v>
      </c>
      <c r="D907" s="105" t="s">
        <v>465</v>
      </c>
      <c r="E907" s="119">
        <f>Table6[[#This Row],[Date]]-DAY(Table6[[#This Row],[Date]])+1</f>
        <v>45839</v>
      </c>
      <c r="F907" s="118">
        <v>45839</v>
      </c>
      <c r="G907" s="105" t="s">
        <v>90</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466</v>
      </c>
      <c r="L907" s="39" t="str">
        <f>IFERROR(VLOOKUP(Table6[[#This Row],[Error Code]],'Basic Data'!$T:$U,2,0),"")</f>
        <v>Manual Stop - Safety Related</v>
      </c>
      <c r="M907" s="346" t="s">
        <v>473</v>
      </c>
      <c r="N907" s="39" t="s">
        <v>474</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650</v>
      </c>
      <c r="V907" s="351" t="s">
        <v>470</v>
      </c>
      <c r="W907" s="338">
        <f>Table6[[#This Row],[Breakdown Time]]*(1/39)</f>
        <v>0.61537749287749288</v>
      </c>
      <c r="X907" s="336" t="s">
        <v>477</v>
      </c>
      <c r="Y907" s="352" t="s">
        <v>91</v>
      </c>
      <c r="Z907" s="105">
        <v>27820</v>
      </c>
      <c r="AA907" s="107">
        <f>IFERROR((Table6[[#This Row],[Paired WTG Generation for loss calculation]]/24)*Table6[[#This Row],[Breakdown Time]],"")</f>
        <v>27819.678009259263</v>
      </c>
      <c r="AB907" s="105" t="s">
        <v>472</v>
      </c>
    </row>
    <row r="908" spans="1:28">
      <c r="A908" s="105">
        <f t="shared" si="14"/>
        <v>907</v>
      </c>
      <c r="B908" s="107">
        <f>YEAR(Table6[[#This Row],[Date]])+IF(MONTH(Table6[[#This Row],[Date]])&gt;=4,1,0)</f>
        <v>2026</v>
      </c>
      <c r="C908" s="105">
        <f>YEAR(Table6[[#This Row],[Date]])</f>
        <v>2025</v>
      </c>
      <c r="D908" s="105" t="s">
        <v>465</v>
      </c>
      <c r="E908" s="119">
        <f>Table6[[#This Row],[Date]]-DAY(Table6[[#This Row],[Date]])+1</f>
        <v>45839</v>
      </c>
      <c r="F908" s="118">
        <v>45839</v>
      </c>
      <c r="G908" s="105" t="s">
        <v>104</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473</v>
      </c>
      <c r="N908" s="39" t="s">
        <v>474</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701</v>
      </c>
      <c r="V908" s="351" t="s">
        <v>476</v>
      </c>
      <c r="W908" s="338">
        <f>Table6[[#This Row],[Breakdown Time]]*(1/39)</f>
        <v>3.5042735042735022E-2</v>
      </c>
      <c r="X908" s="336" t="s">
        <v>477</v>
      </c>
      <c r="Y908" s="352" t="s">
        <v>98</v>
      </c>
      <c r="Z908" s="105">
        <v>20160</v>
      </c>
      <c r="AA908" s="107">
        <f>IFERROR((Table6[[#This Row],[Paired WTG Generation for loss calculation]]/24)*Table6[[#This Row],[Breakdown Time]],"")</f>
        <v>1147.9999999999993</v>
      </c>
      <c r="AB908" s="105" t="s">
        <v>472</v>
      </c>
    </row>
    <row r="909" spans="1:28">
      <c r="A909" s="105">
        <f t="shared" si="14"/>
        <v>908</v>
      </c>
      <c r="B909" s="107">
        <f>YEAR(Table6[[#This Row],[Date]])+IF(MONTH(Table6[[#This Row],[Date]])&gt;=4,1,0)</f>
        <v>2026</v>
      </c>
      <c r="C909" s="105">
        <f>YEAR(Table6[[#This Row],[Date]])</f>
        <v>2025</v>
      </c>
      <c r="D909" s="105" t="s">
        <v>465</v>
      </c>
      <c r="E909" s="119">
        <f>Table6[[#This Row],[Date]]-DAY(Table6[[#This Row],[Date]])+1</f>
        <v>45839</v>
      </c>
      <c r="F909" s="118">
        <v>45839</v>
      </c>
      <c r="G909" s="105" t="s">
        <v>104</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473</v>
      </c>
      <c r="N909" s="39" t="s">
        <v>474</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475</v>
      </c>
      <c r="V909" s="351" t="s">
        <v>476</v>
      </c>
      <c r="W909" s="338">
        <f>Table6[[#This Row],[Breakdown Time]]*(1/39)</f>
        <v>1.6666666666666677E-2</v>
      </c>
      <c r="X909" s="336" t="s">
        <v>477</v>
      </c>
      <c r="Y909" s="352" t="s">
        <v>98</v>
      </c>
      <c r="Z909" s="105">
        <v>20160</v>
      </c>
      <c r="AA909" s="107">
        <f>IFERROR((Table6[[#This Row],[Paired WTG Generation for loss calculation]]/24)*Table6[[#This Row],[Breakdown Time]],"")</f>
        <v>546.00000000000034</v>
      </c>
      <c r="AB909" s="105" t="s">
        <v>472</v>
      </c>
    </row>
    <row r="910" spans="1:28">
      <c r="A910" s="105">
        <f t="shared" si="14"/>
        <v>909</v>
      </c>
      <c r="B910" s="107">
        <f>YEAR(Table6[[#This Row],[Date]])+IF(MONTH(Table6[[#This Row],[Date]])&gt;=4,1,0)</f>
        <v>2026</v>
      </c>
      <c r="C910" s="105">
        <f>YEAR(Table6[[#This Row],[Date]])</f>
        <v>2025</v>
      </c>
      <c r="D910" s="105" t="s">
        <v>465</v>
      </c>
      <c r="E910" s="119">
        <f>Table6[[#This Row],[Date]]-DAY(Table6[[#This Row],[Date]])+1</f>
        <v>45839</v>
      </c>
      <c r="F910" s="118">
        <v>45839</v>
      </c>
      <c r="G910" s="105" t="s">
        <v>95</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466</v>
      </c>
      <c r="L910" s="39" t="str">
        <f>IFERROR(VLOOKUP(Table6[[#This Row],[Error Code]],'Basic Data'!$T:$U,2,0),"")</f>
        <v>Manual Stop - Safety Related</v>
      </c>
      <c r="M910" s="346" t="s">
        <v>467</v>
      </c>
      <c r="N910" s="39" t="s">
        <v>189</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511</v>
      </c>
      <c r="V910" s="351" t="s">
        <v>476</v>
      </c>
      <c r="W910" s="338">
        <f>Table6[[#This Row],[Breakdown Time]]*(1/39)</f>
        <v>8.9316239316239263E-2</v>
      </c>
      <c r="X910" s="336" t="s">
        <v>471</v>
      </c>
      <c r="Y910" s="352" t="s">
        <v>94</v>
      </c>
      <c r="Z910" s="105">
        <v>21150</v>
      </c>
      <c r="AA910" s="107">
        <f>IFERROR((Table6[[#This Row],[Paired WTG Generation for loss calculation]]/24)*Table6[[#This Row],[Breakdown Time]],"")</f>
        <v>3069.6874999999986</v>
      </c>
      <c r="AB910" s="105" t="s">
        <v>472</v>
      </c>
    </row>
    <row r="911" spans="1:28">
      <c r="A911" s="105">
        <f t="shared" si="14"/>
        <v>910</v>
      </c>
      <c r="B911" s="107">
        <f>YEAR(Table6[[#This Row],[Date]])+IF(MONTH(Table6[[#This Row],[Date]])&gt;=4,1,0)</f>
        <v>2026</v>
      </c>
      <c r="C911" s="105">
        <f>YEAR(Table6[[#This Row],[Date]])</f>
        <v>2025</v>
      </c>
      <c r="D911" s="105" t="s">
        <v>465</v>
      </c>
      <c r="E911" s="119">
        <f>Table6[[#This Row],[Date]]-DAY(Table6[[#This Row],[Date]])+1</f>
        <v>45839</v>
      </c>
      <c r="F911" s="118">
        <v>45840</v>
      </c>
      <c r="G911" s="105" t="s">
        <v>103</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466</v>
      </c>
      <c r="L911" s="39" t="str">
        <f>IFERROR(VLOOKUP(Table6[[#This Row],[Error Code]],'Basic Data'!$T:$U,2,0),"")</f>
        <v>Manual Stop - Safety Related</v>
      </c>
      <c r="M911" s="346" t="s">
        <v>467</v>
      </c>
      <c r="N911" s="39" t="s">
        <v>468</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469</v>
      </c>
      <c r="V911" s="351" t="s">
        <v>470</v>
      </c>
      <c r="W911" s="338">
        <f>Table6[[#This Row],[Breakdown Time]]*(1/39)</f>
        <v>0.61537749287749288</v>
      </c>
      <c r="X911" s="336" t="s">
        <v>471</v>
      </c>
      <c r="Y911" s="352" t="s">
        <v>102</v>
      </c>
      <c r="Z911" s="105">
        <v>24001</v>
      </c>
      <c r="AA911" s="107">
        <f>IFERROR((Table6[[#This Row],[Paired WTG Generation for loss calculation]]/24)*Table6[[#This Row],[Breakdown Time]],"")</f>
        <v>24000.722210648149</v>
      </c>
      <c r="AB911" s="105" t="s">
        <v>472</v>
      </c>
    </row>
    <row r="912" spans="1:28">
      <c r="A912" s="105">
        <f t="shared" si="14"/>
        <v>911</v>
      </c>
      <c r="B912" s="107">
        <f>YEAR(Table6[[#This Row],[Date]])+IF(MONTH(Table6[[#This Row],[Date]])&gt;=4,1,0)</f>
        <v>2026</v>
      </c>
      <c r="C912" s="105">
        <f>YEAR(Table6[[#This Row],[Date]])</f>
        <v>2025</v>
      </c>
      <c r="D912" s="105" t="s">
        <v>465</v>
      </c>
      <c r="E912" s="119">
        <f>Table6[[#This Row],[Date]]-DAY(Table6[[#This Row],[Date]])+1</f>
        <v>45839</v>
      </c>
      <c r="F912" s="118">
        <v>45840</v>
      </c>
      <c r="G912" s="105" t="s">
        <v>101</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466</v>
      </c>
      <c r="L912" s="39" t="str">
        <f>IFERROR(VLOOKUP(Table6[[#This Row],[Error Code]],'Basic Data'!$T:$U,2,0),"")</f>
        <v>Manual Stop - Safety Related</v>
      </c>
      <c r="M912" s="346" t="s">
        <v>467</v>
      </c>
      <c r="N912" s="39" t="s">
        <v>468</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469</v>
      </c>
      <c r="V912" s="351" t="s">
        <v>470</v>
      </c>
      <c r="W912" s="338">
        <f>Table6[[#This Row],[Breakdown Time]]*(1/39)</f>
        <v>0.61537749287749288</v>
      </c>
      <c r="X912" s="336" t="s">
        <v>471</v>
      </c>
      <c r="Y912" s="352" t="s">
        <v>102</v>
      </c>
      <c r="Z912" s="105">
        <v>24001</v>
      </c>
      <c r="AA912" s="107">
        <f>IFERROR((Table6[[#This Row],[Paired WTG Generation for loss calculation]]/24)*Table6[[#This Row],[Breakdown Time]],"")</f>
        <v>24000.722210648149</v>
      </c>
      <c r="AB912" s="105" t="s">
        <v>472</v>
      </c>
    </row>
    <row r="913" spans="1:28">
      <c r="A913" s="105">
        <f t="shared" si="14"/>
        <v>912</v>
      </c>
      <c r="B913" s="107">
        <f>YEAR(Table6[[#This Row],[Date]])+IF(MONTH(Table6[[#This Row],[Date]])&gt;=4,1,0)</f>
        <v>2026</v>
      </c>
      <c r="C913" s="105">
        <f>YEAR(Table6[[#This Row],[Date]])</f>
        <v>2025</v>
      </c>
      <c r="D913" s="105" t="s">
        <v>465</v>
      </c>
      <c r="E913" s="119">
        <f>Table6[[#This Row],[Date]]-DAY(Table6[[#This Row],[Date]])+1</f>
        <v>45839</v>
      </c>
      <c r="F913" s="118">
        <v>45840</v>
      </c>
      <c r="G913" s="105" t="s">
        <v>90</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473</v>
      </c>
      <c r="N913" s="39" t="s">
        <v>474</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650</v>
      </c>
      <c r="V913" s="351" t="s">
        <v>470</v>
      </c>
      <c r="W913" s="338">
        <f>Table6[[#This Row],[Breakdown Time]]*(1/39)</f>
        <v>0.61537749287749288</v>
      </c>
      <c r="X913" s="336" t="s">
        <v>477</v>
      </c>
      <c r="Y913" s="352" t="s">
        <v>91</v>
      </c>
      <c r="Z913" s="105">
        <v>25020</v>
      </c>
      <c r="AA913" s="107">
        <f>IFERROR((Table6[[#This Row],[Paired WTG Generation for loss calculation]]/24)*Table6[[#This Row],[Breakdown Time]],"")</f>
        <v>25019.710416666669</v>
      </c>
      <c r="AB913" s="105" t="s">
        <v>472</v>
      </c>
    </row>
    <row r="914" spans="1:28">
      <c r="A914" s="105">
        <f t="shared" si="14"/>
        <v>913</v>
      </c>
      <c r="B914" s="107">
        <f>YEAR(Table6[[#This Row],[Date]])+IF(MONTH(Table6[[#This Row],[Date]])&gt;=4,1,0)</f>
        <v>2026</v>
      </c>
      <c r="C914" s="105">
        <f>YEAR(Table6[[#This Row],[Date]])</f>
        <v>2025</v>
      </c>
      <c r="D914" s="105" t="s">
        <v>465</v>
      </c>
      <c r="E914" s="119">
        <f>Table6[[#This Row],[Date]]-DAY(Table6[[#This Row],[Date]])+1</f>
        <v>45839</v>
      </c>
      <c r="F914" s="118">
        <v>45840</v>
      </c>
      <c r="G914" s="105" t="s">
        <v>108</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466</v>
      </c>
      <c r="L914" s="39" t="str">
        <f>IFERROR(VLOOKUP(Table6[[#This Row],[Error Code]],'Basic Data'!$T:$U,2,0),"")</f>
        <v>Manual Stop - Safety Related</v>
      </c>
      <c r="M914" s="346" t="s">
        <v>467</v>
      </c>
      <c r="N914" s="39" t="s">
        <v>189</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511</v>
      </c>
      <c r="V914" s="351" t="s">
        <v>476</v>
      </c>
      <c r="W914" s="338">
        <f>Table6[[#This Row],[Breakdown Time]]*(1/39)</f>
        <v>8.6324786324786351E-2</v>
      </c>
      <c r="X914" s="336" t="s">
        <v>471</v>
      </c>
      <c r="Y914" s="352" t="s">
        <v>107</v>
      </c>
      <c r="Z914" s="105">
        <v>16282</v>
      </c>
      <c r="AA914" s="107">
        <f>IFERROR((Table6[[#This Row],[Paired WTG Generation for loss calculation]]/24)*Table6[[#This Row],[Breakdown Time]],"")</f>
        <v>2284.0027777777786</v>
      </c>
      <c r="AB914" s="105" t="s">
        <v>472</v>
      </c>
    </row>
    <row r="915" spans="1:28">
      <c r="A915" s="105">
        <f t="shared" si="14"/>
        <v>914</v>
      </c>
      <c r="B915" s="107">
        <f>YEAR(Table6[[#This Row],[Date]])+IF(MONTH(Table6[[#This Row],[Date]])&gt;=4,1,0)</f>
        <v>2026</v>
      </c>
      <c r="C915" s="105">
        <f>YEAR(Table6[[#This Row],[Date]])</f>
        <v>2025</v>
      </c>
      <c r="D915" s="105" t="s">
        <v>465</v>
      </c>
      <c r="E915" s="119">
        <f>Table6[[#This Row],[Date]]-DAY(Table6[[#This Row],[Date]])+1</f>
        <v>45839</v>
      </c>
      <c r="F915" s="118">
        <v>45841</v>
      </c>
      <c r="G915" s="105" t="s">
        <v>103</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466</v>
      </c>
      <c r="L915" s="39" t="str">
        <f>IFERROR(VLOOKUP(Table6[[#This Row],[Error Code]],'Basic Data'!$T:$U,2,0),"")</f>
        <v>Manual Stop - Safety Related</v>
      </c>
      <c r="M915" s="346" t="s">
        <v>467</v>
      </c>
      <c r="N915" s="39" t="s">
        <v>468</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469</v>
      </c>
      <c r="V915" s="351" t="s">
        <v>470</v>
      </c>
      <c r="W915" s="338">
        <f>Table6[[#This Row],[Breakdown Time]]*(1/39)</f>
        <v>0.61537749287749288</v>
      </c>
      <c r="X915" s="336" t="s">
        <v>471</v>
      </c>
      <c r="Y915" s="352" t="s">
        <v>102</v>
      </c>
      <c r="Z915" s="105">
        <v>20400</v>
      </c>
      <c r="AA915" s="107">
        <f>IFERROR((Table6[[#This Row],[Paired WTG Generation for loss calculation]]/24)*Table6[[#This Row],[Breakdown Time]],"")</f>
        <v>20399.763888888891</v>
      </c>
      <c r="AB915" s="105" t="s">
        <v>472</v>
      </c>
    </row>
    <row r="916" spans="1:28">
      <c r="A916" s="105">
        <f t="shared" si="14"/>
        <v>915</v>
      </c>
      <c r="B916" s="107">
        <f>YEAR(Table6[[#This Row],[Date]])+IF(MONTH(Table6[[#This Row],[Date]])&gt;=4,1,0)</f>
        <v>2026</v>
      </c>
      <c r="C916" s="105">
        <f>YEAR(Table6[[#This Row],[Date]])</f>
        <v>2025</v>
      </c>
      <c r="D916" s="105" t="s">
        <v>465</v>
      </c>
      <c r="E916" s="119">
        <f>Table6[[#This Row],[Date]]-DAY(Table6[[#This Row],[Date]])+1</f>
        <v>45839</v>
      </c>
      <c r="F916" s="118">
        <v>45841</v>
      </c>
      <c r="G916" s="105" t="s">
        <v>101</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466</v>
      </c>
      <c r="L916" s="39" t="str">
        <f>IFERROR(VLOOKUP(Table6[[#This Row],[Error Code]],'Basic Data'!$T:$U,2,0),"")</f>
        <v>Manual Stop - Safety Related</v>
      </c>
      <c r="M916" s="346" t="s">
        <v>467</v>
      </c>
      <c r="N916" s="39" t="s">
        <v>468</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469</v>
      </c>
      <c r="V916" s="351" t="s">
        <v>470</v>
      </c>
      <c r="W916" s="338">
        <f>Table6[[#This Row],[Breakdown Time]]*(1/39)</f>
        <v>0.61537749287749288</v>
      </c>
      <c r="X916" s="336" t="s">
        <v>471</v>
      </c>
      <c r="Y916" s="352" t="s">
        <v>102</v>
      </c>
      <c r="Z916" s="105">
        <v>20400</v>
      </c>
      <c r="AA916" s="107">
        <f>IFERROR((Table6[[#This Row],[Paired WTG Generation for loss calculation]]/24)*Table6[[#This Row],[Breakdown Time]],"")</f>
        <v>20399.763888888891</v>
      </c>
      <c r="AB916" s="105" t="s">
        <v>472</v>
      </c>
    </row>
    <row r="917" spans="1:28">
      <c r="A917" s="105">
        <f t="shared" si="14"/>
        <v>916</v>
      </c>
      <c r="B917" s="107">
        <f>YEAR(Table6[[#This Row],[Date]])+IF(MONTH(Table6[[#This Row],[Date]])&gt;=4,1,0)</f>
        <v>2026</v>
      </c>
      <c r="C917" s="105">
        <f>YEAR(Table6[[#This Row],[Date]])</f>
        <v>2025</v>
      </c>
      <c r="D917" s="105" t="s">
        <v>465</v>
      </c>
      <c r="E917" s="119">
        <f>Table6[[#This Row],[Date]]-DAY(Table6[[#This Row],[Date]])+1</f>
        <v>45839</v>
      </c>
      <c r="F917" s="118">
        <v>45841</v>
      </c>
      <c r="G917" s="105" t="s">
        <v>90</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473</v>
      </c>
      <c r="N917" s="39" t="s">
        <v>474</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650</v>
      </c>
      <c r="V917" s="351" t="s">
        <v>470</v>
      </c>
      <c r="W917" s="338">
        <f>Table6[[#This Row],[Breakdown Time]]*(1/39)</f>
        <v>0.61537749287749288</v>
      </c>
      <c r="X917" s="336" t="s">
        <v>477</v>
      </c>
      <c r="Y917" s="352" t="s">
        <v>91</v>
      </c>
      <c r="Z917" s="105">
        <v>28360</v>
      </c>
      <c r="AA917" s="107">
        <f>IFERROR((Table6[[#This Row],[Paired WTG Generation for loss calculation]]/24)*Table6[[#This Row],[Breakdown Time]],"")</f>
        <v>28359.671759259265</v>
      </c>
      <c r="AB917" s="105" t="s">
        <v>472</v>
      </c>
    </row>
    <row r="918" spans="1:28">
      <c r="A918" s="105">
        <f t="shared" si="14"/>
        <v>917</v>
      </c>
      <c r="B918" s="107">
        <f>YEAR(Table6[[#This Row],[Date]])+IF(MONTH(Table6[[#This Row],[Date]])&gt;=4,1,0)</f>
        <v>2026</v>
      </c>
      <c r="C918" s="105">
        <f>YEAR(Table6[[#This Row],[Date]])</f>
        <v>2025</v>
      </c>
      <c r="D918" s="105" t="s">
        <v>465</v>
      </c>
      <c r="E918" s="119">
        <f>Table6[[#This Row],[Date]]-DAY(Table6[[#This Row],[Date]])+1</f>
        <v>45839</v>
      </c>
      <c r="F918" s="118">
        <v>45841</v>
      </c>
      <c r="G918" s="105" t="s">
        <v>99</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466</v>
      </c>
      <c r="L918" s="39" t="str">
        <f>IFERROR(VLOOKUP(Table6[[#This Row],[Error Code]],'Basic Data'!$T:$U,2,0),"")</f>
        <v>Manual Stop - Safety Related</v>
      </c>
      <c r="M918" s="346" t="s">
        <v>467</v>
      </c>
      <c r="N918" s="39" t="s">
        <v>189</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511</v>
      </c>
      <c r="V918" s="351" t="s">
        <v>476</v>
      </c>
      <c r="W918" s="338">
        <f>Table6[[#This Row],[Breakdown Time]]*(1/39)</f>
        <v>0.12735042735042734</v>
      </c>
      <c r="X918" s="336" t="s">
        <v>471</v>
      </c>
      <c r="Y918" s="352" t="s">
        <v>97</v>
      </c>
      <c r="Z918" s="105">
        <v>21242</v>
      </c>
      <c r="AA918" s="107">
        <f>IFERROR((Table6[[#This Row],[Paired WTG Generation for loss calculation]]/24)*Table6[[#This Row],[Breakdown Time]],"")</f>
        <v>4395.9138888888892</v>
      </c>
      <c r="AB918" s="105" t="s">
        <v>472</v>
      </c>
    </row>
    <row r="919" spans="1:28">
      <c r="A919" s="105">
        <f t="shared" si="14"/>
        <v>918</v>
      </c>
      <c r="B919" s="107">
        <f>YEAR(Table6[[#This Row],[Date]])+IF(MONTH(Table6[[#This Row],[Date]])&gt;=4,1,0)</f>
        <v>2026</v>
      </c>
      <c r="C919" s="105">
        <f>YEAR(Table6[[#This Row],[Date]])</f>
        <v>2025</v>
      </c>
      <c r="D919" s="105" t="s">
        <v>465</v>
      </c>
      <c r="E919" s="119">
        <f>Table6[[#This Row],[Date]]-DAY(Table6[[#This Row],[Date]])+1</f>
        <v>45839</v>
      </c>
      <c r="F919" s="118">
        <v>45841</v>
      </c>
      <c r="G919" s="105" t="s">
        <v>96</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473</v>
      </c>
      <c r="N919" s="39" t="s">
        <v>474</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475</v>
      </c>
      <c r="V919" s="351" t="s">
        <v>476</v>
      </c>
      <c r="W919" s="338">
        <f>Table6[[#This Row],[Breakdown Time]]*(1/39)</f>
        <v>1.4529914529914478E-2</v>
      </c>
      <c r="X919" s="336" t="s">
        <v>477</v>
      </c>
      <c r="Y919" s="352" t="s">
        <v>95</v>
      </c>
      <c r="Z919" s="105">
        <v>20876</v>
      </c>
      <c r="AA919" s="107">
        <f>IFERROR((Table6[[#This Row],[Paired WTG Generation for loss calculation]]/24)*Table6[[#This Row],[Breakdown Time]],"")</f>
        <v>492.9055555555538</v>
      </c>
      <c r="AB919" s="105" t="s">
        <v>472</v>
      </c>
    </row>
    <row r="920" spans="1:28">
      <c r="A920" s="105">
        <f t="shared" si="14"/>
        <v>919</v>
      </c>
      <c r="B920" s="107">
        <f>YEAR(Table6[[#This Row],[Date]])+IF(MONTH(Table6[[#This Row],[Date]])&gt;=4,1,0)</f>
        <v>2026</v>
      </c>
      <c r="C920" s="105">
        <f>YEAR(Table6[[#This Row],[Date]])</f>
        <v>2025</v>
      </c>
      <c r="D920" s="105" t="s">
        <v>465</v>
      </c>
      <c r="E920" s="119">
        <f>Table6[[#This Row],[Date]]-DAY(Table6[[#This Row],[Date]])+1</f>
        <v>45839</v>
      </c>
      <c r="F920" s="118">
        <v>45841</v>
      </c>
      <c r="G920" s="105" t="s">
        <v>82</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473</v>
      </c>
      <c r="N920" s="39" t="s">
        <v>474</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475</v>
      </c>
      <c r="V920" s="351" t="s">
        <v>476</v>
      </c>
      <c r="W920" s="338">
        <f>Table6[[#This Row],[Breakdown Time]]*(1/39)</f>
        <v>8.9743589743589425E-3</v>
      </c>
      <c r="X920" s="336" t="s">
        <v>477</v>
      </c>
      <c r="Y920" s="352" t="s">
        <v>85</v>
      </c>
      <c r="Z920" s="105">
        <v>29855</v>
      </c>
      <c r="AA920" s="107">
        <f>IFERROR((Table6[[#This Row],[Paired WTG Generation for loss calculation]]/24)*Table6[[#This Row],[Breakdown Time]],"")</f>
        <v>435.38541666666509</v>
      </c>
      <c r="AB920" s="105" t="s">
        <v>472</v>
      </c>
    </row>
    <row r="921" spans="1:28">
      <c r="A921" s="105">
        <f t="shared" si="14"/>
        <v>920</v>
      </c>
      <c r="B921" s="107">
        <f>YEAR(Table6[[#This Row],[Date]])+IF(MONTH(Table6[[#This Row],[Date]])&gt;=4,1,0)</f>
        <v>2026</v>
      </c>
      <c r="C921" s="105">
        <f>YEAR(Table6[[#This Row],[Date]])</f>
        <v>2025</v>
      </c>
      <c r="D921" s="105" t="s">
        <v>465</v>
      </c>
      <c r="E921" s="119">
        <f>Table6[[#This Row],[Date]]-DAY(Table6[[#This Row],[Date]])+1</f>
        <v>45839</v>
      </c>
      <c r="F921" s="118">
        <v>45842</v>
      </c>
      <c r="G921" s="105" t="s">
        <v>103</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466</v>
      </c>
      <c r="L921" s="39" t="str">
        <f>IFERROR(VLOOKUP(Table6[[#This Row],[Error Code]],'Basic Data'!$T:$U,2,0),"")</f>
        <v>Manual Stop - Safety Related</v>
      </c>
      <c r="M921" s="346" t="s">
        <v>467</v>
      </c>
      <c r="N921" s="39" t="s">
        <v>468</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469</v>
      </c>
      <c r="V921" s="351" t="s">
        <v>470</v>
      </c>
      <c r="W921" s="338">
        <f>Table6[[#This Row],[Breakdown Time]]*(1/39)</f>
        <v>0.61537749287749288</v>
      </c>
      <c r="X921" s="336" t="s">
        <v>471</v>
      </c>
      <c r="Y921" s="352" t="s">
        <v>102</v>
      </c>
      <c r="Z921" s="105">
        <v>21550</v>
      </c>
      <c r="AA921" s="107">
        <f>IFERROR((Table6[[#This Row],[Paired WTG Generation for loss calculation]]/24)*Table6[[#This Row],[Breakdown Time]],"")</f>
        <v>21549.750578703704</v>
      </c>
      <c r="AB921" s="105" t="s">
        <v>472</v>
      </c>
    </row>
    <row r="922" spans="1:28">
      <c r="A922" s="105">
        <f t="shared" si="14"/>
        <v>921</v>
      </c>
      <c r="B922" s="107">
        <f>YEAR(Table6[[#This Row],[Date]])+IF(MONTH(Table6[[#This Row],[Date]])&gt;=4,1,0)</f>
        <v>2026</v>
      </c>
      <c r="C922" s="105">
        <f>YEAR(Table6[[#This Row],[Date]])</f>
        <v>2025</v>
      </c>
      <c r="D922" s="105" t="s">
        <v>465</v>
      </c>
      <c r="E922" s="119">
        <f>Table6[[#This Row],[Date]]-DAY(Table6[[#This Row],[Date]])+1</f>
        <v>45839</v>
      </c>
      <c r="F922" s="118">
        <v>45842</v>
      </c>
      <c r="G922" s="105" t="s">
        <v>101</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466</v>
      </c>
      <c r="L922" s="39" t="str">
        <f>IFERROR(VLOOKUP(Table6[[#This Row],[Error Code]],'Basic Data'!$T:$U,2,0),"")</f>
        <v>Manual Stop - Safety Related</v>
      </c>
      <c r="M922" s="346" t="s">
        <v>467</v>
      </c>
      <c r="N922" s="39" t="s">
        <v>468</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469</v>
      </c>
      <c r="V922" s="351" t="s">
        <v>470</v>
      </c>
      <c r="W922" s="338">
        <f>Table6[[#This Row],[Breakdown Time]]*(1/39)</f>
        <v>0.61537749287749288</v>
      </c>
      <c r="X922" s="336" t="s">
        <v>471</v>
      </c>
      <c r="Y922" s="352" t="s">
        <v>102</v>
      </c>
      <c r="Z922" s="105">
        <v>21550</v>
      </c>
      <c r="AA922" s="107">
        <f>IFERROR((Table6[[#This Row],[Paired WTG Generation for loss calculation]]/24)*Table6[[#This Row],[Breakdown Time]],"")</f>
        <v>21549.750578703704</v>
      </c>
      <c r="AB922" s="105" t="s">
        <v>472</v>
      </c>
    </row>
    <row r="923" spans="1:28">
      <c r="A923" s="105">
        <f t="shared" si="14"/>
        <v>922</v>
      </c>
      <c r="B923" s="107">
        <f>YEAR(Table6[[#This Row],[Date]])+IF(MONTH(Table6[[#This Row],[Date]])&gt;=4,1,0)</f>
        <v>2026</v>
      </c>
      <c r="C923" s="105">
        <f>YEAR(Table6[[#This Row],[Date]])</f>
        <v>2025</v>
      </c>
      <c r="D923" s="105" t="s">
        <v>465</v>
      </c>
      <c r="E923" s="119">
        <f>Table6[[#This Row],[Date]]-DAY(Table6[[#This Row],[Date]])+1</f>
        <v>45839</v>
      </c>
      <c r="F923" s="118">
        <v>45842</v>
      </c>
      <c r="G923" s="105" t="s">
        <v>90</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473</v>
      </c>
      <c r="N923" s="39" t="s">
        <v>474</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650</v>
      </c>
      <c r="V923" s="351" t="s">
        <v>470</v>
      </c>
      <c r="W923" s="338">
        <f>Table6[[#This Row],[Breakdown Time]]*(1/39)</f>
        <v>0.61537749287749288</v>
      </c>
      <c r="X923" s="336" t="s">
        <v>477</v>
      </c>
      <c r="Y923" s="352" t="s">
        <v>91</v>
      </c>
      <c r="Z923" s="105">
        <v>24505</v>
      </c>
      <c r="AA923" s="107">
        <f>IFERROR((Table6[[#This Row],[Paired WTG Generation for loss calculation]]/24)*Table6[[#This Row],[Breakdown Time]],"")</f>
        <v>24504.716377314817</v>
      </c>
      <c r="AB923" s="105" t="s">
        <v>472</v>
      </c>
    </row>
    <row r="924" spans="1:28">
      <c r="A924" s="105">
        <f t="shared" si="14"/>
        <v>923</v>
      </c>
      <c r="B924" s="107">
        <f>YEAR(Table6[[#This Row],[Date]])+IF(MONTH(Table6[[#This Row],[Date]])&gt;=4,1,0)</f>
        <v>2026</v>
      </c>
      <c r="C924" s="105">
        <f>YEAR(Table6[[#This Row],[Date]])</f>
        <v>2025</v>
      </c>
      <c r="D924" s="105" t="s">
        <v>465</v>
      </c>
      <c r="E924" s="119">
        <f>Table6[[#This Row],[Date]]-DAY(Table6[[#This Row],[Date]])+1</f>
        <v>45839</v>
      </c>
      <c r="F924" s="118">
        <v>45842</v>
      </c>
      <c r="G924" s="105" t="s">
        <v>89</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466</v>
      </c>
      <c r="L924" s="39" t="str">
        <f>IFERROR(VLOOKUP(Table6[[#This Row],[Error Code]],'Basic Data'!$T:$U,2,0),"")</f>
        <v>Manual Stop - Safety Related</v>
      </c>
      <c r="M924" s="346" t="s">
        <v>467</v>
      </c>
      <c r="N924" s="39" t="s">
        <v>189</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511</v>
      </c>
      <c r="V924" s="351" t="s">
        <v>476</v>
      </c>
      <c r="W924" s="338">
        <f>Table6[[#This Row],[Breakdown Time]]*(1/39)</f>
        <v>6.6666666666666707E-2</v>
      </c>
      <c r="X924" s="336" t="s">
        <v>471</v>
      </c>
      <c r="Y924" s="352" t="s">
        <v>91</v>
      </c>
      <c r="Z924" s="105">
        <v>24505</v>
      </c>
      <c r="AA924" s="107">
        <f>IFERROR((Table6[[#This Row],[Paired WTG Generation for loss calculation]]/24)*Table6[[#This Row],[Breakdown Time]],"")</f>
        <v>2654.7083333333348</v>
      </c>
      <c r="AB924" s="105" t="s">
        <v>472</v>
      </c>
    </row>
    <row r="925" spans="1:28">
      <c r="A925" s="105">
        <f t="shared" si="14"/>
        <v>924</v>
      </c>
      <c r="B925" s="107">
        <f>YEAR(Table6[[#This Row],[Date]])+IF(MONTH(Table6[[#This Row],[Date]])&gt;=4,1,0)</f>
        <v>2026</v>
      </c>
      <c r="C925" s="105">
        <f>YEAR(Table6[[#This Row],[Date]])</f>
        <v>2025</v>
      </c>
      <c r="D925" s="105" t="s">
        <v>465</v>
      </c>
      <c r="E925" s="119">
        <f>Table6[[#This Row],[Date]]-DAY(Table6[[#This Row],[Date]])+1</f>
        <v>45839</v>
      </c>
      <c r="F925" s="118">
        <v>45842</v>
      </c>
      <c r="G925" s="105" t="s">
        <v>82</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473</v>
      </c>
      <c r="N925" s="39" t="s">
        <v>474</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702</v>
      </c>
      <c r="V925" s="351" t="s">
        <v>476</v>
      </c>
      <c r="W925" s="338">
        <f>Table6[[#This Row],[Breakdown Time]]*(1/39)</f>
        <v>2.8632478632478666E-2</v>
      </c>
      <c r="X925" s="336" t="s">
        <v>477</v>
      </c>
      <c r="Y925" s="352" t="s">
        <v>85</v>
      </c>
      <c r="Z925" s="105">
        <v>24924</v>
      </c>
      <c r="AA925" s="107">
        <f>IFERROR((Table6[[#This Row],[Paired WTG Generation for loss calculation]]/24)*Table6[[#This Row],[Breakdown Time]],"")</f>
        <v>1159.6583333333347</v>
      </c>
      <c r="AB925" s="105" t="s">
        <v>472</v>
      </c>
    </row>
    <row r="926" spans="1:28">
      <c r="A926" s="105">
        <f t="shared" si="14"/>
        <v>925</v>
      </c>
      <c r="B926" s="107">
        <f>YEAR(Table6[[#This Row],[Date]])+IF(MONTH(Table6[[#This Row],[Date]])&gt;=4,1,0)</f>
        <v>2026</v>
      </c>
      <c r="C926" s="105">
        <f>YEAR(Table6[[#This Row],[Date]])</f>
        <v>2025</v>
      </c>
      <c r="D926" s="105" t="s">
        <v>465</v>
      </c>
      <c r="E926" s="119">
        <f>Table6[[#This Row],[Date]]-DAY(Table6[[#This Row],[Date]])+1</f>
        <v>45839</v>
      </c>
      <c r="F926" s="118">
        <v>45842</v>
      </c>
      <c r="G926" s="105" t="s">
        <v>77</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473</v>
      </c>
      <c r="N926" s="39" t="s">
        <v>474</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703</v>
      </c>
      <c r="V926" s="351" t="s">
        <v>476</v>
      </c>
      <c r="W926" s="338">
        <f>Table6[[#This Row],[Breakdown Time]]*(1/39)</f>
        <v>0.2</v>
      </c>
      <c r="X926" s="336" t="s">
        <v>477</v>
      </c>
      <c r="Y926" s="352" t="s">
        <v>76</v>
      </c>
      <c r="Z926" s="105">
        <v>23114</v>
      </c>
      <c r="AA926" s="107">
        <f>IFERROR((Table6[[#This Row],[Paired WTG Generation for loss calculation]]/24)*Table6[[#This Row],[Breakdown Time]],"")</f>
        <v>7512.0500000000011</v>
      </c>
      <c r="AB926" s="105" t="s">
        <v>472</v>
      </c>
    </row>
    <row r="927" spans="1:28">
      <c r="A927" s="105">
        <f t="shared" si="14"/>
        <v>926</v>
      </c>
      <c r="B927" s="107">
        <f>YEAR(Table6[[#This Row],[Date]])+IF(MONTH(Table6[[#This Row],[Date]])&gt;=4,1,0)</f>
        <v>2026</v>
      </c>
      <c r="C927" s="105">
        <f>YEAR(Table6[[#This Row],[Date]])</f>
        <v>2025</v>
      </c>
      <c r="D927" s="105" t="s">
        <v>465</v>
      </c>
      <c r="E927" s="119">
        <f>Table6[[#This Row],[Date]]-DAY(Table6[[#This Row],[Date]])+1</f>
        <v>45839</v>
      </c>
      <c r="F927" s="118">
        <v>45843</v>
      </c>
      <c r="G927" s="105" t="s">
        <v>103</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466</v>
      </c>
      <c r="L927" s="39" t="str">
        <f>IFERROR(VLOOKUP(Table6[[#This Row],[Error Code]],'Basic Data'!$T:$U,2,0),"")</f>
        <v>Manual Stop - Safety Related</v>
      </c>
      <c r="M927" s="346" t="s">
        <v>467</v>
      </c>
      <c r="N927" s="39" t="s">
        <v>468</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469</v>
      </c>
      <c r="V927" s="351" t="s">
        <v>470</v>
      </c>
      <c r="W927" s="338">
        <f>Table6[[#This Row],[Breakdown Time]]*(1/39)</f>
        <v>0.61537749287749288</v>
      </c>
      <c r="X927" s="336" t="s">
        <v>471</v>
      </c>
      <c r="Y927" s="352" t="s">
        <v>102</v>
      </c>
      <c r="Z927" s="105">
        <v>22500</v>
      </c>
      <c r="AA927" s="107">
        <f>IFERROR((Table6[[#This Row],[Paired WTG Generation for loss calculation]]/24)*Table6[[#This Row],[Breakdown Time]],"")</f>
        <v>22499.739583333336</v>
      </c>
      <c r="AB927" s="105" t="s">
        <v>472</v>
      </c>
    </row>
    <row r="928" spans="1:28">
      <c r="A928" s="105">
        <f t="shared" si="14"/>
        <v>927</v>
      </c>
      <c r="B928" s="107">
        <f>YEAR(Table6[[#This Row],[Date]])+IF(MONTH(Table6[[#This Row],[Date]])&gt;=4,1,0)</f>
        <v>2026</v>
      </c>
      <c r="C928" s="105">
        <f>YEAR(Table6[[#This Row],[Date]])</f>
        <v>2025</v>
      </c>
      <c r="D928" s="105" t="s">
        <v>465</v>
      </c>
      <c r="E928" s="119">
        <f>Table6[[#This Row],[Date]]-DAY(Table6[[#This Row],[Date]])+1</f>
        <v>45839</v>
      </c>
      <c r="F928" s="118">
        <v>45843</v>
      </c>
      <c r="G928" s="105" t="s">
        <v>101</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466</v>
      </c>
      <c r="L928" s="39" t="str">
        <f>IFERROR(VLOOKUP(Table6[[#This Row],[Error Code]],'Basic Data'!$T:$U,2,0),"")</f>
        <v>Manual Stop - Safety Related</v>
      </c>
      <c r="M928" s="346" t="s">
        <v>467</v>
      </c>
      <c r="N928" s="39" t="s">
        <v>468</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469</v>
      </c>
      <c r="V928" s="351" t="s">
        <v>470</v>
      </c>
      <c r="W928" s="338">
        <f>Table6[[#This Row],[Breakdown Time]]*(1/39)</f>
        <v>0.61537749287749288</v>
      </c>
      <c r="X928" s="336" t="s">
        <v>471</v>
      </c>
      <c r="Y928" s="352" t="s">
        <v>102</v>
      </c>
      <c r="Z928" s="105">
        <v>22500</v>
      </c>
      <c r="AA928" s="107">
        <f>IFERROR((Table6[[#This Row],[Paired WTG Generation for loss calculation]]/24)*Table6[[#This Row],[Breakdown Time]],"")</f>
        <v>22499.739583333336</v>
      </c>
      <c r="AB928" s="105" t="s">
        <v>472</v>
      </c>
    </row>
    <row r="929" spans="1:28">
      <c r="A929" s="105">
        <f t="shared" si="14"/>
        <v>928</v>
      </c>
      <c r="B929" s="107">
        <f>YEAR(Table6[[#This Row],[Date]])+IF(MONTH(Table6[[#This Row],[Date]])&gt;=4,1,0)</f>
        <v>2026</v>
      </c>
      <c r="C929" s="105">
        <f>YEAR(Table6[[#This Row],[Date]])</f>
        <v>2025</v>
      </c>
      <c r="D929" s="105" t="s">
        <v>465</v>
      </c>
      <c r="E929" s="119">
        <f>Table6[[#This Row],[Date]]-DAY(Table6[[#This Row],[Date]])+1</f>
        <v>45839</v>
      </c>
      <c r="F929" s="118">
        <v>45843</v>
      </c>
      <c r="G929" s="105" t="s">
        <v>90</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473</v>
      </c>
      <c r="N929" s="39" t="s">
        <v>474</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650</v>
      </c>
      <c r="V929" s="351" t="s">
        <v>470</v>
      </c>
      <c r="W929" s="338">
        <f>Table6[[#This Row],[Breakdown Time]]*(1/39)</f>
        <v>0.61537749287749288</v>
      </c>
      <c r="X929" s="336" t="s">
        <v>477</v>
      </c>
      <c r="Y929" s="352" t="s">
        <v>91</v>
      </c>
      <c r="Z929" s="105">
        <v>22499</v>
      </c>
      <c r="AA929" s="107">
        <f>IFERROR((Table6[[#This Row],[Paired WTG Generation for loss calculation]]/24)*Table6[[#This Row],[Breakdown Time]],"")</f>
        <v>22498.739594907413</v>
      </c>
      <c r="AB929" s="105" t="s">
        <v>472</v>
      </c>
    </row>
    <row r="930" spans="1:28">
      <c r="A930" s="105">
        <f t="shared" si="14"/>
        <v>929</v>
      </c>
      <c r="B930" s="107">
        <f>YEAR(Table6[[#This Row],[Date]])+IF(MONTH(Table6[[#This Row],[Date]])&gt;=4,1,0)</f>
        <v>2026</v>
      </c>
      <c r="C930" s="105">
        <f>YEAR(Table6[[#This Row],[Date]])</f>
        <v>2025</v>
      </c>
      <c r="D930" s="105" t="s">
        <v>465</v>
      </c>
      <c r="E930" s="119">
        <f>Table6[[#This Row],[Date]]-DAY(Table6[[#This Row],[Date]])+1</f>
        <v>45839</v>
      </c>
      <c r="F930" s="118">
        <v>45843</v>
      </c>
      <c r="G930" s="105" t="s">
        <v>104</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473</v>
      </c>
      <c r="N930" s="39" t="s">
        <v>474</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704</v>
      </c>
      <c r="V930" s="351" t="s">
        <v>476</v>
      </c>
      <c r="W930" s="338">
        <f>Table6[[#This Row],[Breakdown Time]]*(1/39)</f>
        <v>6.4529914529914537E-2</v>
      </c>
      <c r="X930" s="336" t="s">
        <v>477</v>
      </c>
      <c r="Y930" s="352" t="s">
        <v>98</v>
      </c>
      <c r="Z930" s="105">
        <v>20625</v>
      </c>
      <c r="AA930" s="107">
        <f>IFERROR((Table6[[#This Row],[Paired WTG Generation for loss calculation]]/24)*Table6[[#This Row],[Breakdown Time]],"")</f>
        <v>2162.760416666667</v>
      </c>
      <c r="AB930" s="105" t="s">
        <v>472</v>
      </c>
    </row>
    <row r="931" spans="1:28">
      <c r="A931" s="105">
        <f t="shared" si="14"/>
        <v>930</v>
      </c>
      <c r="B931" s="107">
        <f>YEAR(Table6[[#This Row],[Date]])+IF(MONTH(Table6[[#This Row],[Date]])&gt;=4,1,0)</f>
        <v>2026</v>
      </c>
      <c r="C931" s="105">
        <f>YEAR(Table6[[#This Row],[Date]])</f>
        <v>2025</v>
      </c>
      <c r="D931" s="105" t="s">
        <v>465</v>
      </c>
      <c r="E931" s="119">
        <f>Table6[[#This Row],[Date]]-DAY(Table6[[#This Row],[Date]])+1</f>
        <v>45839</v>
      </c>
      <c r="F931" s="118">
        <v>45843</v>
      </c>
      <c r="G931" s="105" t="s">
        <v>84</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473</v>
      </c>
      <c r="N931" s="39" t="s">
        <v>474</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475</v>
      </c>
      <c r="V931" s="351" t="s">
        <v>476</v>
      </c>
      <c r="W931" s="338">
        <f>Table6[[#This Row],[Breakdown Time]]*(1/39)</f>
        <v>1.7948717948717954E-2</v>
      </c>
      <c r="X931" s="336" t="s">
        <v>477</v>
      </c>
      <c r="Y931" s="352" t="s">
        <v>83</v>
      </c>
      <c r="Z931" s="105">
        <v>21814</v>
      </c>
      <c r="AA931" s="107">
        <f>IFERROR((Table6[[#This Row],[Paired WTG Generation for loss calculation]]/24)*Table6[[#This Row],[Breakdown Time]],"")</f>
        <v>636.24166666666679</v>
      </c>
      <c r="AB931" s="105" t="s">
        <v>472</v>
      </c>
    </row>
    <row r="932" spans="1:28">
      <c r="A932" s="105">
        <f t="shared" si="14"/>
        <v>931</v>
      </c>
      <c r="B932" s="107">
        <f>YEAR(Table6[[#This Row],[Date]])+IF(MONTH(Table6[[#This Row],[Date]])&gt;=4,1,0)</f>
        <v>2026</v>
      </c>
      <c r="C932" s="105">
        <f>YEAR(Table6[[#This Row],[Date]])</f>
        <v>2025</v>
      </c>
      <c r="D932" s="105" t="s">
        <v>465</v>
      </c>
      <c r="E932" s="119">
        <f>Table6[[#This Row],[Date]]-DAY(Table6[[#This Row],[Date]])+1</f>
        <v>45839</v>
      </c>
      <c r="F932" s="118">
        <v>45844</v>
      </c>
      <c r="G932" s="105" t="s">
        <v>103</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466</v>
      </c>
      <c r="L932" s="39" t="str">
        <f>IFERROR(VLOOKUP(Table6[[#This Row],[Error Code]],'Basic Data'!$T:$U,2,0),"")</f>
        <v>Manual Stop - Safety Related</v>
      </c>
      <c r="M932" s="346" t="s">
        <v>467</v>
      </c>
      <c r="N932" s="39" t="s">
        <v>468</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469</v>
      </c>
      <c r="V932" s="351" t="s">
        <v>470</v>
      </c>
      <c r="W932" s="338">
        <f>Table6[[#This Row],[Breakdown Time]]*(1/39)</f>
        <v>0.61537749287749288</v>
      </c>
      <c r="X932" s="336" t="s">
        <v>471</v>
      </c>
      <c r="Y932" s="352" t="s">
        <v>102</v>
      </c>
      <c r="Z932" s="105">
        <v>33225</v>
      </c>
      <c r="AA932" s="107">
        <f>IFERROR((Table6[[#This Row],[Paired WTG Generation for loss calculation]]/24)*Table6[[#This Row],[Breakdown Time]],"")</f>
        <v>33224.615451388891</v>
      </c>
      <c r="AB932" s="105" t="s">
        <v>472</v>
      </c>
    </row>
    <row r="933" spans="1:28">
      <c r="A933" s="105">
        <f t="shared" si="14"/>
        <v>932</v>
      </c>
      <c r="B933" s="107">
        <f>YEAR(Table6[[#This Row],[Date]])+IF(MONTH(Table6[[#This Row],[Date]])&gt;=4,1,0)</f>
        <v>2026</v>
      </c>
      <c r="C933" s="105">
        <f>YEAR(Table6[[#This Row],[Date]])</f>
        <v>2025</v>
      </c>
      <c r="D933" s="105" t="s">
        <v>465</v>
      </c>
      <c r="E933" s="119">
        <f>Table6[[#This Row],[Date]]-DAY(Table6[[#This Row],[Date]])+1</f>
        <v>45839</v>
      </c>
      <c r="F933" s="118">
        <v>45844</v>
      </c>
      <c r="G933" s="105" t="s">
        <v>101</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466</v>
      </c>
      <c r="L933" s="39" t="str">
        <f>IFERROR(VLOOKUP(Table6[[#This Row],[Error Code]],'Basic Data'!$T:$U,2,0),"")</f>
        <v>Manual Stop - Safety Related</v>
      </c>
      <c r="M933" s="346" t="s">
        <v>467</v>
      </c>
      <c r="N933" s="39" t="s">
        <v>468</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469</v>
      </c>
      <c r="V933" s="351" t="s">
        <v>470</v>
      </c>
      <c r="W933" s="338">
        <f>Table6[[#This Row],[Breakdown Time]]*(1/39)</f>
        <v>0.61537749287749288</v>
      </c>
      <c r="X933" s="336" t="s">
        <v>471</v>
      </c>
      <c r="Y933" s="352" t="s">
        <v>102</v>
      </c>
      <c r="Z933" s="105">
        <v>33225</v>
      </c>
      <c r="AA933" s="107">
        <f>IFERROR((Table6[[#This Row],[Paired WTG Generation for loss calculation]]/24)*Table6[[#This Row],[Breakdown Time]],"")</f>
        <v>33224.615451388891</v>
      </c>
      <c r="AB933" s="105" t="s">
        <v>472</v>
      </c>
    </row>
    <row r="934" spans="1:28">
      <c r="A934" s="105">
        <f t="shared" si="14"/>
        <v>933</v>
      </c>
      <c r="B934" s="107">
        <f>YEAR(Table6[[#This Row],[Date]])+IF(MONTH(Table6[[#This Row],[Date]])&gt;=4,1,0)</f>
        <v>2026</v>
      </c>
      <c r="C934" s="105">
        <f>YEAR(Table6[[#This Row],[Date]])</f>
        <v>2025</v>
      </c>
      <c r="D934" s="105" t="s">
        <v>465</v>
      </c>
      <c r="E934" s="119">
        <f>Table6[[#This Row],[Date]]-DAY(Table6[[#This Row],[Date]])+1</f>
        <v>45839</v>
      </c>
      <c r="F934" s="118">
        <v>45844</v>
      </c>
      <c r="G934" s="105" t="s">
        <v>90</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473</v>
      </c>
      <c r="N934" s="39" t="s">
        <v>474</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650</v>
      </c>
      <c r="V934" s="351" t="s">
        <v>470</v>
      </c>
      <c r="W934" s="338">
        <f>Table6[[#This Row],[Breakdown Time]]*(1/39)</f>
        <v>0.61537749287749288</v>
      </c>
      <c r="X934" s="336" t="s">
        <v>477</v>
      </c>
      <c r="Y934" s="352" t="s">
        <v>91</v>
      </c>
      <c r="Z934" s="105">
        <v>32045</v>
      </c>
      <c r="AA934" s="107">
        <f>IFERROR((Table6[[#This Row],[Paired WTG Generation for loss calculation]]/24)*Table6[[#This Row],[Breakdown Time]],"")</f>
        <v>32044.629108796296</v>
      </c>
      <c r="AB934" s="105" t="s">
        <v>472</v>
      </c>
    </row>
    <row r="935" spans="1:28">
      <c r="A935" s="105">
        <f t="shared" si="14"/>
        <v>934</v>
      </c>
      <c r="B935" s="107">
        <f>YEAR(Table6[[#This Row],[Date]])+IF(MONTH(Table6[[#This Row],[Date]])&gt;=4,1,0)</f>
        <v>2026</v>
      </c>
      <c r="C935" s="105">
        <f>YEAR(Table6[[#This Row],[Date]])</f>
        <v>2025</v>
      </c>
      <c r="D935" s="105" t="s">
        <v>465</v>
      </c>
      <c r="E935" s="119">
        <f>Table6[[#This Row],[Date]]-DAY(Table6[[#This Row],[Date]])+1</f>
        <v>45839</v>
      </c>
      <c r="F935" s="118">
        <v>45844</v>
      </c>
      <c r="G935" s="105" t="s">
        <v>107</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473</v>
      </c>
      <c r="N935" s="39" t="s">
        <v>474</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705</v>
      </c>
      <c r="V935" s="351" t="s">
        <v>476</v>
      </c>
      <c r="W935" s="338">
        <f>Table6[[#This Row],[Breakdown Time]]*(1/39)</f>
        <v>4.0598290598290586E-2</v>
      </c>
      <c r="X935" s="336" t="s">
        <v>477</v>
      </c>
      <c r="Y935" s="352" t="s">
        <v>108</v>
      </c>
      <c r="Z935" s="105">
        <v>24441</v>
      </c>
      <c r="AA935" s="107">
        <f>IFERROR((Table6[[#This Row],[Paired WTG Generation for loss calculation]]/24)*Table6[[#This Row],[Breakdown Time]],"")</f>
        <v>1612.427083333333</v>
      </c>
      <c r="AB935" s="105" t="s">
        <v>472</v>
      </c>
    </row>
    <row r="936" spans="1:28">
      <c r="A936" s="105">
        <f t="shared" si="14"/>
        <v>935</v>
      </c>
      <c r="B936" s="107">
        <f>YEAR(Table6[[#This Row],[Date]])+IF(MONTH(Table6[[#This Row],[Date]])&gt;=4,1,0)</f>
        <v>2026</v>
      </c>
      <c r="C936" s="105">
        <f>YEAR(Table6[[#This Row],[Date]])</f>
        <v>2025</v>
      </c>
      <c r="D936" s="105" t="s">
        <v>465</v>
      </c>
      <c r="E936" s="119">
        <f>Table6[[#This Row],[Date]]-DAY(Table6[[#This Row],[Date]])+1</f>
        <v>45839</v>
      </c>
      <c r="F936" s="118">
        <v>45844</v>
      </c>
      <c r="G936" s="105" t="s">
        <v>89</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473</v>
      </c>
      <c r="N936" s="39" t="s">
        <v>474</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706</v>
      </c>
      <c r="V936" s="351" t="s">
        <v>476</v>
      </c>
      <c r="W936" s="338">
        <f>Table6[[#This Row],[Breakdown Time]]*(1/39)</f>
        <v>2.5641025641025616E-2</v>
      </c>
      <c r="X936" s="336" t="s">
        <v>477</v>
      </c>
      <c r="Y936" s="352" t="s">
        <v>91</v>
      </c>
      <c r="Z936" s="105">
        <v>32045</v>
      </c>
      <c r="AA936" s="107">
        <f>IFERROR((Table6[[#This Row],[Paired WTG Generation for loss calculation]]/24)*Table6[[#This Row],[Breakdown Time]],"")</f>
        <v>1335.2083333333321</v>
      </c>
      <c r="AB936" s="105" t="s">
        <v>472</v>
      </c>
    </row>
    <row r="937" spans="1:28">
      <c r="A937" s="105">
        <f t="shared" si="14"/>
        <v>936</v>
      </c>
      <c r="B937" s="107">
        <f>YEAR(Table6[[#This Row],[Date]])+IF(MONTH(Table6[[#This Row],[Date]])&gt;=4,1,0)</f>
        <v>2026</v>
      </c>
      <c r="C937" s="105">
        <f>YEAR(Table6[[#This Row],[Date]])</f>
        <v>2025</v>
      </c>
      <c r="D937" s="105" t="s">
        <v>465</v>
      </c>
      <c r="E937" s="119">
        <f>Table6[[#This Row],[Date]]-DAY(Table6[[#This Row],[Date]])+1</f>
        <v>45839</v>
      </c>
      <c r="F937" s="118">
        <v>45845</v>
      </c>
      <c r="G937" s="105" t="s">
        <v>103</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466</v>
      </c>
      <c r="L937" s="39" t="str">
        <f>IFERROR(VLOOKUP(Table6[[#This Row],[Error Code]],'Basic Data'!$T:$U,2,0),"")</f>
        <v>Manual Stop - Safety Related</v>
      </c>
      <c r="M937" s="346" t="s">
        <v>467</v>
      </c>
      <c r="N937" s="39" t="s">
        <v>468</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469</v>
      </c>
      <c r="V937" s="351" t="s">
        <v>470</v>
      </c>
      <c r="W937" s="338">
        <f>Table6[[#This Row],[Breakdown Time]]*(1/39)</f>
        <v>0.61537749287749288</v>
      </c>
      <c r="X937" s="336" t="s">
        <v>471</v>
      </c>
      <c r="Y937" s="352" t="s">
        <v>102</v>
      </c>
      <c r="Z937" s="105">
        <v>9225</v>
      </c>
      <c r="AA937" s="107">
        <f>IFERROR((Table6[[#This Row],[Paired WTG Generation for loss calculation]]/24)*Table6[[#This Row],[Breakdown Time]],"")</f>
        <v>9224.8932291666679</v>
      </c>
      <c r="AB937" s="105" t="s">
        <v>472</v>
      </c>
    </row>
    <row r="938" spans="1:28">
      <c r="A938" s="105">
        <f t="shared" si="14"/>
        <v>937</v>
      </c>
      <c r="B938" s="107">
        <f>YEAR(Table6[[#This Row],[Date]])+IF(MONTH(Table6[[#This Row],[Date]])&gt;=4,1,0)</f>
        <v>2026</v>
      </c>
      <c r="C938" s="105">
        <f>YEAR(Table6[[#This Row],[Date]])</f>
        <v>2025</v>
      </c>
      <c r="D938" s="105" t="s">
        <v>465</v>
      </c>
      <c r="E938" s="119">
        <f>Table6[[#This Row],[Date]]-DAY(Table6[[#This Row],[Date]])+1</f>
        <v>45839</v>
      </c>
      <c r="F938" s="118">
        <v>45845</v>
      </c>
      <c r="G938" s="105" t="s">
        <v>101</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466</v>
      </c>
      <c r="L938" s="39" t="str">
        <f>IFERROR(VLOOKUP(Table6[[#This Row],[Error Code]],'Basic Data'!$T:$U,2,0),"")</f>
        <v>Manual Stop - Safety Related</v>
      </c>
      <c r="M938" s="346" t="s">
        <v>467</v>
      </c>
      <c r="N938" s="39" t="s">
        <v>468</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469</v>
      </c>
      <c r="V938" s="351" t="s">
        <v>470</v>
      </c>
      <c r="W938" s="338">
        <f>Table6[[#This Row],[Breakdown Time]]*(1/39)</f>
        <v>0.61537749287749288</v>
      </c>
      <c r="X938" s="336" t="s">
        <v>471</v>
      </c>
      <c r="Y938" s="352" t="s">
        <v>102</v>
      </c>
      <c r="Z938" s="105">
        <v>9225</v>
      </c>
      <c r="AA938" s="107">
        <f>IFERROR((Table6[[#This Row],[Paired WTG Generation for loss calculation]]/24)*Table6[[#This Row],[Breakdown Time]],"")</f>
        <v>9224.8932291666679</v>
      </c>
      <c r="AB938" s="105" t="s">
        <v>472</v>
      </c>
    </row>
    <row r="939" spans="1:28">
      <c r="A939" s="105">
        <f t="shared" si="14"/>
        <v>938</v>
      </c>
      <c r="B939" s="107">
        <f>YEAR(Table6[[#This Row],[Date]])+IF(MONTH(Table6[[#This Row],[Date]])&gt;=4,1,0)</f>
        <v>2026</v>
      </c>
      <c r="C939" s="105">
        <f>YEAR(Table6[[#This Row],[Date]])</f>
        <v>2025</v>
      </c>
      <c r="D939" s="105" t="s">
        <v>465</v>
      </c>
      <c r="E939" s="119">
        <f>Table6[[#This Row],[Date]]-DAY(Table6[[#This Row],[Date]])+1</f>
        <v>45839</v>
      </c>
      <c r="F939" s="118">
        <v>45845</v>
      </c>
      <c r="G939" s="105" t="s">
        <v>90</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473</v>
      </c>
      <c r="N939" s="39" t="s">
        <v>474</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650</v>
      </c>
      <c r="V939" s="351" t="s">
        <v>470</v>
      </c>
      <c r="W939" s="338">
        <f>Table6[[#This Row],[Breakdown Time]]*(1/39)</f>
        <v>0.61537749287749288</v>
      </c>
      <c r="X939" s="336" t="s">
        <v>477</v>
      </c>
      <c r="Y939" s="352" t="s">
        <v>91</v>
      </c>
      <c r="Z939" s="105">
        <v>13935</v>
      </c>
      <c r="AA939" s="107">
        <f>IFERROR((Table6[[#This Row],[Paired WTG Generation for loss calculation]]/24)*Table6[[#This Row],[Breakdown Time]],"")</f>
        <v>13934.83871527778</v>
      </c>
      <c r="AB939" s="105" t="s">
        <v>472</v>
      </c>
    </row>
    <row r="940" spans="1:28">
      <c r="A940" s="105">
        <f t="shared" si="14"/>
        <v>939</v>
      </c>
      <c r="B940" s="107">
        <f>YEAR(Table6[[#This Row],[Date]])+IF(MONTH(Table6[[#This Row],[Date]])&gt;=4,1,0)</f>
        <v>2026</v>
      </c>
      <c r="C940" s="105">
        <f>YEAR(Table6[[#This Row],[Date]])</f>
        <v>2025</v>
      </c>
      <c r="D940" s="105" t="s">
        <v>465</v>
      </c>
      <c r="E940" s="119">
        <f>Table6[[#This Row],[Date]]-DAY(Table6[[#This Row],[Date]])+1</f>
        <v>45839</v>
      </c>
      <c r="F940" s="118">
        <v>45845</v>
      </c>
      <c r="G940" s="105" t="s">
        <v>96</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473</v>
      </c>
      <c r="N940" s="39" t="s">
        <v>474</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707</v>
      </c>
      <c r="V940" s="351" t="s">
        <v>476</v>
      </c>
      <c r="W940" s="338">
        <f>Table6[[#This Row],[Breakdown Time]]*(1/39)</f>
        <v>5.1282051282051301E-2</v>
      </c>
      <c r="X940" s="336" t="s">
        <v>477</v>
      </c>
      <c r="Y940" s="352" t="s">
        <v>95</v>
      </c>
      <c r="Z940" s="105">
        <v>9289</v>
      </c>
      <c r="AA940" s="107">
        <f>IFERROR((Table6[[#This Row],[Paired WTG Generation for loss calculation]]/24)*Table6[[#This Row],[Breakdown Time]],"")</f>
        <v>774.08333333333371</v>
      </c>
      <c r="AB940" s="105" t="s">
        <v>472</v>
      </c>
    </row>
    <row r="941" spans="1:28">
      <c r="A941" s="105">
        <f t="shared" si="14"/>
        <v>940</v>
      </c>
      <c r="B941" s="107">
        <f>YEAR(Table6[[#This Row],[Date]])+IF(MONTH(Table6[[#This Row],[Date]])&gt;=4,1,0)</f>
        <v>2026</v>
      </c>
      <c r="C941" s="105">
        <f>YEAR(Table6[[#This Row],[Date]])</f>
        <v>2025</v>
      </c>
      <c r="D941" s="105" t="s">
        <v>465</v>
      </c>
      <c r="E941" s="119">
        <f>Table6[[#This Row],[Date]]-DAY(Table6[[#This Row],[Date]])+1</f>
        <v>45839</v>
      </c>
      <c r="F941" s="118">
        <v>45845</v>
      </c>
      <c r="G941" s="105" t="s">
        <v>105</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473</v>
      </c>
      <c r="N941" s="39" t="s">
        <v>474</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475</v>
      </c>
      <c r="V941" s="351" t="s">
        <v>476</v>
      </c>
      <c r="W941" s="338">
        <f>Table6[[#This Row],[Breakdown Time]]*(1/39)</f>
        <v>1.5811965811965756E-2</v>
      </c>
      <c r="X941" s="336" t="s">
        <v>477</v>
      </c>
      <c r="Y941" s="352" t="s">
        <v>106</v>
      </c>
      <c r="Z941" s="105">
        <v>8006</v>
      </c>
      <c r="AA941" s="107">
        <f>IFERROR((Table6[[#This Row],[Paired WTG Generation for loss calculation]]/24)*Table6[[#This Row],[Breakdown Time]],"")</f>
        <v>205.70972222222147</v>
      </c>
      <c r="AB941" s="105" t="s">
        <v>472</v>
      </c>
    </row>
    <row r="942" spans="1:28">
      <c r="A942" s="105">
        <f t="shared" si="14"/>
        <v>941</v>
      </c>
      <c r="B942" s="107">
        <f>YEAR(Table6[[#This Row],[Date]])+IF(MONTH(Table6[[#This Row],[Date]])&gt;=4,1,0)</f>
        <v>2026</v>
      </c>
      <c r="C942" s="105">
        <f>YEAR(Table6[[#This Row],[Date]])</f>
        <v>2025</v>
      </c>
      <c r="D942" s="105" t="s">
        <v>465</v>
      </c>
      <c r="E942" s="119">
        <f>Table6[[#This Row],[Date]]-DAY(Table6[[#This Row],[Date]])+1</f>
        <v>45839</v>
      </c>
      <c r="F942" s="118">
        <v>45846</v>
      </c>
      <c r="G942" s="105" t="s">
        <v>103</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466</v>
      </c>
      <c r="L942" s="39" t="str">
        <f>IFERROR(VLOOKUP(Table6[[#This Row],[Error Code]],'Basic Data'!$T:$U,2,0),"")</f>
        <v>Manual Stop - Safety Related</v>
      </c>
      <c r="M942" s="346" t="s">
        <v>467</v>
      </c>
      <c r="N942" s="39" t="s">
        <v>468</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469</v>
      </c>
      <c r="V942" s="351" t="s">
        <v>470</v>
      </c>
      <c r="W942" s="338">
        <f>Table6[[#This Row],[Breakdown Time]]*(1/39)</f>
        <v>0.61537749287749288</v>
      </c>
      <c r="X942" s="336" t="s">
        <v>471</v>
      </c>
      <c r="Y942" s="352" t="s">
        <v>102</v>
      </c>
      <c r="Z942" s="105">
        <v>13450</v>
      </c>
      <c r="AA942" s="107">
        <f>IFERROR((Table6[[#This Row],[Paired WTG Generation for loss calculation]]/24)*Table6[[#This Row],[Breakdown Time]],"")</f>
        <v>13449.844328703704</v>
      </c>
      <c r="AB942" s="105" t="s">
        <v>472</v>
      </c>
    </row>
    <row r="943" spans="1:28">
      <c r="A943" s="105">
        <f t="shared" si="14"/>
        <v>942</v>
      </c>
      <c r="B943" s="107">
        <f>YEAR(Table6[[#This Row],[Date]])+IF(MONTH(Table6[[#This Row],[Date]])&gt;=4,1,0)</f>
        <v>2026</v>
      </c>
      <c r="C943" s="105">
        <f>YEAR(Table6[[#This Row],[Date]])</f>
        <v>2025</v>
      </c>
      <c r="D943" s="105" t="s">
        <v>465</v>
      </c>
      <c r="E943" s="119">
        <f>Table6[[#This Row],[Date]]-DAY(Table6[[#This Row],[Date]])+1</f>
        <v>45839</v>
      </c>
      <c r="F943" s="118">
        <v>45846</v>
      </c>
      <c r="G943" s="105" t="s">
        <v>101</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466</v>
      </c>
      <c r="L943" s="39" t="str">
        <f>IFERROR(VLOOKUP(Table6[[#This Row],[Error Code]],'Basic Data'!$T:$U,2,0),"")</f>
        <v>Manual Stop - Safety Related</v>
      </c>
      <c r="M943" s="346" t="s">
        <v>467</v>
      </c>
      <c r="N943" s="39" t="s">
        <v>468</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469</v>
      </c>
      <c r="V943" s="351" t="s">
        <v>470</v>
      </c>
      <c r="W943" s="338">
        <f>Table6[[#This Row],[Breakdown Time]]*(1/39)</f>
        <v>0.61537749287749288</v>
      </c>
      <c r="X943" s="336" t="s">
        <v>471</v>
      </c>
      <c r="Y943" s="352" t="s">
        <v>102</v>
      </c>
      <c r="Z943" s="105">
        <v>13450</v>
      </c>
      <c r="AA943" s="107">
        <f>IFERROR((Table6[[#This Row],[Paired WTG Generation for loss calculation]]/24)*Table6[[#This Row],[Breakdown Time]],"")</f>
        <v>13449.844328703704</v>
      </c>
      <c r="AB943" s="105" t="s">
        <v>472</v>
      </c>
    </row>
    <row r="944" spans="1:28">
      <c r="A944" s="105">
        <f t="shared" si="14"/>
        <v>943</v>
      </c>
      <c r="B944" s="107">
        <f>YEAR(Table6[[#This Row],[Date]])+IF(MONTH(Table6[[#This Row],[Date]])&gt;=4,1,0)</f>
        <v>2026</v>
      </c>
      <c r="C944" s="105">
        <f>YEAR(Table6[[#This Row],[Date]])</f>
        <v>2025</v>
      </c>
      <c r="D944" s="105" t="s">
        <v>465</v>
      </c>
      <c r="E944" s="119">
        <f>Table6[[#This Row],[Date]]-DAY(Table6[[#This Row],[Date]])+1</f>
        <v>45839</v>
      </c>
      <c r="F944" s="118">
        <v>45846</v>
      </c>
      <c r="G944" s="105" t="s">
        <v>90</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473</v>
      </c>
      <c r="N944" s="39" t="s">
        <v>474</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708</v>
      </c>
      <c r="V944" s="351" t="s">
        <v>470</v>
      </c>
      <c r="W944" s="338">
        <f>Table6[[#This Row],[Breakdown Time]]*(1/39)</f>
        <v>0.61537749287749288</v>
      </c>
      <c r="X944" s="336" t="s">
        <v>477</v>
      </c>
      <c r="Y944" s="352" t="s">
        <v>91</v>
      </c>
      <c r="Z944" s="105">
        <v>20689</v>
      </c>
      <c r="AA944" s="107">
        <f>IFERROR((Table6[[#This Row],[Paired WTG Generation for loss calculation]]/24)*Table6[[#This Row],[Breakdown Time]],"")</f>
        <v>20688.760543981483</v>
      </c>
      <c r="AB944" s="105" t="s">
        <v>472</v>
      </c>
    </row>
    <row r="945" spans="1:28">
      <c r="A945" s="105">
        <f t="shared" si="14"/>
        <v>944</v>
      </c>
      <c r="B945" s="107">
        <f>YEAR(Table6[[#This Row],[Date]])+IF(MONTH(Table6[[#This Row],[Date]])&gt;=4,1,0)</f>
        <v>2026</v>
      </c>
      <c r="C945" s="105">
        <f>YEAR(Table6[[#This Row],[Date]])</f>
        <v>2025</v>
      </c>
      <c r="D945" s="105" t="s">
        <v>465</v>
      </c>
      <c r="E945" s="119">
        <f>Table6[[#This Row],[Date]]-DAY(Table6[[#This Row],[Date]])+1</f>
        <v>45839</v>
      </c>
      <c r="F945" s="118">
        <v>45846</v>
      </c>
      <c r="G945" s="105" t="s">
        <v>74</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473</v>
      </c>
      <c r="N945" s="39" t="s">
        <v>474</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709</v>
      </c>
      <c r="V945" s="351" t="s">
        <v>476</v>
      </c>
      <c r="W945" s="338">
        <f>Table6[[#This Row],[Breakdown Time]]*(1/39)</f>
        <v>0.17350427350427353</v>
      </c>
      <c r="X945" s="336" t="s">
        <v>477</v>
      </c>
      <c r="Y945" s="352" t="s">
        <v>80</v>
      </c>
      <c r="Z945" s="105">
        <v>16576</v>
      </c>
      <c r="AA945" s="107">
        <f>IFERROR((Table6[[#This Row],[Paired WTG Generation for loss calculation]]/24)*Table6[[#This Row],[Breakdown Time]],"")</f>
        <v>4673.5111111111119</v>
      </c>
      <c r="AB945" s="105" t="s">
        <v>472</v>
      </c>
    </row>
    <row r="946" spans="1:28">
      <c r="A946" s="105">
        <f t="shared" si="14"/>
        <v>945</v>
      </c>
      <c r="B946" s="107">
        <f>YEAR(Table6[[#This Row],[Date]])+IF(MONTH(Table6[[#This Row],[Date]])&gt;=4,1,0)</f>
        <v>2026</v>
      </c>
      <c r="C946" s="105">
        <f>YEAR(Table6[[#This Row],[Date]])</f>
        <v>2025</v>
      </c>
      <c r="D946" s="105" t="s">
        <v>465</v>
      </c>
      <c r="E946" s="119">
        <f>Table6[[#This Row],[Date]]-DAY(Table6[[#This Row],[Date]])+1</f>
        <v>45839</v>
      </c>
      <c r="F946" s="118">
        <v>45847</v>
      </c>
      <c r="G946" s="105" t="s">
        <v>103</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466</v>
      </c>
      <c r="L946" s="39" t="str">
        <f>IFERROR(VLOOKUP(Table6[[#This Row],[Error Code]],'Basic Data'!$T:$U,2,0),"")</f>
        <v>Manual Stop - Safety Related</v>
      </c>
      <c r="M946" s="346" t="s">
        <v>467</v>
      </c>
      <c r="N946" s="39" t="s">
        <v>468</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469</v>
      </c>
      <c r="V946" s="351" t="s">
        <v>470</v>
      </c>
      <c r="W946" s="338">
        <f>Table6[[#This Row],[Breakdown Time]]*(1/39)</f>
        <v>0.61537749287749288</v>
      </c>
      <c r="X946" s="336" t="s">
        <v>471</v>
      </c>
      <c r="Y946" s="352" t="s">
        <v>102</v>
      </c>
      <c r="Z946" s="105">
        <v>6877</v>
      </c>
      <c r="AA946" s="107">
        <f>IFERROR((Table6[[#This Row],[Paired WTG Generation for loss calculation]]/24)*Table6[[#This Row],[Breakdown Time]],"")</f>
        <v>6876.9204050925937</v>
      </c>
      <c r="AB946" s="105" t="s">
        <v>472</v>
      </c>
    </row>
    <row r="947" spans="1:28">
      <c r="A947" s="105">
        <f t="shared" si="14"/>
        <v>946</v>
      </c>
      <c r="B947" s="107">
        <f>YEAR(Table6[[#This Row],[Date]])+IF(MONTH(Table6[[#This Row],[Date]])&gt;=4,1,0)</f>
        <v>2026</v>
      </c>
      <c r="C947" s="105">
        <f>YEAR(Table6[[#This Row],[Date]])</f>
        <v>2025</v>
      </c>
      <c r="D947" s="105" t="s">
        <v>465</v>
      </c>
      <c r="E947" s="119">
        <f>Table6[[#This Row],[Date]]-DAY(Table6[[#This Row],[Date]])+1</f>
        <v>45839</v>
      </c>
      <c r="F947" s="118">
        <v>45847</v>
      </c>
      <c r="G947" s="105" t="s">
        <v>101</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466</v>
      </c>
      <c r="L947" s="39" t="str">
        <f>IFERROR(VLOOKUP(Table6[[#This Row],[Error Code]],'Basic Data'!$T:$U,2,0),"")</f>
        <v>Manual Stop - Safety Related</v>
      </c>
      <c r="M947" s="346" t="s">
        <v>467</v>
      </c>
      <c r="N947" s="39" t="s">
        <v>468</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469</v>
      </c>
      <c r="V947" s="351" t="s">
        <v>470</v>
      </c>
      <c r="W947" s="338">
        <f>Table6[[#This Row],[Breakdown Time]]*(1/39)</f>
        <v>0.61537749287749288</v>
      </c>
      <c r="X947" s="336" t="s">
        <v>471</v>
      </c>
      <c r="Y947" s="352" t="s">
        <v>102</v>
      </c>
      <c r="Z947" s="105">
        <v>6877</v>
      </c>
      <c r="AA947" s="107">
        <f>IFERROR((Table6[[#This Row],[Paired WTG Generation for loss calculation]]/24)*Table6[[#This Row],[Breakdown Time]],"")</f>
        <v>6876.9204050925937</v>
      </c>
      <c r="AB947" s="105" t="s">
        <v>472</v>
      </c>
    </row>
    <row r="948" spans="1:28">
      <c r="A948" s="105">
        <f t="shared" si="14"/>
        <v>947</v>
      </c>
      <c r="B948" s="107">
        <f>YEAR(Table6[[#This Row],[Date]])+IF(MONTH(Table6[[#This Row],[Date]])&gt;=4,1,0)</f>
        <v>2026</v>
      </c>
      <c r="C948" s="105">
        <f>YEAR(Table6[[#This Row],[Date]])</f>
        <v>2025</v>
      </c>
      <c r="D948" s="105" t="s">
        <v>465</v>
      </c>
      <c r="E948" s="119">
        <f>Table6[[#This Row],[Date]]-DAY(Table6[[#This Row],[Date]])+1</f>
        <v>45839</v>
      </c>
      <c r="F948" s="118">
        <v>45847</v>
      </c>
      <c r="G948" s="105" t="s">
        <v>90</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473</v>
      </c>
      <c r="N948" s="39" t="s">
        <v>474</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710</v>
      </c>
      <c r="V948" s="351" t="s">
        <v>470</v>
      </c>
      <c r="W948" s="338">
        <f>Table6[[#This Row],[Breakdown Time]]*(1/39)</f>
        <v>0.61537749287749288</v>
      </c>
      <c r="X948" s="336" t="s">
        <v>477</v>
      </c>
      <c r="Y948" s="352" t="s">
        <v>91</v>
      </c>
      <c r="Z948" s="105">
        <v>12355</v>
      </c>
      <c r="AA948" s="107">
        <f>IFERROR((Table6[[#This Row],[Paired WTG Generation for loss calculation]]/24)*Table6[[#This Row],[Breakdown Time]],"")</f>
        <v>12354.857002314815</v>
      </c>
      <c r="AB948" s="105" t="s">
        <v>472</v>
      </c>
    </row>
    <row r="949" spans="1:28">
      <c r="A949" s="105">
        <f t="shared" si="14"/>
        <v>948</v>
      </c>
      <c r="B949" s="107">
        <f>YEAR(Table6[[#This Row],[Date]])+IF(MONTH(Table6[[#This Row],[Date]])&gt;=4,1,0)</f>
        <v>2026</v>
      </c>
      <c r="C949" s="105">
        <f>YEAR(Table6[[#This Row],[Date]])</f>
        <v>2025</v>
      </c>
      <c r="D949" s="105" t="s">
        <v>465</v>
      </c>
      <c r="E949" s="119">
        <f>Table6[[#This Row],[Date]]-DAY(Table6[[#This Row],[Date]])+1</f>
        <v>45839</v>
      </c>
      <c r="F949" s="118">
        <v>45847</v>
      </c>
      <c r="G949" s="105" t="s">
        <v>77</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473</v>
      </c>
      <c r="N949" s="39" t="s">
        <v>474</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711</v>
      </c>
      <c r="V949" s="351" t="s">
        <v>476</v>
      </c>
      <c r="W949" s="338">
        <f>Table6[[#This Row],[Breakdown Time]]*(1/39)</f>
        <v>5.1282051282051301E-2</v>
      </c>
      <c r="X949" s="336" t="s">
        <v>477</v>
      </c>
      <c r="Y949" s="352" t="s">
        <v>80</v>
      </c>
      <c r="Z949" s="105">
        <v>11467</v>
      </c>
      <c r="AA949" s="107">
        <f>IFERROR((Table6[[#This Row],[Paired WTG Generation for loss calculation]]/24)*Table6[[#This Row],[Breakdown Time]],"")</f>
        <v>955.58333333333383</v>
      </c>
      <c r="AB949" s="105" t="s">
        <v>472</v>
      </c>
    </row>
    <row r="950" spans="1:28">
      <c r="A950" s="105">
        <f t="shared" si="14"/>
        <v>949</v>
      </c>
      <c r="B950" s="107">
        <f>YEAR(Table6[[#This Row],[Date]])+IF(MONTH(Table6[[#This Row],[Date]])&gt;=4,1,0)</f>
        <v>2026</v>
      </c>
      <c r="C950" s="105">
        <f>YEAR(Table6[[#This Row],[Date]])</f>
        <v>2025</v>
      </c>
      <c r="D950" s="105" t="s">
        <v>465</v>
      </c>
      <c r="E950" s="119">
        <f>Table6[[#This Row],[Date]]-DAY(Table6[[#This Row],[Date]])+1</f>
        <v>45839</v>
      </c>
      <c r="F950" s="118">
        <v>45847</v>
      </c>
      <c r="G950" s="105" t="s">
        <v>104</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473</v>
      </c>
      <c r="N950" s="39" t="s">
        <v>474</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712</v>
      </c>
      <c r="V950" s="351" t="s">
        <v>476</v>
      </c>
      <c r="W950" s="338">
        <f>Table6[[#This Row],[Breakdown Time]]*(1/39)</f>
        <v>0.11025641025641023</v>
      </c>
      <c r="X950" s="336" t="s">
        <v>477</v>
      </c>
      <c r="Y950" s="352" t="s">
        <v>98</v>
      </c>
      <c r="Z950" s="105">
        <v>7490</v>
      </c>
      <c r="AA950" s="107">
        <f>IFERROR((Table6[[#This Row],[Paired WTG Generation for loss calculation]]/24)*Table6[[#This Row],[Breakdown Time]],"")</f>
        <v>1341.958333333333</v>
      </c>
      <c r="AB950" s="105" t="s">
        <v>472</v>
      </c>
    </row>
    <row r="951" spans="1:28">
      <c r="A951" s="105">
        <f t="shared" si="14"/>
        <v>950</v>
      </c>
      <c r="B951" s="107">
        <f>YEAR(Table6[[#This Row],[Date]])+IF(MONTH(Table6[[#This Row],[Date]])&gt;=4,1,0)</f>
        <v>2026</v>
      </c>
      <c r="C951" s="105">
        <f>YEAR(Table6[[#This Row],[Date]])</f>
        <v>2025</v>
      </c>
      <c r="D951" s="105" t="s">
        <v>465</v>
      </c>
      <c r="E951" s="119">
        <f>Table6[[#This Row],[Date]]-DAY(Table6[[#This Row],[Date]])+1</f>
        <v>45839</v>
      </c>
      <c r="F951" s="118">
        <v>45848</v>
      </c>
      <c r="G951" s="105" t="s">
        <v>103</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466</v>
      </c>
      <c r="L951" s="39" t="str">
        <f>IFERROR(VLOOKUP(Table6[[#This Row],[Error Code]],'Basic Data'!$T:$U,2,0),"")</f>
        <v>Manual Stop - Safety Related</v>
      </c>
      <c r="M951" s="346" t="s">
        <v>467</v>
      </c>
      <c r="N951" s="39" t="s">
        <v>468</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469</v>
      </c>
      <c r="V951" s="351" t="s">
        <v>470</v>
      </c>
      <c r="W951" s="338">
        <f>Table6[[#This Row],[Breakdown Time]]*(1/39)</f>
        <v>0.61537749287749288</v>
      </c>
      <c r="X951" s="336" t="s">
        <v>471</v>
      </c>
      <c r="Y951" s="352" t="s">
        <v>102</v>
      </c>
      <c r="Z951" s="105">
        <v>4510</v>
      </c>
      <c r="AA951" s="107">
        <f>IFERROR((Table6[[#This Row],[Paired WTG Generation for loss calculation]]/24)*Table6[[#This Row],[Breakdown Time]],"")</f>
        <v>4509.9478009259265</v>
      </c>
      <c r="AB951" s="105" t="s">
        <v>472</v>
      </c>
    </row>
    <row r="952" spans="1:28">
      <c r="A952" s="105">
        <f t="shared" si="14"/>
        <v>951</v>
      </c>
      <c r="B952" s="107">
        <f>YEAR(Table6[[#This Row],[Date]])+IF(MONTH(Table6[[#This Row],[Date]])&gt;=4,1,0)</f>
        <v>2026</v>
      </c>
      <c r="C952" s="105">
        <f>YEAR(Table6[[#This Row],[Date]])</f>
        <v>2025</v>
      </c>
      <c r="D952" s="105" t="s">
        <v>465</v>
      </c>
      <c r="E952" s="119">
        <f>Table6[[#This Row],[Date]]-DAY(Table6[[#This Row],[Date]])+1</f>
        <v>45839</v>
      </c>
      <c r="F952" s="118">
        <v>45848</v>
      </c>
      <c r="G952" s="105" t="s">
        <v>101</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466</v>
      </c>
      <c r="L952" s="39" t="str">
        <f>IFERROR(VLOOKUP(Table6[[#This Row],[Error Code]],'Basic Data'!$T:$U,2,0),"")</f>
        <v>Manual Stop - Safety Related</v>
      </c>
      <c r="M952" s="346" t="s">
        <v>467</v>
      </c>
      <c r="N952" s="39" t="s">
        <v>468</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469</v>
      </c>
      <c r="V952" s="351" t="s">
        <v>470</v>
      </c>
      <c r="W952" s="338">
        <f>Table6[[#This Row],[Breakdown Time]]*(1/39)</f>
        <v>0.61537749287749288</v>
      </c>
      <c r="X952" s="336" t="s">
        <v>471</v>
      </c>
      <c r="Y952" s="352" t="s">
        <v>102</v>
      </c>
      <c r="Z952" s="105">
        <v>4510</v>
      </c>
      <c r="AA952" s="107">
        <f>IFERROR((Table6[[#This Row],[Paired WTG Generation for loss calculation]]/24)*Table6[[#This Row],[Breakdown Time]],"")</f>
        <v>4509.9478009259265</v>
      </c>
      <c r="AB952" s="105" t="s">
        <v>472</v>
      </c>
    </row>
    <row r="953" spans="1:28">
      <c r="A953" s="105">
        <f t="shared" si="14"/>
        <v>952</v>
      </c>
      <c r="B953" s="107">
        <f>YEAR(Table6[[#This Row],[Date]])+IF(MONTH(Table6[[#This Row],[Date]])&gt;=4,1,0)</f>
        <v>2026</v>
      </c>
      <c r="C953" s="105">
        <f>YEAR(Table6[[#This Row],[Date]])</f>
        <v>2025</v>
      </c>
      <c r="D953" s="105" t="s">
        <v>465</v>
      </c>
      <c r="E953" s="119">
        <f>Table6[[#This Row],[Date]]-DAY(Table6[[#This Row],[Date]])+1</f>
        <v>45839</v>
      </c>
      <c r="F953" s="118">
        <v>45848</v>
      </c>
      <c r="G953" s="105" t="s">
        <v>90</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473</v>
      </c>
      <c r="N953" s="39" t="s">
        <v>474</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713</v>
      </c>
      <c r="V953" s="351" t="s">
        <v>470</v>
      </c>
      <c r="W953" s="338">
        <f>Table6[[#This Row],[Breakdown Time]]*(1/39)</f>
        <v>0.61537749287749288</v>
      </c>
      <c r="X953" s="336" t="s">
        <v>477</v>
      </c>
      <c r="Y953" s="352" t="s">
        <v>91</v>
      </c>
      <c r="Z953" s="105">
        <v>6420</v>
      </c>
      <c r="AA953" s="107">
        <f>IFERROR((Table6[[#This Row],[Paired WTG Generation for loss calculation]]/24)*Table6[[#This Row],[Breakdown Time]],"")</f>
        <v>6419.9256944444451</v>
      </c>
      <c r="AB953" s="105" t="s">
        <v>472</v>
      </c>
    </row>
    <row r="954" spans="1:28">
      <c r="A954" s="105">
        <f t="shared" si="14"/>
        <v>953</v>
      </c>
      <c r="B954" s="107">
        <f>YEAR(Table6[[#This Row],[Date]])+IF(MONTH(Table6[[#This Row],[Date]])&gt;=4,1,0)</f>
        <v>2026</v>
      </c>
      <c r="C954" s="105">
        <f>YEAR(Table6[[#This Row],[Date]])</f>
        <v>2025</v>
      </c>
      <c r="D954" s="105" t="s">
        <v>465</v>
      </c>
      <c r="E954" s="119">
        <f>Table6[[#This Row],[Date]]-DAY(Table6[[#This Row],[Date]])+1</f>
        <v>45839</v>
      </c>
      <c r="F954" s="118">
        <v>45848</v>
      </c>
      <c r="G954" s="105" t="s">
        <v>98</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473</v>
      </c>
      <c r="N954" s="39" t="s">
        <v>474</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714</v>
      </c>
      <c r="V954" s="351" t="s">
        <v>476</v>
      </c>
      <c r="W954" s="338">
        <f>Table6[[#This Row],[Breakdown Time]]*(1/39)</f>
        <v>4.6581196581196548E-2</v>
      </c>
      <c r="X954" s="336" t="s">
        <v>477</v>
      </c>
      <c r="Y954" s="352" t="s">
        <v>104</v>
      </c>
      <c r="Z954" s="105">
        <v>3520</v>
      </c>
      <c r="AA954" s="107">
        <f>IFERROR((Table6[[#This Row],[Paired WTG Generation for loss calculation]]/24)*Table6[[#This Row],[Breakdown Time]],"")</f>
        <v>266.44444444444429</v>
      </c>
      <c r="AB954" s="105" t="s">
        <v>472</v>
      </c>
    </row>
    <row r="955" spans="1:28">
      <c r="A955" s="105">
        <f t="shared" si="14"/>
        <v>954</v>
      </c>
      <c r="B955" s="107">
        <f>YEAR(Table6[[#This Row],[Date]])+IF(MONTH(Table6[[#This Row],[Date]])&gt;=4,1,0)</f>
        <v>2026</v>
      </c>
      <c r="C955" s="105">
        <f>YEAR(Table6[[#This Row],[Date]])</f>
        <v>2025</v>
      </c>
      <c r="D955" s="105" t="s">
        <v>465</v>
      </c>
      <c r="E955" s="119">
        <f>Table6[[#This Row],[Date]]-DAY(Table6[[#This Row],[Date]])+1</f>
        <v>45839</v>
      </c>
      <c r="F955" s="118">
        <v>45848</v>
      </c>
      <c r="G955" s="105" t="s">
        <v>100</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473</v>
      </c>
      <c r="N955" s="39" t="s">
        <v>474</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715</v>
      </c>
      <c r="V955" s="351" t="s">
        <v>476</v>
      </c>
      <c r="W955" s="338">
        <f>Table6[[#This Row],[Breakdown Time]]*(1/39)</f>
        <v>0.14188034188034185</v>
      </c>
      <c r="X955" s="336" t="s">
        <v>477</v>
      </c>
      <c r="Y955" s="352" t="s">
        <v>102</v>
      </c>
      <c r="Z955" s="105">
        <v>4510</v>
      </c>
      <c r="AA955" s="107">
        <f>IFERROR((Table6[[#This Row],[Paired WTG Generation for loss calculation]]/24)*Table6[[#This Row],[Breakdown Time]],"")</f>
        <v>1039.8055555555552</v>
      </c>
      <c r="AB955" s="105" t="s">
        <v>472</v>
      </c>
    </row>
    <row r="956" spans="1:28">
      <c r="A956" s="105">
        <f t="shared" si="14"/>
        <v>955</v>
      </c>
      <c r="B956" s="107">
        <f>YEAR(Table6[[#This Row],[Date]])+IF(MONTH(Table6[[#This Row],[Date]])&gt;=4,1,0)</f>
        <v>2026</v>
      </c>
      <c r="C956" s="105">
        <f>YEAR(Table6[[#This Row],[Date]])</f>
        <v>2025</v>
      </c>
      <c r="D956" s="105" t="s">
        <v>465</v>
      </c>
      <c r="E956" s="119">
        <f>Table6[[#This Row],[Date]]-DAY(Table6[[#This Row],[Date]])+1</f>
        <v>45839</v>
      </c>
      <c r="F956" s="118">
        <v>45849</v>
      </c>
      <c r="G956" s="105" t="s">
        <v>103</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473</v>
      </c>
      <c r="N956" s="39" t="s">
        <v>474</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716</v>
      </c>
      <c r="V956" s="351" t="s">
        <v>470</v>
      </c>
      <c r="W956" s="338">
        <f>Table6[[#This Row],[Breakdown Time]]*(1/39)</f>
        <v>0.61537749287749288</v>
      </c>
      <c r="X956" s="336" t="s">
        <v>477</v>
      </c>
      <c r="Y956" s="352" t="s">
        <v>102</v>
      </c>
      <c r="Z956" s="105">
        <v>7600</v>
      </c>
      <c r="AA956" s="107">
        <f>IFERROR((Table6[[#This Row],[Paired WTG Generation for loss calculation]]/24)*Table6[[#This Row],[Breakdown Time]],"")</f>
        <v>7599.9120370370383</v>
      </c>
      <c r="AB956" s="105" t="s">
        <v>717</v>
      </c>
    </row>
    <row r="957" spans="1:28">
      <c r="A957" s="105">
        <f t="shared" si="14"/>
        <v>956</v>
      </c>
      <c r="B957" s="107">
        <f>YEAR(Table6[[#This Row],[Date]])+IF(MONTH(Table6[[#This Row],[Date]])&gt;=4,1,0)</f>
        <v>2026</v>
      </c>
      <c r="C957" s="105">
        <f>YEAR(Table6[[#This Row],[Date]])</f>
        <v>2025</v>
      </c>
      <c r="D957" s="105" t="s">
        <v>465</v>
      </c>
      <c r="E957" s="119">
        <f>Table6[[#This Row],[Date]]-DAY(Table6[[#This Row],[Date]])+1</f>
        <v>45839</v>
      </c>
      <c r="F957" s="118">
        <v>45849</v>
      </c>
      <c r="G957" s="105" t="s">
        <v>101</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466</v>
      </c>
      <c r="L957" s="39" t="str">
        <f>IFERROR(VLOOKUP(Table6[[#This Row],[Error Code]],'Basic Data'!$T:$U,2,0),"")</f>
        <v>Manual Stop - Safety Related</v>
      </c>
      <c r="M957" s="346" t="s">
        <v>467</v>
      </c>
      <c r="N957" s="39" t="s">
        <v>468</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469</v>
      </c>
      <c r="V957" s="351" t="s">
        <v>470</v>
      </c>
      <c r="W957" s="338">
        <f>Table6[[#This Row],[Breakdown Time]]*(1/39)</f>
        <v>0.61537749287749288</v>
      </c>
      <c r="X957" s="336" t="s">
        <v>471</v>
      </c>
      <c r="Y957" s="352" t="s">
        <v>102</v>
      </c>
      <c r="Z957" s="105">
        <v>7600</v>
      </c>
      <c r="AA957" s="107">
        <f>IFERROR((Table6[[#This Row],[Paired WTG Generation for loss calculation]]/24)*Table6[[#This Row],[Breakdown Time]],"")</f>
        <v>7599.9120370370383</v>
      </c>
      <c r="AB957" s="105" t="s">
        <v>472</v>
      </c>
    </row>
    <row r="958" spans="1:28">
      <c r="A958" s="105">
        <f t="shared" si="14"/>
        <v>957</v>
      </c>
      <c r="B958" s="107">
        <f>YEAR(Table6[[#This Row],[Date]])+IF(MONTH(Table6[[#This Row],[Date]])&gt;=4,1,0)</f>
        <v>2026</v>
      </c>
      <c r="C958" s="105">
        <f>YEAR(Table6[[#This Row],[Date]])</f>
        <v>2025</v>
      </c>
      <c r="D958" s="105" t="s">
        <v>465</v>
      </c>
      <c r="E958" s="119">
        <f>Table6[[#This Row],[Date]]-DAY(Table6[[#This Row],[Date]])+1</f>
        <v>45839</v>
      </c>
      <c r="F958" s="118">
        <v>45849</v>
      </c>
      <c r="G958" s="105" t="s">
        <v>90</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473</v>
      </c>
      <c r="N958" s="39" t="s">
        <v>474</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718</v>
      </c>
      <c r="V958" s="351" t="s">
        <v>470</v>
      </c>
      <c r="W958" s="338">
        <f>Table6[[#This Row],[Breakdown Time]]*(1/39)</f>
        <v>0.61537749287749288</v>
      </c>
      <c r="X958" s="336" t="s">
        <v>477</v>
      </c>
      <c r="Y958" s="352" t="s">
        <v>91</v>
      </c>
      <c r="Z958" s="105">
        <v>11054</v>
      </c>
      <c r="AA958" s="107">
        <f>IFERROR((Table6[[#This Row],[Paired WTG Generation for loss calculation]]/24)*Table6[[#This Row],[Breakdown Time]],"")</f>
        <v>11053.872060185186</v>
      </c>
      <c r="AB958" s="105" t="s">
        <v>719</v>
      </c>
    </row>
    <row r="959" spans="1:28">
      <c r="A959" s="105">
        <f t="shared" si="14"/>
        <v>958</v>
      </c>
      <c r="B959" s="107">
        <f>YEAR(Table6[[#This Row],[Date]])+IF(MONTH(Table6[[#This Row],[Date]])&gt;=4,1,0)</f>
        <v>2026</v>
      </c>
      <c r="C959" s="105">
        <f>YEAR(Table6[[#This Row],[Date]])</f>
        <v>2025</v>
      </c>
      <c r="D959" s="105" t="s">
        <v>465</v>
      </c>
      <c r="E959" s="119">
        <f>Table6[[#This Row],[Date]]-DAY(Table6[[#This Row],[Date]])+1</f>
        <v>45839</v>
      </c>
      <c r="F959" s="118">
        <v>45849</v>
      </c>
      <c r="G959" s="105" t="s">
        <v>76</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466</v>
      </c>
      <c r="L959" s="39" t="str">
        <f>IFERROR(VLOOKUP(Table6[[#This Row],[Error Code]],'Basic Data'!$T:$U,2,0),"")</f>
        <v>Manual Stop - Safety Related</v>
      </c>
      <c r="M959" s="346" t="s">
        <v>467</v>
      </c>
      <c r="N959" s="39" t="s">
        <v>189</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511</v>
      </c>
      <c r="V959" s="351" t="s">
        <v>476</v>
      </c>
      <c r="W959" s="338">
        <f>Table6[[#This Row],[Breakdown Time]]*(1/39)</f>
        <v>4.4871794871794844E-2</v>
      </c>
      <c r="X959" s="336" t="s">
        <v>471</v>
      </c>
      <c r="Y959" s="352" t="s">
        <v>77</v>
      </c>
      <c r="Z959" s="105">
        <v>10189</v>
      </c>
      <c r="AA959" s="107">
        <f>IFERROR((Table6[[#This Row],[Paired WTG Generation for loss calculation]]/24)*Table6[[#This Row],[Breakdown Time]],"")</f>
        <v>742.94791666666629</v>
      </c>
      <c r="AB959" s="105" t="s">
        <v>472</v>
      </c>
    </row>
    <row r="960" spans="1:28">
      <c r="A960" s="105">
        <f t="shared" si="14"/>
        <v>959</v>
      </c>
      <c r="B960" s="107">
        <f>YEAR(Table6[[#This Row],[Date]])+IF(MONTH(Table6[[#This Row],[Date]])&gt;=4,1,0)</f>
        <v>2026</v>
      </c>
      <c r="C960" s="105">
        <f>YEAR(Table6[[#This Row],[Date]])</f>
        <v>2025</v>
      </c>
      <c r="D960" s="105" t="s">
        <v>465</v>
      </c>
      <c r="E960" s="119">
        <f>Table6[[#This Row],[Date]]-DAY(Table6[[#This Row],[Date]])+1</f>
        <v>45839</v>
      </c>
      <c r="F960" s="118">
        <v>45849</v>
      </c>
      <c r="G960" s="105" t="s">
        <v>74</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473</v>
      </c>
      <c r="N960" s="39" t="s">
        <v>474</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475</v>
      </c>
      <c r="V960" s="351" t="s">
        <v>476</v>
      </c>
      <c r="W960" s="338">
        <f>Table6[[#This Row],[Breakdown Time]]*(1/39)</f>
        <v>1.2820512820512808E-2</v>
      </c>
      <c r="X960" s="336" t="s">
        <v>477</v>
      </c>
      <c r="Y960" s="352" t="s">
        <v>80</v>
      </c>
      <c r="Z960" s="105">
        <v>10840</v>
      </c>
      <c r="AA960" s="107">
        <f>IFERROR((Table6[[#This Row],[Paired WTG Generation for loss calculation]]/24)*Table6[[#This Row],[Breakdown Time]],"")</f>
        <v>225.83333333333314</v>
      </c>
      <c r="AB960" s="105" t="s">
        <v>472</v>
      </c>
    </row>
    <row r="961" spans="1:30">
      <c r="A961" s="105">
        <f t="shared" si="14"/>
        <v>960</v>
      </c>
      <c r="B961" s="371">
        <f>YEAR(Table6[[#This Row],[Date]])+IF(MONTH(Table6[[#This Row],[Date]])&gt;=4,1,0)</f>
        <v>2026</v>
      </c>
      <c r="C961" s="372">
        <f>YEAR(Table6[[#This Row],[Date]])</f>
        <v>2025</v>
      </c>
      <c r="D961" s="105" t="s">
        <v>465</v>
      </c>
      <c r="E961" s="119">
        <f>Table6[[#This Row],[Date]]-DAY(Table6[[#This Row],[Date]])+1</f>
        <v>45839</v>
      </c>
      <c r="F961" s="373">
        <v>45850</v>
      </c>
      <c r="G961" s="105" t="s">
        <v>103</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473</v>
      </c>
      <c r="N961" s="39" t="s">
        <v>474</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716</v>
      </c>
      <c r="V961" s="351" t="s">
        <v>470</v>
      </c>
      <c r="W961" s="375">
        <f>Table6[[#This Row],[Breakdown Time]]*(1/39)</f>
        <v>0.61537749287749288</v>
      </c>
      <c r="X961" s="336" t="s">
        <v>477</v>
      </c>
      <c r="Y961" s="352" t="s">
        <v>102</v>
      </c>
      <c r="Z961" s="105">
        <v>10001</v>
      </c>
      <c r="AA961" s="107">
        <f>IFERROR((Table6[[#This Row],[Paired WTG Generation for loss calculation]]/24)*Table6[[#This Row],[Breakdown Time]],"")</f>
        <v>10000.884247685186</v>
      </c>
      <c r="AB961" s="105" t="s">
        <v>717</v>
      </c>
      <c r="AC961" s="105"/>
      <c r="AD961" s="105"/>
    </row>
    <row r="962" spans="1:30">
      <c r="A962" s="105">
        <f t="shared" si="14"/>
        <v>961</v>
      </c>
      <c r="B962" s="371">
        <f>YEAR(Table6[[#This Row],[Date]])+IF(MONTH(Table6[[#This Row],[Date]])&gt;=4,1,0)</f>
        <v>2026</v>
      </c>
      <c r="C962" s="372">
        <f>YEAR(Table6[[#This Row],[Date]])</f>
        <v>2025</v>
      </c>
      <c r="D962" s="105" t="s">
        <v>465</v>
      </c>
      <c r="E962" s="119">
        <f>Table6[[#This Row],[Date]]-DAY(Table6[[#This Row],[Date]])+1</f>
        <v>45839</v>
      </c>
      <c r="F962" s="373">
        <v>45850</v>
      </c>
      <c r="G962" s="105" t="s">
        <v>101</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466</v>
      </c>
      <c r="L962" s="39" t="str">
        <f>IFERROR(VLOOKUP(Table6[[#This Row],[Error Code]],'Basic Data'!$T:$U,2,0),"")</f>
        <v>Manual Stop - Safety Related</v>
      </c>
      <c r="M962" s="346" t="s">
        <v>467</v>
      </c>
      <c r="N962" s="39" t="s">
        <v>468</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469</v>
      </c>
      <c r="V962" s="351" t="s">
        <v>470</v>
      </c>
      <c r="W962" s="375">
        <f>Table6[[#This Row],[Breakdown Time]]*(1/39)</f>
        <v>0.61537749287749288</v>
      </c>
      <c r="X962" s="336" t="s">
        <v>471</v>
      </c>
      <c r="Y962" s="352" t="s">
        <v>102</v>
      </c>
      <c r="Z962" s="105">
        <v>10001</v>
      </c>
      <c r="AA962" s="107">
        <f>IFERROR((Table6[[#This Row],[Paired WTG Generation for loss calculation]]/24)*Table6[[#This Row],[Breakdown Time]],"")</f>
        <v>10000.884247685186</v>
      </c>
      <c r="AB962" s="105" t="s">
        <v>472</v>
      </c>
      <c r="AC962" s="105"/>
      <c r="AD962" s="105"/>
    </row>
    <row r="963" spans="1:30">
      <c r="A963" s="105">
        <f t="shared" si="14"/>
        <v>962</v>
      </c>
      <c r="B963" s="371">
        <f>YEAR(Table6[[#This Row],[Date]])+IF(MONTH(Table6[[#This Row],[Date]])&gt;=4,1,0)</f>
        <v>2026</v>
      </c>
      <c r="C963" s="372">
        <f>YEAR(Table6[[#This Row],[Date]])</f>
        <v>2025</v>
      </c>
      <c r="D963" s="105" t="s">
        <v>465</v>
      </c>
      <c r="E963" s="119">
        <f>Table6[[#This Row],[Date]]-DAY(Table6[[#This Row],[Date]])+1</f>
        <v>45839</v>
      </c>
      <c r="F963" s="373">
        <v>45850</v>
      </c>
      <c r="G963" s="105" t="s">
        <v>90</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473</v>
      </c>
      <c r="N963" s="39" t="s">
        <v>474</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720</v>
      </c>
      <c r="V963" s="351" t="s">
        <v>470</v>
      </c>
      <c r="W963" s="375">
        <f>Table6[[#This Row],[Breakdown Time]]*(1/39)</f>
        <v>0.61537749287749288</v>
      </c>
      <c r="X963" s="336" t="s">
        <v>477</v>
      </c>
      <c r="Y963" s="352" t="s">
        <v>91</v>
      </c>
      <c r="Z963" s="105">
        <v>13102</v>
      </c>
      <c r="AA963" s="107">
        <f>IFERROR((Table6[[#This Row],[Paired WTG Generation for loss calculation]]/24)*Table6[[#This Row],[Breakdown Time]],"")</f>
        <v>13101.848356481481</v>
      </c>
      <c r="AB963" s="105" t="s">
        <v>719</v>
      </c>
      <c r="AC963" s="105"/>
      <c r="AD963" s="105"/>
    </row>
    <row r="964" spans="1:30">
      <c r="A964" s="105">
        <f t="shared" si="14"/>
        <v>963</v>
      </c>
      <c r="B964" s="371">
        <f>YEAR(Table6[[#This Row],[Date]])+IF(MONTH(Table6[[#This Row],[Date]])&gt;=4,1,0)</f>
        <v>2026</v>
      </c>
      <c r="C964" s="372">
        <f>YEAR(Table6[[#This Row],[Date]])</f>
        <v>2025</v>
      </c>
      <c r="D964" s="105" t="s">
        <v>465</v>
      </c>
      <c r="E964" s="119">
        <f>Table6[[#This Row],[Date]]-DAY(Table6[[#This Row],[Date]])+1</f>
        <v>45839</v>
      </c>
      <c r="F964" s="373">
        <v>45850</v>
      </c>
      <c r="G964" s="374" t="s">
        <v>87</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473</v>
      </c>
      <c r="N964" s="39" t="s">
        <v>474</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721</v>
      </c>
      <c r="V964" s="351" t="s">
        <v>476</v>
      </c>
      <c r="W964" s="375">
        <f>Table6[[#This Row],[Breakdown Time]]*(1/39)</f>
        <v>6.7948717948717915E-2</v>
      </c>
      <c r="X964" s="336" t="s">
        <v>477</v>
      </c>
      <c r="Y964" s="352" t="s">
        <v>88</v>
      </c>
      <c r="Z964" s="105">
        <v>13125</v>
      </c>
      <c r="AA964" s="107">
        <f>IFERROR((Table6[[#This Row],[Paired WTG Generation for loss calculation]]/24)*Table6[[#This Row],[Breakdown Time]],"")</f>
        <v>1449.2187499999993</v>
      </c>
      <c r="AB964" s="107" t="s">
        <v>472</v>
      </c>
      <c r="AC964" s="105"/>
      <c r="AD964" s="105"/>
    </row>
    <row r="965" spans="1:30">
      <c r="A965" s="105">
        <f t="shared" ref="A965:A1017" si="15">A964+1</f>
        <v>964</v>
      </c>
      <c r="B965" s="371">
        <f>YEAR(Table6[[#This Row],[Date]])+IF(MONTH(Table6[[#This Row],[Date]])&gt;=4,1,0)</f>
        <v>2026</v>
      </c>
      <c r="C965" s="372">
        <f>YEAR(Table6[[#This Row],[Date]])</f>
        <v>2025</v>
      </c>
      <c r="D965" s="105" t="s">
        <v>465</v>
      </c>
      <c r="E965" s="119">
        <f>Table6[[#This Row],[Date]]-DAY(Table6[[#This Row],[Date]])+1</f>
        <v>45839</v>
      </c>
      <c r="F965" s="373">
        <v>45850</v>
      </c>
      <c r="G965" s="374" t="s">
        <v>100</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473</v>
      </c>
      <c r="N965" s="39" t="s">
        <v>474</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722</v>
      </c>
      <c r="V965" s="351" t="s">
        <v>476</v>
      </c>
      <c r="W965" s="375">
        <f>Table6[[#This Row],[Breakdown Time]]*(1/39)</f>
        <v>3.7179487179487186E-2</v>
      </c>
      <c r="X965" s="336" t="s">
        <v>477</v>
      </c>
      <c r="Y965" s="352" t="s">
        <v>102</v>
      </c>
      <c r="Z965" s="105">
        <v>10001</v>
      </c>
      <c r="AA965" s="107">
        <f>IFERROR((Table6[[#This Row],[Paired WTG Generation for loss calculation]]/24)*Table6[[#This Row],[Breakdown Time]],"")</f>
        <v>604.22708333333333</v>
      </c>
      <c r="AB965" s="107" t="s">
        <v>472</v>
      </c>
      <c r="AC965" s="105"/>
      <c r="AD965" s="105"/>
    </row>
    <row r="966" spans="1:30">
      <c r="A966" s="105">
        <f t="shared" si="15"/>
        <v>965</v>
      </c>
      <c r="B966" s="371">
        <f>YEAR(Table6[[#This Row],[Date]])+IF(MONTH(Table6[[#This Row],[Date]])&gt;=4,1,0)</f>
        <v>2026</v>
      </c>
      <c r="C966" s="372">
        <f>YEAR(Table6[[#This Row],[Date]])</f>
        <v>2025</v>
      </c>
      <c r="D966" s="105" t="s">
        <v>465</v>
      </c>
      <c r="E966" s="119">
        <f>Table6[[#This Row],[Date]]-DAY(Table6[[#This Row],[Date]])+1</f>
        <v>45839</v>
      </c>
      <c r="F966" s="373">
        <v>45850</v>
      </c>
      <c r="G966" s="374" t="s">
        <v>104</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473</v>
      </c>
      <c r="N966" s="39" t="s">
        <v>474</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723</v>
      </c>
      <c r="V966" s="351" t="s">
        <v>476</v>
      </c>
      <c r="W966" s="375">
        <f>Table6[[#This Row],[Breakdown Time]]*(1/39)</f>
        <v>7.0085470085470072E-2</v>
      </c>
      <c r="X966" s="336" t="s">
        <v>477</v>
      </c>
      <c r="Y966" s="352" t="s">
        <v>98</v>
      </c>
      <c r="Z966" s="105">
        <v>8688</v>
      </c>
      <c r="AA966" s="107">
        <f>IFERROR((Table6[[#This Row],[Paired WTG Generation for loss calculation]]/24)*Table6[[#This Row],[Breakdown Time]],"")</f>
        <v>989.46666666666658</v>
      </c>
      <c r="AB966" s="107" t="s">
        <v>472</v>
      </c>
      <c r="AC966" s="105"/>
      <c r="AD966" s="105"/>
    </row>
    <row r="967" spans="1:30">
      <c r="A967" s="105">
        <f t="shared" si="15"/>
        <v>966</v>
      </c>
      <c r="B967" s="371">
        <f>YEAR(Table6[[#This Row],[Date]])+IF(MONTH(Table6[[#This Row],[Date]])&gt;=4,1,0)</f>
        <v>2026</v>
      </c>
      <c r="C967" s="372">
        <f>YEAR(Table6[[#This Row],[Date]])</f>
        <v>2025</v>
      </c>
      <c r="D967" s="105" t="s">
        <v>465</v>
      </c>
      <c r="E967" s="119">
        <f>Table6[[#This Row],[Date]]-DAY(Table6[[#This Row],[Date]])+1</f>
        <v>45839</v>
      </c>
      <c r="F967" s="373">
        <v>45851</v>
      </c>
      <c r="G967" s="105" t="s">
        <v>103</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473</v>
      </c>
      <c r="N967" s="39" t="s">
        <v>474</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716</v>
      </c>
      <c r="V967" s="351" t="s">
        <v>470</v>
      </c>
      <c r="W967" s="375">
        <f>Table6[[#This Row],[Breakdown Time]]*(1/39)</f>
        <v>0.61537749287749288</v>
      </c>
      <c r="X967" s="336" t="s">
        <v>477</v>
      </c>
      <c r="Y967" s="352" t="s">
        <v>102</v>
      </c>
      <c r="Z967" s="105">
        <v>12111</v>
      </c>
      <c r="AA967" s="107">
        <f>IFERROR((Table6[[#This Row],[Paired WTG Generation for loss calculation]]/24)*Table6[[#This Row],[Breakdown Time]],"")</f>
        <v>12110.859826388891</v>
      </c>
      <c r="AB967" s="105" t="s">
        <v>717</v>
      </c>
      <c r="AC967" s="105"/>
      <c r="AD967" s="105"/>
    </row>
    <row r="968" spans="1:30">
      <c r="A968" s="105">
        <f t="shared" si="15"/>
        <v>967</v>
      </c>
      <c r="B968" s="371">
        <f>YEAR(Table6[[#This Row],[Date]])+IF(MONTH(Table6[[#This Row],[Date]])&gt;=4,1,0)</f>
        <v>2026</v>
      </c>
      <c r="C968" s="372">
        <f>YEAR(Table6[[#This Row],[Date]])</f>
        <v>2025</v>
      </c>
      <c r="D968" s="105" t="s">
        <v>465</v>
      </c>
      <c r="E968" s="119">
        <f>Table6[[#This Row],[Date]]-DAY(Table6[[#This Row],[Date]])+1</f>
        <v>45839</v>
      </c>
      <c r="F968" s="373">
        <v>45851</v>
      </c>
      <c r="G968" s="105" t="s">
        <v>101</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466</v>
      </c>
      <c r="L968" s="39" t="str">
        <f>IFERROR(VLOOKUP(Table6[[#This Row],[Error Code]],'Basic Data'!$T:$U,2,0),"")</f>
        <v>Manual Stop - Safety Related</v>
      </c>
      <c r="M968" s="346" t="s">
        <v>467</v>
      </c>
      <c r="N968" s="39" t="s">
        <v>468</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469</v>
      </c>
      <c r="V968" s="351" t="s">
        <v>470</v>
      </c>
      <c r="W968" s="375">
        <f>Table6[[#This Row],[Breakdown Time]]*(1/39)</f>
        <v>0.61537749287749288</v>
      </c>
      <c r="X968" s="336" t="s">
        <v>471</v>
      </c>
      <c r="Y968" s="352" t="s">
        <v>102</v>
      </c>
      <c r="Z968" s="105">
        <v>12111</v>
      </c>
      <c r="AA968" s="107">
        <f>IFERROR((Table6[[#This Row],[Paired WTG Generation for loss calculation]]/24)*Table6[[#This Row],[Breakdown Time]],"")</f>
        <v>12110.859826388891</v>
      </c>
      <c r="AB968" s="105" t="s">
        <v>472</v>
      </c>
      <c r="AC968" s="105"/>
      <c r="AD968" s="105"/>
    </row>
    <row r="969" spans="1:30">
      <c r="A969" s="105">
        <f t="shared" si="15"/>
        <v>968</v>
      </c>
      <c r="B969" s="371">
        <f>YEAR(Table6[[#This Row],[Date]])+IF(MONTH(Table6[[#This Row],[Date]])&gt;=4,1,0)</f>
        <v>2026</v>
      </c>
      <c r="C969" s="372">
        <f>YEAR(Table6[[#This Row],[Date]])</f>
        <v>2025</v>
      </c>
      <c r="D969" s="105" t="s">
        <v>465</v>
      </c>
      <c r="E969" s="119">
        <f>Table6[[#This Row],[Date]]-DAY(Table6[[#This Row],[Date]])+1</f>
        <v>45839</v>
      </c>
      <c r="F969" s="373">
        <v>45851</v>
      </c>
      <c r="G969" s="105" t="s">
        <v>90</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473</v>
      </c>
      <c r="N969" s="39" t="s">
        <v>474</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720</v>
      </c>
      <c r="V969" s="351" t="s">
        <v>470</v>
      </c>
      <c r="W969" s="375">
        <f>Table6[[#This Row],[Breakdown Time]]*(1/39)</f>
        <v>0.61537749287749288</v>
      </c>
      <c r="X969" s="336" t="s">
        <v>477</v>
      </c>
      <c r="Y969" s="352" t="s">
        <v>91</v>
      </c>
      <c r="Z969" s="105">
        <v>15984</v>
      </c>
      <c r="AA969" s="107">
        <f>IFERROR((Table6[[#This Row],[Paired WTG Generation for loss calculation]]/24)*Table6[[#This Row],[Breakdown Time]],"")</f>
        <v>15983.815000000002</v>
      </c>
      <c r="AB969" s="105" t="s">
        <v>719</v>
      </c>
      <c r="AC969" s="105"/>
      <c r="AD969" s="105"/>
    </row>
    <row r="970" spans="1:30">
      <c r="A970" s="105">
        <f t="shared" si="15"/>
        <v>969</v>
      </c>
      <c r="B970" s="371">
        <f>YEAR(Table6[[#This Row],[Date]])+IF(MONTH(Table6[[#This Row],[Date]])&gt;=4,1,0)</f>
        <v>2026</v>
      </c>
      <c r="C970" s="372">
        <f>YEAR(Table6[[#This Row],[Date]])</f>
        <v>2025</v>
      </c>
      <c r="D970" s="105" t="s">
        <v>465</v>
      </c>
      <c r="E970" s="119">
        <f>Table6[[#This Row],[Date]]-DAY(Table6[[#This Row],[Date]])+1</f>
        <v>45839</v>
      </c>
      <c r="F970" s="373">
        <v>45851</v>
      </c>
      <c r="G970" s="374" t="s">
        <v>84</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473</v>
      </c>
      <c r="N970" s="39" t="s">
        <v>474</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711</v>
      </c>
      <c r="V970" s="351" t="s">
        <v>476</v>
      </c>
      <c r="W970" s="375">
        <f>Table6[[#This Row],[Breakdown Time]]*(1/39)</f>
        <v>3.8461538461538464E-2</v>
      </c>
      <c r="X970" s="336" t="s">
        <v>477</v>
      </c>
      <c r="Y970" s="352" t="s">
        <v>83</v>
      </c>
      <c r="Z970" s="105">
        <v>14266</v>
      </c>
      <c r="AA970" s="107">
        <f>IFERROR((Table6[[#This Row],[Paired WTG Generation for loss calculation]]/24)*Table6[[#This Row],[Breakdown Time]],"")</f>
        <v>891.625</v>
      </c>
      <c r="AB970" s="107" t="s">
        <v>472</v>
      </c>
      <c r="AC970" s="105"/>
      <c r="AD970" s="105"/>
    </row>
    <row r="971" spans="1:30">
      <c r="A971" s="105">
        <f t="shared" si="15"/>
        <v>970</v>
      </c>
      <c r="B971" s="371">
        <f>YEAR(Table6[[#This Row],[Date]])+IF(MONTH(Table6[[#This Row],[Date]])&gt;=4,1,0)</f>
        <v>2026</v>
      </c>
      <c r="C971" s="372">
        <f>YEAR(Table6[[#This Row],[Date]])</f>
        <v>2025</v>
      </c>
      <c r="D971" s="105" t="s">
        <v>465</v>
      </c>
      <c r="E971" s="119">
        <f>Table6[[#This Row],[Date]]-DAY(Table6[[#This Row],[Date]])+1</f>
        <v>45839</v>
      </c>
      <c r="F971" s="373">
        <v>45852</v>
      </c>
      <c r="G971" s="105" t="s">
        <v>103</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473</v>
      </c>
      <c r="N971" s="39" t="s">
        <v>474</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716</v>
      </c>
      <c r="V971" s="351" t="s">
        <v>470</v>
      </c>
      <c r="W971" s="375">
        <f>Table6[[#This Row],[Breakdown Time]]*(1/39)</f>
        <v>0.61537749287749288</v>
      </c>
      <c r="X971" s="336" t="s">
        <v>477</v>
      </c>
      <c r="Y971" s="352" t="s">
        <v>102</v>
      </c>
      <c r="Z971" s="105">
        <v>18645</v>
      </c>
      <c r="AA971" s="107">
        <f>IFERROR((Table6[[#This Row],[Paired WTG Generation for loss calculation]]/24)*Table6[[#This Row],[Breakdown Time]],"")</f>
        <v>18644.784201388891</v>
      </c>
      <c r="AB971" s="105" t="s">
        <v>717</v>
      </c>
      <c r="AC971" s="105"/>
      <c r="AD971" s="105"/>
    </row>
    <row r="972" spans="1:30">
      <c r="A972" s="105">
        <f t="shared" si="15"/>
        <v>971</v>
      </c>
      <c r="B972" s="371">
        <f>YEAR(Table6[[#This Row],[Date]])+IF(MONTH(Table6[[#This Row],[Date]])&gt;=4,1,0)</f>
        <v>2026</v>
      </c>
      <c r="C972" s="372">
        <f>YEAR(Table6[[#This Row],[Date]])</f>
        <v>2025</v>
      </c>
      <c r="D972" s="105" t="s">
        <v>465</v>
      </c>
      <c r="E972" s="119">
        <f>Table6[[#This Row],[Date]]-DAY(Table6[[#This Row],[Date]])+1</f>
        <v>45839</v>
      </c>
      <c r="F972" s="373">
        <v>45852</v>
      </c>
      <c r="G972" s="105" t="s">
        <v>101</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466</v>
      </c>
      <c r="L972" s="39" t="str">
        <f>IFERROR(VLOOKUP(Table6[[#This Row],[Error Code]],'Basic Data'!$T:$U,2,0),"")</f>
        <v>Manual Stop - Safety Related</v>
      </c>
      <c r="M972" s="346" t="s">
        <v>467</v>
      </c>
      <c r="N972" s="39" t="s">
        <v>468</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469</v>
      </c>
      <c r="V972" s="351" t="s">
        <v>470</v>
      </c>
      <c r="W972" s="375">
        <f>Table6[[#This Row],[Breakdown Time]]*(1/39)</f>
        <v>0.61537749287749288</v>
      </c>
      <c r="X972" s="336" t="s">
        <v>471</v>
      </c>
      <c r="Y972" s="352" t="s">
        <v>102</v>
      </c>
      <c r="Z972" s="105">
        <v>18645</v>
      </c>
      <c r="AA972" s="107">
        <f>IFERROR((Table6[[#This Row],[Paired WTG Generation for loss calculation]]/24)*Table6[[#This Row],[Breakdown Time]],"")</f>
        <v>18644.784201388891</v>
      </c>
      <c r="AB972" s="105" t="s">
        <v>472</v>
      </c>
      <c r="AC972" s="105"/>
      <c r="AD972" s="105"/>
    </row>
    <row r="973" spans="1:30">
      <c r="A973" s="105">
        <f t="shared" si="15"/>
        <v>972</v>
      </c>
      <c r="B973" s="371">
        <f>YEAR(Table6[[#This Row],[Date]])+IF(MONTH(Table6[[#This Row],[Date]])&gt;=4,1,0)</f>
        <v>2026</v>
      </c>
      <c r="C973" s="372">
        <f>YEAR(Table6[[#This Row],[Date]])</f>
        <v>2025</v>
      </c>
      <c r="D973" s="105" t="s">
        <v>465</v>
      </c>
      <c r="E973" s="119">
        <f>Table6[[#This Row],[Date]]-DAY(Table6[[#This Row],[Date]])+1</f>
        <v>45839</v>
      </c>
      <c r="F973" s="373">
        <v>45852</v>
      </c>
      <c r="G973" s="105" t="s">
        <v>90</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473</v>
      </c>
      <c r="N973" s="39" t="s">
        <v>474</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720</v>
      </c>
      <c r="V973" s="351" t="s">
        <v>470</v>
      </c>
      <c r="W973" s="375">
        <f>Table6[[#This Row],[Breakdown Time]]*(1/39)</f>
        <v>0.61537749287749288</v>
      </c>
      <c r="X973" s="336" t="s">
        <v>477</v>
      </c>
      <c r="Y973" s="352" t="s">
        <v>89</v>
      </c>
      <c r="Z973" s="105">
        <v>22638</v>
      </c>
      <c r="AA973" s="107">
        <f>IFERROR((Table6[[#This Row],[Paired WTG Generation for loss calculation]]/24)*Table6[[#This Row],[Breakdown Time]],"")</f>
        <v>22637.737986111115</v>
      </c>
      <c r="AB973" s="105" t="s">
        <v>719</v>
      </c>
      <c r="AC973" s="105"/>
      <c r="AD973" s="105"/>
    </row>
    <row r="974" spans="1:30">
      <c r="A974" s="105">
        <f t="shared" si="15"/>
        <v>973</v>
      </c>
      <c r="B974" s="371">
        <f>YEAR(Table6[[#This Row],[Date]])+IF(MONTH(Table6[[#This Row],[Date]])&gt;=4,1,0)</f>
        <v>2026</v>
      </c>
      <c r="C974" s="372">
        <f>YEAR(Table6[[#This Row],[Date]])</f>
        <v>2025</v>
      </c>
      <c r="D974" s="105" t="s">
        <v>465</v>
      </c>
      <c r="E974" s="119">
        <f>Table6[[#This Row],[Date]]-DAY(Table6[[#This Row],[Date]])+1</f>
        <v>45839</v>
      </c>
      <c r="F974" s="373">
        <v>45852</v>
      </c>
      <c r="G974" s="374" t="s">
        <v>74</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473</v>
      </c>
      <c r="N974" s="377" t="s">
        <v>474</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484</v>
      </c>
      <c r="V974" s="351" t="s">
        <v>476</v>
      </c>
      <c r="W974" s="375">
        <f>Table6[[#This Row],[Breakdown Time]]*(1/39)</f>
        <v>1.4529914529914546E-2</v>
      </c>
      <c r="X974" s="336" t="s">
        <v>477</v>
      </c>
      <c r="Y974" s="352" t="s">
        <v>80</v>
      </c>
      <c r="Z974" s="105">
        <v>20987</v>
      </c>
      <c r="AA974" s="107">
        <f>IFERROR((Table6[[#This Row],[Paired WTG Generation for loss calculation]]/24)*Table6[[#This Row],[Breakdown Time]],"")</f>
        <v>495.52638888888947</v>
      </c>
      <c r="AB974" s="107" t="s">
        <v>472</v>
      </c>
      <c r="AC974" s="105"/>
      <c r="AD974" s="105"/>
    </row>
    <row r="975" spans="1:30">
      <c r="A975" s="105">
        <f t="shared" si="15"/>
        <v>974</v>
      </c>
      <c r="B975" s="371">
        <f>YEAR(Table6[[#This Row],[Date]])+IF(MONTH(Table6[[#This Row],[Date]])&gt;=4,1,0)</f>
        <v>2026</v>
      </c>
      <c r="C975" s="372">
        <f>YEAR(Table6[[#This Row],[Date]])</f>
        <v>2025</v>
      </c>
      <c r="D975" s="105" t="s">
        <v>465</v>
      </c>
      <c r="E975" s="119">
        <f>Table6[[#This Row],[Date]]-DAY(Table6[[#This Row],[Date]])+1</f>
        <v>45839</v>
      </c>
      <c r="F975" s="373">
        <v>45852</v>
      </c>
      <c r="G975" s="374" t="s">
        <v>77</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473</v>
      </c>
      <c r="N975" s="377" t="s">
        <v>474</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652</v>
      </c>
      <c r="V975" s="351" t="s">
        <v>476</v>
      </c>
      <c r="W975" s="375">
        <f>Table6[[#This Row],[Breakdown Time]]*(1/39)</f>
        <v>4.9572649572649563E-2</v>
      </c>
      <c r="X975" s="336" t="s">
        <v>477</v>
      </c>
      <c r="Y975" s="352" t="s">
        <v>76</v>
      </c>
      <c r="Z975" s="105">
        <v>20981</v>
      </c>
      <c r="AA975" s="107">
        <f>IFERROR((Table6[[#This Row],[Paired WTG Generation for loss calculation]]/24)*Table6[[#This Row],[Breakdown Time]],"")</f>
        <v>1690.1361111111109</v>
      </c>
      <c r="AB975" s="107" t="s">
        <v>472</v>
      </c>
      <c r="AC975" s="105"/>
      <c r="AD975" s="105"/>
    </row>
    <row r="976" spans="1:30">
      <c r="A976" s="105">
        <f t="shared" si="15"/>
        <v>975</v>
      </c>
      <c r="B976" s="371">
        <f>YEAR(Table6[[#This Row],[Date]])+IF(MONTH(Table6[[#This Row],[Date]])&gt;=4,1,0)</f>
        <v>2026</v>
      </c>
      <c r="C976" s="372">
        <f>YEAR(Table6[[#This Row],[Date]])</f>
        <v>2025</v>
      </c>
      <c r="D976" s="105" t="s">
        <v>465</v>
      </c>
      <c r="E976" s="119">
        <f>Table6[[#This Row],[Date]]-DAY(Table6[[#This Row],[Date]])+1</f>
        <v>45839</v>
      </c>
      <c r="F976" s="373">
        <v>45852</v>
      </c>
      <c r="G976" s="374" t="s">
        <v>79</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473</v>
      </c>
      <c r="N976" s="377" t="s">
        <v>474</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724</v>
      </c>
      <c r="V976" s="351" t="s">
        <v>476</v>
      </c>
      <c r="W976" s="375">
        <f>Table6[[#This Row],[Breakdown Time]]*(1/39)</f>
        <v>3.2051282051282007E-2</v>
      </c>
      <c r="X976" s="336" t="s">
        <v>477</v>
      </c>
      <c r="Y976" s="352" t="s">
        <v>76</v>
      </c>
      <c r="Z976" s="105">
        <v>20981</v>
      </c>
      <c r="AA976" s="107">
        <f>IFERROR((Table6[[#This Row],[Paired WTG Generation for loss calculation]]/24)*Table6[[#This Row],[Breakdown Time]],"")</f>
        <v>1092.7604166666652</v>
      </c>
      <c r="AB976" s="107" t="s">
        <v>472</v>
      </c>
      <c r="AC976" s="105"/>
      <c r="AD976" s="105"/>
    </row>
    <row r="977" spans="1:30">
      <c r="A977" s="105">
        <f t="shared" si="15"/>
        <v>976</v>
      </c>
      <c r="B977" s="371">
        <f>YEAR(Table6[[#This Row],[Date]])+IF(MONTH(Table6[[#This Row],[Date]])&gt;=4,1,0)</f>
        <v>2026</v>
      </c>
      <c r="C977" s="372">
        <f>YEAR(Table6[[#This Row],[Date]])</f>
        <v>2025</v>
      </c>
      <c r="D977" s="105" t="s">
        <v>465</v>
      </c>
      <c r="E977" s="119">
        <f>Table6[[#This Row],[Date]]-DAY(Table6[[#This Row],[Date]])+1</f>
        <v>45839</v>
      </c>
      <c r="F977" s="373">
        <v>45852</v>
      </c>
      <c r="G977" s="374" t="s">
        <v>85</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473</v>
      </c>
      <c r="N977" s="377" t="s">
        <v>474</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475</v>
      </c>
      <c r="V977" s="351" t="s">
        <v>476</v>
      </c>
      <c r="W977" s="375">
        <f>Table6[[#This Row],[Breakdown Time]]*(1/39)</f>
        <v>5.9829059829059955E-3</v>
      </c>
      <c r="X977" s="336" t="s">
        <v>477</v>
      </c>
      <c r="Y977" s="352" t="s">
        <v>82</v>
      </c>
      <c r="Z977" s="105">
        <v>22625</v>
      </c>
      <c r="AA977" s="107">
        <f>IFERROR((Table6[[#This Row],[Paired WTG Generation for loss calculation]]/24)*Table6[[#This Row],[Breakdown Time]],"")</f>
        <v>219.96527777777825</v>
      </c>
      <c r="AB977" s="107" t="s">
        <v>472</v>
      </c>
      <c r="AC977" s="105"/>
      <c r="AD977" s="105"/>
    </row>
    <row r="978" spans="1:30">
      <c r="A978" s="105">
        <f t="shared" si="15"/>
        <v>977</v>
      </c>
      <c r="B978" s="371">
        <f>YEAR(Table6[[#This Row],[Date]])+IF(MONTH(Table6[[#This Row],[Date]])&gt;=4,1,0)</f>
        <v>2026</v>
      </c>
      <c r="C978" s="372">
        <f>YEAR(Table6[[#This Row],[Date]])</f>
        <v>2025</v>
      </c>
      <c r="D978" s="105" t="s">
        <v>465</v>
      </c>
      <c r="E978" s="119">
        <f>Table6[[#This Row],[Date]]-DAY(Table6[[#This Row],[Date]])+1</f>
        <v>45839</v>
      </c>
      <c r="F978" s="373">
        <v>45852</v>
      </c>
      <c r="G978" s="374" t="s">
        <v>85</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473</v>
      </c>
      <c r="N978" s="377" t="s">
        <v>474</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475</v>
      </c>
      <c r="V978" s="346" t="s">
        <v>476</v>
      </c>
      <c r="W978" s="376">
        <f>Table6[[#This Row],[Breakdown Time]]*(1/39)</f>
        <v>6.837606837606881E-3</v>
      </c>
      <c r="X978" s="336" t="s">
        <v>477</v>
      </c>
      <c r="Y978" s="346" t="s">
        <v>82</v>
      </c>
      <c r="Z978" s="105">
        <v>22625</v>
      </c>
      <c r="AA978" s="107">
        <f>IFERROR((Table6[[#This Row],[Paired WTG Generation for loss calculation]]/24)*Table6[[#This Row],[Breakdown Time]],"")</f>
        <v>251.38888888889051</v>
      </c>
      <c r="AB978" s="107" t="s">
        <v>472</v>
      </c>
      <c r="AC978" s="105"/>
      <c r="AD978" s="105"/>
    </row>
    <row r="979" spans="1:30">
      <c r="A979" s="105">
        <f t="shared" si="15"/>
        <v>978</v>
      </c>
      <c r="B979" s="371">
        <f>YEAR(Table6[[#This Row],[Date]])+IF(MONTH(Table6[[#This Row],[Date]])&gt;=4,1,0)</f>
        <v>2026</v>
      </c>
      <c r="C979" s="372">
        <f>YEAR(Table6[[#This Row],[Date]])</f>
        <v>2025</v>
      </c>
      <c r="D979" s="105" t="s">
        <v>465</v>
      </c>
      <c r="E979" s="119">
        <f>Table6[[#This Row],[Date]]-DAY(Table6[[#This Row],[Date]])+1</f>
        <v>45839</v>
      </c>
      <c r="F979" s="373">
        <v>45852</v>
      </c>
      <c r="G979" s="374" t="s">
        <v>93</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473</v>
      </c>
      <c r="N979" s="377" t="s">
        <v>474</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652</v>
      </c>
      <c r="V979" s="346" t="s">
        <v>476</v>
      </c>
      <c r="W979" s="376">
        <f>Table6[[#This Row],[Breakdown Time]]*(1/39)</f>
        <v>3.7179487179487186E-2</v>
      </c>
      <c r="X979" s="336" t="s">
        <v>477</v>
      </c>
      <c r="Y979" s="346" t="s">
        <v>92</v>
      </c>
      <c r="Z979" s="105">
        <v>22647</v>
      </c>
      <c r="AA979" s="107">
        <f>IFERROR((Table6[[#This Row],[Paired WTG Generation for loss calculation]]/24)*Table6[[#This Row],[Breakdown Time]],"")</f>
        <v>1368.2562500000001</v>
      </c>
      <c r="AB979" s="107" t="s">
        <v>472</v>
      </c>
      <c r="AC979" s="105"/>
      <c r="AD979" s="105"/>
    </row>
    <row r="980" spans="1:30">
      <c r="A980" s="105">
        <f t="shared" si="15"/>
        <v>979</v>
      </c>
      <c r="B980" s="371">
        <f>YEAR(Table6[[#This Row],[Date]])+IF(MONTH(Table6[[#This Row],[Date]])&gt;=4,1,0)</f>
        <v>2026</v>
      </c>
      <c r="C980" s="372">
        <f>YEAR(Table6[[#This Row],[Date]])</f>
        <v>2025</v>
      </c>
      <c r="D980" s="105" t="s">
        <v>465</v>
      </c>
      <c r="E980" s="119">
        <f>Table6[[#This Row],[Date]]-DAY(Table6[[#This Row],[Date]])+1</f>
        <v>45839</v>
      </c>
      <c r="F980" s="373">
        <v>45853</v>
      </c>
      <c r="G980" s="105" t="s">
        <v>103</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473</v>
      </c>
      <c r="N980" s="39" t="s">
        <v>474</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716</v>
      </c>
      <c r="V980" s="351" t="s">
        <v>470</v>
      </c>
      <c r="W980" s="376">
        <f>Table6[[#This Row],[Breakdown Time]]*(1/39)</f>
        <v>0.61537749287749288</v>
      </c>
      <c r="X980" s="336" t="s">
        <v>477</v>
      </c>
      <c r="Y980" s="352" t="s">
        <v>102</v>
      </c>
      <c r="Z980" s="15">
        <v>8789</v>
      </c>
      <c r="AA980" s="107">
        <f>IFERROR((Table6[[#This Row],[Paired WTG Generation for loss calculation]]/24)*Table6[[#This Row],[Breakdown Time]],"")</f>
        <v>8788.8982754629633</v>
      </c>
      <c r="AB980" s="105" t="s">
        <v>717</v>
      </c>
      <c r="AC980" s="105"/>
      <c r="AD980" s="105"/>
    </row>
    <row r="981" spans="1:30">
      <c r="A981" s="105">
        <f t="shared" si="15"/>
        <v>980</v>
      </c>
      <c r="B981" s="371">
        <f>YEAR(Table6[[#This Row],[Date]])+IF(MONTH(Table6[[#This Row],[Date]])&gt;=4,1,0)</f>
        <v>2026</v>
      </c>
      <c r="C981" s="372">
        <f>YEAR(Table6[[#This Row],[Date]])</f>
        <v>2025</v>
      </c>
      <c r="D981" s="105" t="s">
        <v>465</v>
      </c>
      <c r="E981" s="119">
        <f>Table6[[#This Row],[Date]]-DAY(Table6[[#This Row],[Date]])+1</f>
        <v>45839</v>
      </c>
      <c r="F981" s="373">
        <v>45853</v>
      </c>
      <c r="G981" s="105" t="s">
        <v>101</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466</v>
      </c>
      <c r="L981" s="39" t="str">
        <f>IFERROR(VLOOKUP(Table6[[#This Row],[Error Code]],'Basic Data'!$T:$U,2,0),"")</f>
        <v>Manual Stop - Safety Related</v>
      </c>
      <c r="M981" s="346" t="s">
        <v>467</v>
      </c>
      <c r="N981" s="39" t="s">
        <v>468</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469</v>
      </c>
      <c r="V981" s="351" t="s">
        <v>470</v>
      </c>
      <c r="W981" s="376">
        <f>Table6[[#This Row],[Breakdown Time]]*(1/39)</f>
        <v>0.61537749287749288</v>
      </c>
      <c r="X981" s="336" t="s">
        <v>471</v>
      </c>
      <c r="Y981" s="352" t="s">
        <v>102</v>
      </c>
      <c r="Z981" s="15">
        <v>8789</v>
      </c>
      <c r="AA981" s="107">
        <f>IFERROR((Table6[[#This Row],[Paired WTG Generation for loss calculation]]/24)*Table6[[#This Row],[Breakdown Time]],"")</f>
        <v>8788.8982754629633</v>
      </c>
      <c r="AB981" s="105" t="s">
        <v>472</v>
      </c>
      <c r="AC981" s="105"/>
      <c r="AD981" s="105"/>
    </row>
    <row r="982" spans="1:30">
      <c r="A982" s="105">
        <f t="shared" si="15"/>
        <v>981</v>
      </c>
      <c r="B982" s="371">
        <f>YEAR(Table6[[#This Row],[Date]])+IF(MONTH(Table6[[#This Row],[Date]])&gt;=4,1,0)</f>
        <v>2026</v>
      </c>
      <c r="C982" s="372">
        <f>YEAR(Table6[[#This Row],[Date]])</f>
        <v>2025</v>
      </c>
      <c r="D982" s="105" t="s">
        <v>465</v>
      </c>
      <c r="E982" s="119">
        <f>Table6[[#This Row],[Date]]-DAY(Table6[[#This Row],[Date]])+1</f>
        <v>45839</v>
      </c>
      <c r="F982" s="373">
        <v>45853</v>
      </c>
      <c r="G982" s="105" t="s">
        <v>90</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473</v>
      </c>
      <c r="N982" s="39" t="s">
        <v>474</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720</v>
      </c>
      <c r="V982" s="351" t="s">
        <v>470</v>
      </c>
      <c r="W982" s="376">
        <f>Table6[[#This Row],[Breakdown Time]]*(1/39)</f>
        <v>0.61537749287749288</v>
      </c>
      <c r="X982" s="336" t="s">
        <v>477</v>
      </c>
      <c r="Y982" s="352" t="s">
        <v>89</v>
      </c>
      <c r="Z982" s="15">
        <v>12435</v>
      </c>
      <c r="AA982" s="107">
        <f>IFERROR((Table6[[#This Row],[Paired WTG Generation for loss calculation]]/24)*Table6[[#This Row],[Breakdown Time]],"")</f>
        <v>12434.856076388891</v>
      </c>
      <c r="AB982" s="105" t="s">
        <v>719</v>
      </c>
      <c r="AC982" s="105"/>
      <c r="AD982" s="105"/>
    </row>
    <row r="983" spans="1:30">
      <c r="A983" s="105">
        <f t="shared" si="15"/>
        <v>982</v>
      </c>
      <c r="B983" s="371">
        <f>YEAR(Table6[[#This Row],[Date]])+IF(MONTH(Table6[[#This Row],[Date]])&gt;=4,1,0)</f>
        <v>2026</v>
      </c>
      <c r="C983" s="372">
        <f>YEAR(Table6[[#This Row],[Date]])</f>
        <v>2025</v>
      </c>
      <c r="D983" s="105" t="s">
        <v>465</v>
      </c>
      <c r="E983" s="119">
        <f>Table6[[#This Row],[Date]]-DAY(Table6[[#This Row],[Date]])+1</f>
        <v>45839</v>
      </c>
      <c r="F983" s="373">
        <v>45853</v>
      </c>
      <c r="G983" s="374" t="s">
        <v>105</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466</v>
      </c>
      <c r="L983" s="39" t="str">
        <f>IFERROR(VLOOKUP(Table6[[#This Row],[Error Code]],'Basic Data'!$T:$U,2,0),"")</f>
        <v>Manual Stop - Safety Related</v>
      </c>
      <c r="M983" s="346" t="s">
        <v>467</v>
      </c>
      <c r="N983" s="39" t="s">
        <v>189</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511</v>
      </c>
      <c r="V983" s="346" t="s">
        <v>476</v>
      </c>
      <c r="W983" s="376">
        <f>Table6[[#This Row],[Breakdown Time]]*(1/39)</f>
        <v>9.3162393162393164E-2</v>
      </c>
      <c r="X983" s="336" t="s">
        <v>477</v>
      </c>
      <c r="Y983" s="346" t="s">
        <v>106</v>
      </c>
      <c r="Z983" s="15">
        <v>8259</v>
      </c>
      <c r="AA983" s="107">
        <f>IFERROR((Table6[[#This Row],[Paired WTG Generation for loss calculation]]/24)*Table6[[#This Row],[Breakdown Time]],"")</f>
        <v>1250.3208333333334</v>
      </c>
      <c r="AB983" s="107" t="s">
        <v>472</v>
      </c>
      <c r="AC983" s="105"/>
      <c r="AD983" s="105"/>
    </row>
    <row r="984" spans="1:30">
      <c r="A984" s="105">
        <f t="shared" si="15"/>
        <v>983</v>
      </c>
      <c r="B984" s="371">
        <f>YEAR(Table6[[#This Row],[Date]])+IF(MONTH(Table6[[#This Row],[Date]])&gt;=4,1,0)</f>
        <v>2026</v>
      </c>
      <c r="C984" s="372">
        <f>YEAR(Table6[[#This Row],[Date]])</f>
        <v>2025</v>
      </c>
      <c r="D984" s="105" t="s">
        <v>465</v>
      </c>
      <c r="E984" s="119">
        <f>Table6[[#This Row],[Date]]-DAY(Table6[[#This Row],[Date]])+1</f>
        <v>45839</v>
      </c>
      <c r="F984" s="373">
        <v>45853</v>
      </c>
      <c r="G984" s="374" t="s">
        <v>104</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473</v>
      </c>
      <c r="N984" s="39" t="s">
        <v>474</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725</v>
      </c>
      <c r="V984" s="346" t="s">
        <v>476</v>
      </c>
      <c r="W984" s="376">
        <f>Table6[[#This Row],[Breakdown Time]]*(1/39)</f>
        <v>5.8974358974358966E-2</v>
      </c>
      <c r="X984" s="336" t="s">
        <v>477</v>
      </c>
      <c r="Y984" s="346" t="s">
        <v>98</v>
      </c>
      <c r="Z984" s="15">
        <v>8260</v>
      </c>
      <c r="AA984" s="107">
        <f>IFERROR((Table6[[#This Row],[Paired WTG Generation for loss calculation]]/24)*Table6[[#This Row],[Breakdown Time]],"")</f>
        <v>791.58333333333337</v>
      </c>
      <c r="AB984" s="107" t="s">
        <v>472</v>
      </c>
      <c r="AC984" s="105"/>
      <c r="AD984" s="105"/>
    </row>
    <row r="985" spans="1:30">
      <c r="A985" s="105">
        <f t="shared" si="15"/>
        <v>984</v>
      </c>
      <c r="B985" s="371">
        <f>YEAR(Table6[[#This Row],[Date]])+IF(MONTH(Table6[[#This Row],[Date]])&gt;=4,1,0)</f>
        <v>2026</v>
      </c>
      <c r="C985" s="372">
        <f>YEAR(Table6[[#This Row],[Date]])</f>
        <v>2025</v>
      </c>
      <c r="D985" s="105" t="s">
        <v>465</v>
      </c>
      <c r="E985" s="119">
        <f>Table6[[#This Row],[Date]]-DAY(Table6[[#This Row],[Date]])+1</f>
        <v>45839</v>
      </c>
      <c r="F985" s="373">
        <v>45854</v>
      </c>
      <c r="G985" s="105" t="s">
        <v>103</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473</v>
      </c>
      <c r="N985" s="105" t="s">
        <v>474</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716</v>
      </c>
      <c r="V985" s="351" t="s">
        <v>470</v>
      </c>
      <c r="W985" s="376">
        <f>Table6[[#This Row],[Breakdown Time]]*(1/39)</f>
        <v>0.61537749287749288</v>
      </c>
      <c r="X985" s="336" t="s">
        <v>477</v>
      </c>
      <c r="Y985" s="352" t="s">
        <v>102</v>
      </c>
      <c r="Z985" s="379">
        <v>3759</v>
      </c>
      <c r="AA985" s="107">
        <f>IFERROR((Table6[[#This Row],[Paired WTG Generation for loss calculation]]/24)*Table6[[#This Row],[Breakdown Time]],"")</f>
        <v>3758.9564930555562</v>
      </c>
      <c r="AB985" s="105" t="s">
        <v>726</v>
      </c>
      <c r="AC985" s="105"/>
      <c r="AD985" s="105"/>
    </row>
    <row r="986" spans="1:30">
      <c r="A986" s="105">
        <f t="shared" si="15"/>
        <v>985</v>
      </c>
      <c r="B986" s="371">
        <f>YEAR(Table6[[#This Row],[Date]])+IF(MONTH(Table6[[#This Row],[Date]])&gt;=4,1,0)</f>
        <v>2026</v>
      </c>
      <c r="C986" s="372">
        <f>YEAR(Table6[[#This Row],[Date]])</f>
        <v>2025</v>
      </c>
      <c r="D986" s="105" t="s">
        <v>465</v>
      </c>
      <c r="E986" s="119">
        <f>Table6[[#This Row],[Date]]-DAY(Table6[[#This Row],[Date]])+1</f>
        <v>45839</v>
      </c>
      <c r="F986" s="373">
        <v>45854</v>
      </c>
      <c r="G986" s="105" t="s">
        <v>101</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466</v>
      </c>
      <c r="L986" s="39" t="str">
        <f>IFERROR(VLOOKUP(Table6[[#This Row],[Error Code]],'Basic Data'!$T:$U,2,0),"")</f>
        <v>Manual Stop - Safety Related</v>
      </c>
      <c r="M986" s="346" t="s">
        <v>467</v>
      </c>
      <c r="N986" s="105" t="s">
        <v>468</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469</v>
      </c>
      <c r="V986" s="351" t="s">
        <v>470</v>
      </c>
      <c r="W986" s="376">
        <f>Table6[[#This Row],[Breakdown Time]]*(1/39)</f>
        <v>0.61537749287749288</v>
      </c>
      <c r="X986" s="336" t="s">
        <v>471</v>
      </c>
      <c r="Y986" s="352" t="s">
        <v>102</v>
      </c>
      <c r="Z986" s="379">
        <v>3759</v>
      </c>
      <c r="AA986" s="107">
        <f>IFERROR((Table6[[#This Row],[Paired WTG Generation for loss calculation]]/24)*Table6[[#This Row],[Breakdown Time]],"")</f>
        <v>3758.9564930555562</v>
      </c>
      <c r="AB986" s="105" t="s">
        <v>472</v>
      </c>
      <c r="AC986" s="105"/>
      <c r="AD986" s="105"/>
    </row>
    <row r="987" spans="1:30">
      <c r="A987" s="105">
        <f t="shared" si="15"/>
        <v>986</v>
      </c>
      <c r="B987" s="371">
        <f>YEAR(Table6[[#This Row],[Date]])+IF(MONTH(Table6[[#This Row],[Date]])&gt;=4,1,0)</f>
        <v>2026</v>
      </c>
      <c r="C987" s="372">
        <f>YEAR(Table6[[#This Row],[Date]])</f>
        <v>2025</v>
      </c>
      <c r="D987" s="105" t="s">
        <v>465</v>
      </c>
      <c r="E987" s="119">
        <f>Table6[[#This Row],[Date]]-DAY(Table6[[#This Row],[Date]])+1</f>
        <v>45839</v>
      </c>
      <c r="F987" s="373">
        <v>45854</v>
      </c>
      <c r="G987" s="105" t="s">
        <v>90</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473</v>
      </c>
      <c r="N987" s="105" t="s">
        <v>474</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727</v>
      </c>
      <c r="V987" s="346" t="s">
        <v>476</v>
      </c>
      <c r="W987" s="376">
        <f>Table6[[#This Row],[Breakdown Time]]*(1/39)</f>
        <v>0.49230769230769239</v>
      </c>
      <c r="X987" s="336" t="s">
        <v>477</v>
      </c>
      <c r="Y987" s="352" t="s">
        <v>89</v>
      </c>
      <c r="Z987" s="15">
        <v>3456</v>
      </c>
      <c r="AA987" s="107">
        <f>IFERROR((Table6[[#This Row],[Paired WTG Generation for loss calculation]]/24)*Table6[[#This Row],[Breakdown Time]],"")</f>
        <v>2764.8</v>
      </c>
      <c r="AB987" s="107" t="s">
        <v>472</v>
      </c>
      <c r="AC987" s="105"/>
      <c r="AD987" s="105"/>
    </row>
    <row r="988" spans="1:30">
      <c r="A988" s="105">
        <f t="shared" si="15"/>
        <v>987</v>
      </c>
      <c r="B988" s="371">
        <f>YEAR(Table6[[#This Row],[Date]])+IF(MONTH(Table6[[#This Row],[Date]])&gt;=4,1,0)</f>
        <v>2026</v>
      </c>
      <c r="C988" s="372">
        <f>YEAR(Table6[[#This Row],[Date]])</f>
        <v>2025</v>
      </c>
      <c r="D988" s="105" t="s">
        <v>465</v>
      </c>
      <c r="E988" s="119">
        <f>Table6[[#This Row],[Date]]-DAY(Table6[[#This Row],[Date]])+1</f>
        <v>45839</v>
      </c>
      <c r="F988" s="373">
        <v>45854</v>
      </c>
      <c r="G988" s="374" t="s">
        <v>88</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466</v>
      </c>
      <c r="L988" s="39" t="str">
        <f>IFERROR(VLOOKUP(Table6[[#This Row],[Error Code]],'Basic Data'!$T:$U,2,0),"")</f>
        <v>Manual Stop - Safety Related</v>
      </c>
      <c r="M988" s="346" t="s">
        <v>467</v>
      </c>
      <c r="N988" s="105" t="s">
        <v>189</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511</v>
      </c>
      <c r="V988" s="346" t="s">
        <v>476</v>
      </c>
      <c r="W988" s="376">
        <f>Table6[[#This Row],[Breakdown Time]]*(1/39)</f>
        <v>7.6068376068376076E-2</v>
      </c>
      <c r="X988" s="336" t="s">
        <v>477</v>
      </c>
      <c r="Y988" s="346" t="s">
        <v>89</v>
      </c>
      <c r="Z988" s="15">
        <v>3456</v>
      </c>
      <c r="AA988" s="107">
        <f>IFERROR((Table6[[#This Row],[Paired WTG Generation for loss calculation]]/24)*Table6[[#This Row],[Breakdown Time]],"")</f>
        <v>427.20000000000005</v>
      </c>
      <c r="AB988" s="107" t="s">
        <v>472</v>
      </c>
      <c r="AC988" s="105"/>
      <c r="AD988" s="105"/>
    </row>
    <row r="989" spans="1:30">
      <c r="A989" s="105">
        <f t="shared" si="15"/>
        <v>988</v>
      </c>
      <c r="B989" s="371">
        <f>YEAR(Table6[[#This Row],[Date]])+IF(MONTH(Table6[[#This Row],[Date]])&gt;=4,1,0)</f>
        <v>2026</v>
      </c>
      <c r="C989" s="372">
        <f>YEAR(Table6[[#This Row],[Date]])</f>
        <v>2025</v>
      </c>
      <c r="D989" s="105" t="s">
        <v>465</v>
      </c>
      <c r="E989" s="119">
        <f>Table6[[#This Row],[Date]]-DAY(Table6[[#This Row],[Date]])+1</f>
        <v>45839</v>
      </c>
      <c r="F989" s="373">
        <v>45854</v>
      </c>
      <c r="G989" s="374" t="s">
        <v>105</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526</v>
      </c>
      <c r="L989" s="39" t="str">
        <f>IFERROR(VLOOKUP(Table6[[#This Row],[Error Code]],'Basic Data'!$T:$U,2,0),"")</f>
        <v>Manual Stop</v>
      </c>
      <c r="M989" s="346" t="s">
        <v>728</v>
      </c>
      <c r="N989" s="105" t="s">
        <v>189</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729</v>
      </c>
      <c r="V989" s="346" t="s">
        <v>476</v>
      </c>
      <c r="W989" s="376">
        <f>Table6[[#This Row],[Breakdown Time]]*(1/39)</f>
        <v>6.3675213675213685E-2</v>
      </c>
      <c r="X989" s="336" t="s">
        <v>477</v>
      </c>
      <c r="Y989" s="346" t="s">
        <v>106</v>
      </c>
      <c r="Z989" s="379">
        <v>3038</v>
      </c>
      <c r="AA989" s="107">
        <f>IFERROR((Table6[[#This Row],[Paired WTG Generation for loss calculation]]/24)*Table6[[#This Row],[Breakdown Time]],"")</f>
        <v>314.34861111111115</v>
      </c>
      <c r="AB989" s="107" t="s">
        <v>472</v>
      </c>
      <c r="AC989" s="105"/>
      <c r="AD989" s="105"/>
    </row>
    <row r="990" spans="1:30">
      <c r="A990" s="105">
        <f t="shared" si="15"/>
        <v>989</v>
      </c>
      <c r="B990" s="371">
        <f>YEAR(Table6[[#This Row],[Date]])+IF(MONTH(Table6[[#This Row],[Date]])&gt;=4,1,0)</f>
        <v>2026</v>
      </c>
      <c r="C990" s="372">
        <f>YEAR(Table6[[#This Row],[Date]])</f>
        <v>2025</v>
      </c>
      <c r="D990" s="105" t="s">
        <v>465</v>
      </c>
      <c r="E990" s="119">
        <f>Table6[[#This Row],[Date]]-DAY(Table6[[#This Row],[Date]])+1</f>
        <v>45839</v>
      </c>
      <c r="F990" s="373">
        <v>45854</v>
      </c>
      <c r="G990" s="374" t="s">
        <v>85</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473</v>
      </c>
      <c r="N990" s="105" t="s">
        <v>474</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730</v>
      </c>
      <c r="V990" s="346" t="s">
        <v>476</v>
      </c>
      <c r="W990" s="376">
        <f>Table6[[#This Row],[Breakdown Time]]*(1/39)</f>
        <v>3.162393162393165E-2</v>
      </c>
      <c r="X990" s="336" t="s">
        <v>477</v>
      </c>
      <c r="Y990" s="346" t="s">
        <v>86</v>
      </c>
      <c r="Z990" s="15">
        <v>3498</v>
      </c>
      <c r="AA990" s="107">
        <f>IFERROR((Table6[[#This Row],[Paired WTG Generation for loss calculation]]/24)*Table6[[#This Row],[Breakdown Time]],"")</f>
        <v>179.75833333333347</v>
      </c>
      <c r="AB990" s="107" t="s">
        <v>472</v>
      </c>
      <c r="AC990" s="105"/>
      <c r="AD990" s="105"/>
    </row>
    <row r="991" spans="1:30">
      <c r="A991" s="105">
        <f t="shared" si="15"/>
        <v>990</v>
      </c>
      <c r="B991" s="371">
        <f>YEAR(Table6[[#This Row],[Date]])+IF(MONTH(Table6[[#This Row],[Date]])&gt;=4,1,0)</f>
        <v>2026</v>
      </c>
      <c r="C991" s="372">
        <f>YEAR(Table6[[#This Row],[Date]])</f>
        <v>2025</v>
      </c>
      <c r="D991" s="105" t="s">
        <v>465</v>
      </c>
      <c r="E991" s="119">
        <f>Table6[[#This Row],[Date]]-DAY(Table6[[#This Row],[Date]])+1</f>
        <v>45839</v>
      </c>
      <c r="F991" s="373">
        <v>45855</v>
      </c>
      <c r="G991" s="105" t="s">
        <v>103</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473</v>
      </c>
      <c r="N991" s="105" t="s">
        <v>474</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716</v>
      </c>
      <c r="V991" s="351" t="s">
        <v>470</v>
      </c>
      <c r="W991" s="376">
        <f>Table6[[#This Row],[Breakdown Time]]*(1/39)</f>
        <v>0.61537749287749288</v>
      </c>
      <c r="X991" s="336" t="s">
        <v>477</v>
      </c>
      <c r="Y991" s="352" t="s">
        <v>102</v>
      </c>
      <c r="Z991" s="105">
        <v>2198</v>
      </c>
      <c r="AA991" s="107">
        <f>IFERROR((Table6[[#This Row],[Paired WTG Generation for loss calculation]]/24)*Table6[[#This Row],[Breakdown Time]],"")</f>
        <v>2197.9745601851855</v>
      </c>
      <c r="AB991" s="105" t="s">
        <v>726</v>
      </c>
      <c r="AC991" s="105"/>
      <c r="AD991" s="105"/>
    </row>
    <row r="992" spans="1:30">
      <c r="A992" s="105">
        <f t="shared" si="15"/>
        <v>991</v>
      </c>
      <c r="B992" s="371">
        <f>YEAR(Table6[[#This Row],[Date]])+IF(MONTH(Table6[[#This Row],[Date]])&gt;=4,1,0)</f>
        <v>2026</v>
      </c>
      <c r="C992" s="372">
        <f>YEAR(Table6[[#This Row],[Date]])</f>
        <v>2025</v>
      </c>
      <c r="D992" s="105" t="s">
        <v>465</v>
      </c>
      <c r="E992" s="119">
        <f>Table6[[#This Row],[Date]]-DAY(Table6[[#This Row],[Date]])+1</f>
        <v>45839</v>
      </c>
      <c r="F992" s="373">
        <v>45855</v>
      </c>
      <c r="G992" s="105" t="s">
        <v>101</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466</v>
      </c>
      <c r="L992" s="39" t="str">
        <f>IFERROR(VLOOKUP(Table6[[#This Row],[Error Code]],'Basic Data'!$T:$U,2,0),"")</f>
        <v>Manual Stop - Safety Related</v>
      </c>
      <c r="M992" s="346" t="s">
        <v>467</v>
      </c>
      <c r="N992" s="105" t="s">
        <v>468</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469</v>
      </c>
      <c r="V992" s="351" t="s">
        <v>470</v>
      </c>
      <c r="W992" s="376">
        <f>Table6[[#This Row],[Breakdown Time]]*(1/39)</f>
        <v>0.61537749287749288</v>
      </c>
      <c r="X992" s="336" t="s">
        <v>471</v>
      </c>
      <c r="Y992" s="352" t="s">
        <v>102</v>
      </c>
      <c r="Z992" s="105">
        <v>2198</v>
      </c>
      <c r="AA992" s="107">
        <f>IFERROR((Table6[[#This Row],[Paired WTG Generation for loss calculation]]/24)*Table6[[#This Row],[Breakdown Time]],"")</f>
        <v>2197.9745601851855</v>
      </c>
      <c r="AB992" s="107" t="s">
        <v>472</v>
      </c>
      <c r="AC992" s="105"/>
      <c r="AD992" s="105"/>
    </row>
    <row r="993" spans="1:30">
      <c r="A993" s="105">
        <f t="shared" si="15"/>
        <v>992</v>
      </c>
      <c r="B993" s="371">
        <f>YEAR(Table6[[#This Row],[Date]])+IF(MONTH(Table6[[#This Row],[Date]])&gt;=4,1,0)</f>
        <v>2026</v>
      </c>
      <c r="C993" s="372">
        <f>YEAR(Table6[[#This Row],[Date]])</f>
        <v>2025</v>
      </c>
      <c r="D993" s="105" t="s">
        <v>465</v>
      </c>
      <c r="E993" s="119">
        <f>Table6[[#This Row],[Date]]-DAY(Table6[[#This Row],[Date]])+1</f>
        <v>45839</v>
      </c>
      <c r="F993" s="373">
        <v>45855</v>
      </c>
      <c r="G993" s="374" t="s">
        <v>74</v>
      </c>
      <c r="H993" s="39" t="str">
        <f>_xlfn.XLOOKUP(Table6[[#This Row],[Affected WTG]],'Basic Data'!$A:$A,'Basic Data'!$B:$B)</f>
        <v>PWEGPL</v>
      </c>
      <c r="I993" s="39" t="str">
        <f>_xlfn.XLOOKUP(Table6[[#This Row],[Affected WTG]],'Basic Data'!$A:$A,'Basic Data'!$C:$C)</f>
        <v>MSEDCL</v>
      </c>
      <c r="J993" s="380">
        <f>IFERROR(VLOOKUP(Table6[[#This Row],[Affected WTG]],'Basic Data'!$A$3:$E$56,5,0),"")</f>
        <v>2.564102564102564E-2</v>
      </c>
      <c r="K993" s="105">
        <v>2118</v>
      </c>
      <c r="L993" s="39" t="str">
        <f>IFERROR(VLOOKUP(Table6[[#This Row],[Error Code]],'Basic Data'!$T:$U,2,0),"")</f>
        <v>Bus Error - Interbus Failure</v>
      </c>
      <c r="M993" s="346" t="s">
        <v>473</v>
      </c>
      <c r="N993" s="105" t="s">
        <v>474</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475</v>
      </c>
      <c r="V993" s="346" t="s">
        <v>476</v>
      </c>
      <c r="W993" s="376">
        <f>Table6[[#This Row],[Breakdown Time]]*(1/39)</f>
        <v>2.3931623931623913E-2</v>
      </c>
      <c r="X993" s="337" t="s">
        <v>477</v>
      </c>
      <c r="Y993" s="346" t="s">
        <v>80</v>
      </c>
      <c r="Z993" s="105">
        <v>1956</v>
      </c>
      <c r="AA993" s="107">
        <f>IFERROR((Table6[[#This Row],[Paired WTG Generation for loss calculation]]/24)*Table6[[#This Row],[Breakdown Time]],"")</f>
        <v>76.06666666666662</v>
      </c>
      <c r="AB993" s="107" t="s">
        <v>472</v>
      </c>
      <c r="AC993" s="105"/>
      <c r="AD993" s="105"/>
    </row>
    <row r="994" spans="1:30">
      <c r="A994" s="105">
        <f t="shared" si="15"/>
        <v>993</v>
      </c>
      <c r="B994" s="371">
        <f>YEAR(Table6[[#This Row],[Date]])+IF(MONTH(Table6[[#This Row],[Date]])&gt;=4,1,0)</f>
        <v>2026</v>
      </c>
      <c r="C994" s="372">
        <f>YEAR(Table6[[#This Row],[Date]])</f>
        <v>2025</v>
      </c>
      <c r="D994" s="105" t="s">
        <v>465</v>
      </c>
      <c r="E994" s="119">
        <f>Table6[[#This Row],[Date]]-DAY(Table6[[#This Row],[Date]])+1</f>
        <v>45839</v>
      </c>
      <c r="F994" s="373">
        <v>45855</v>
      </c>
      <c r="G994" s="374" t="s">
        <v>75</v>
      </c>
      <c r="H994" s="39" t="str">
        <f>_xlfn.XLOOKUP(Table6[[#This Row],[Affected WTG]],'Basic Data'!$A:$A,'Basic Data'!$B:$B)</f>
        <v>PWEGPL</v>
      </c>
      <c r="I994" s="39" t="str">
        <f>_xlfn.XLOOKUP(Table6[[#This Row],[Affected WTG]],'Basic Data'!$A:$A,'Basic Data'!$C:$C)</f>
        <v>MSEDCL</v>
      </c>
      <c r="J994" s="380">
        <f>IFERROR(VLOOKUP(Table6[[#This Row],[Affected WTG]],'Basic Data'!$A$3:$E$56,5,0),"")</f>
        <v>2.564102564102564E-2</v>
      </c>
      <c r="K994" s="105">
        <v>5225</v>
      </c>
      <c r="L994" s="39" t="str">
        <f>IFERROR(VLOOKUP(Table6[[#This Row],[Error Code]],'Basic Data'!$T:$U,2,0),"")</f>
        <v>Fault In Analog Electronic Power Supply</v>
      </c>
      <c r="M994" s="346" t="s">
        <v>473</v>
      </c>
      <c r="N994" s="105" t="s">
        <v>474</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731</v>
      </c>
      <c r="V994" s="346" t="s">
        <v>476</v>
      </c>
      <c r="W994" s="376">
        <f>Table6[[#This Row],[Breakdown Time]]*(1/39)</f>
        <v>4.4444444444444418E-2</v>
      </c>
      <c r="X994" s="337" t="s">
        <v>477</v>
      </c>
      <c r="Y994" s="346" t="s">
        <v>77</v>
      </c>
      <c r="Z994" s="105">
        <v>1948</v>
      </c>
      <c r="AA994" s="107">
        <f>IFERROR((Table6[[#This Row],[Paired WTG Generation for loss calculation]]/24)*Table6[[#This Row],[Breakdown Time]],"")</f>
        <v>140.68888888888884</v>
      </c>
      <c r="AB994" s="107" t="s">
        <v>472</v>
      </c>
      <c r="AC994" s="105"/>
      <c r="AD994" s="105"/>
    </row>
    <row r="995" spans="1:30">
      <c r="A995" s="105">
        <f t="shared" si="15"/>
        <v>994</v>
      </c>
      <c r="B995" s="371">
        <f>YEAR(Table6[[#This Row],[Date]])+IF(MONTH(Table6[[#This Row],[Date]])&gt;=4,1,0)</f>
        <v>2026</v>
      </c>
      <c r="C995" s="372">
        <f>YEAR(Table6[[#This Row],[Date]])</f>
        <v>2025</v>
      </c>
      <c r="D995" s="105" t="s">
        <v>465</v>
      </c>
      <c r="E995" s="119">
        <f>Table6[[#This Row],[Date]]-DAY(Table6[[#This Row],[Date]])+1</f>
        <v>45839</v>
      </c>
      <c r="F995" s="373">
        <v>45855</v>
      </c>
      <c r="G995" s="374" t="s">
        <v>79</v>
      </c>
      <c r="H995" s="39" t="str">
        <f>_xlfn.XLOOKUP(Table6[[#This Row],[Affected WTG]],'Basic Data'!$A:$A,'Basic Data'!$B:$B)</f>
        <v>PWEGPL</v>
      </c>
      <c r="I995" s="39" t="str">
        <f>_xlfn.XLOOKUP(Table6[[#This Row],[Affected WTG]],'Basic Data'!$A:$A,'Basic Data'!$C:$C)</f>
        <v>MSEDCL</v>
      </c>
      <c r="J995" s="380">
        <f>IFERROR(VLOOKUP(Table6[[#This Row],[Affected WTG]],'Basic Data'!$A$3:$E$56,5,0),"")</f>
        <v>2.564102564102564E-2</v>
      </c>
      <c r="K995" s="105">
        <v>5216</v>
      </c>
      <c r="L995" s="39" t="str">
        <f>IFERROR(VLOOKUP(Table6[[#This Row],[Error Code]],'Basic Data'!$T:$U,2,0),"")</f>
        <v>Grid Voltage Failure</v>
      </c>
      <c r="M995" s="346" t="s">
        <v>473</v>
      </c>
      <c r="N995" s="105" t="s">
        <v>474</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732</v>
      </c>
      <c r="V995" s="346" t="s">
        <v>476</v>
      </c>
      <c r="W995" s="376">
        <f>Table6[[#This Row],[Breakdown Time]]*(1/39)</f>
        <v>6.3247863247863231E-2</v>
      </c>
      <c r="X995" s="337" t="s">
        <v>477</v>
      </c>
      <c r="Y995" s="346" t="s">
        <v>76</v>
      </c>
      <c r="Z995" s="105">
        <v>1952</v>
      </c>
      <c r="AA995" s="107">
        <f>IFERROR((Table6[[#This Row],[Paired WTG Generation for loss calculation]]/24)*Table6[[#This Row],[Breakdown Time]],"")</f>
        <v>200.62222222222215</v>
      </c>
      <c r="AB995" s="107" t="s">
        <v>472</v>
      </c>
      <c r="AC995" s="105"/>
      <c r="AD995" s="105"/>
    </row>
    <row r="996" spans="1:30">
      <c r="A996" s="105">
        <f t="shared" si="15"/>
        <v>995</v>
      </c>
      <c r="B996" s="371">
        <f>YEAR(Table6[[#This Row],[Date]])+IF(MONTH(Table6[[#This Row],[Date]])&gt;=4,1,0)</f>
        <v>2026</v>
      </c>
      <c r="C996" s="372">
        <f>YEAR(Table6[[#This Row],[Date]])</f>
        <v>2025</v>
      </c>
      <c r="D996" s="105" t="s">
        <v>465</v>
      </c>
      <c r="E996" s="119">
        <f>Table6[[#This Row],[Date]]-DAY(Table6[[#This Row],[Date]])+1</f>
        <v>45839</v>
      </c>
      <c r="F996" s="373">
        <v>45855</v>
      </c>
      <c r="G996" s="374" t="s">
        <v>82</v>
      </c>
      <c r="H996" s="39" t="str">
        <f>_xlfn.XLOOKUP(Table6[[#This Row],[Affected WTG]],'Basic Data'!$A:$A,'Basic Data'!$B:$B)</f>
        <v>PWEGPL</v>
      </c>
      <c r="I996" s="39" t="str">
        <f>_xlfn.XLOOKUP(Table6[[#This Row],[Affected WTG]],'Basic Data'!$A:$A,'Basic Data'!$C:$C)</f>
        <v>MSEDCL</v>
      </c>
      <c r="J996" s="380">
        <f>IFERROR(VLOOKUP(Table6[[#This Row],[Affected WTG]],'Basic Data'!$A$3:$E$56,5,0),"")</f>
        <v>2.564102564102564E-2</v>
      </c>
      <c r="K996" s="105">
        <v>203</v>
      </c>
      <c r="L996" s="39" t="str">
        <f>IFERROR(VLOOKUP(Table6[[#This Row],[Error Code]],'Basic Data'!$T:$U,2,0),"")</f>
        <v>Low Pressure On Hydraulic Group</v>
      </c>
      <c r="M996" s="346" t="s">
        <v>473</v>
      </c>
      <c r="N996" s="105" t="s">
        <v>474</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475</v>
      </c>
      <c r="V996" s="346" t="s">
        <v>476</v>
      </c>
      <c r="W996" s="376">
        <f>Table6[[#This Row],[Breakdown Time]]*(1/39)</f>
        <v>1.7948717948717954E-2</v>
      </c>
      <c r="X996" s="337" t="s">
        <v>477</v>
      </c>
      <c r="Y996" s="346" t="s">
        <v>85</v>
      </c>
      <c r="Z996" s="105">
        <v>2012</v>
      </c>
      <c r="AA996" s="107">
        <f>IFERROR((Table6[[#This Row],[Paired WTG Generation for loss calculation]]/24)*Table6[[#This Row],[Breakdown Time]],"")</f>
        <v>58.683333333333344</v>
      </c>
      <c r="AB996" s="107" t="s">
        <v>472</v>
      </c>
      <c r="AC996" s="105"/>
      <c r="AD996" s="105"/>
    </row>
    <row r="997" spans="1:30">
      <c r="A997" s="105">
        <f t="shared" si="15"/>
        <v>996</v>
      </c>
      <c r="B997" s="371">
        <f>YEAR(Table6[[#This Row],[Date]])+IF(MONTH(Table6[[#This Row],[Date]])&gt;=4,1,0)</f>
        <v>2026</v>
      </c>
      <c r="C997" s="372">
        <f>YEAR(Table6[[#This Row],[Date]])</f>
        <v>2025</v>
      </c>
      <c r="D997" s="105" t="s">
        <v>465</v>
      </c>
      <c r="E997" s="119">
        <f>Table6[[#This Row],[Date]]-DAY(Table6[[#This Row],[Date]])+1</f>
        <v>45839</v>
      </c>
      <c r="F997" s="373">
        <v>45855</v>
      </c>
      <c r="G997" s="374" t="s">
        <v>85</v>
      </c>
      <c r="H997" s="39" t="str">
        <f>_xlfn.XLOOKUP(Table6[[#This Row],[Affected WTG]],'Basic Data'!$A:$A,'Basic Data'!$B:$B)</f>
        <v>PWEGPL</v>
      </c>
      <c r="I997" s="39" t="str">
        <f>_xlfn.XLOOKUP(Table6[[#This Row],[Affected WTG]],'Basic Data'!$A:$A,'Basic Data'!$C:$C)</f>
        <v>MSEDCL</v>
      </c>
      <c r="J997" s="380">
        <f>IFERROR(VLOOKUP(Table6[[#This Row],[Affected WTG]],'Basic Data'!$A$3:$E$56,5,0),"")</f>
        <v>2.564102564102564E-2</v>
      </c>
      <c r="K997" s="105">
        <v>700</v>
      </c>
      <c r="L997" s="39" t="str">
        <f>IFERROR(VLOOKUP(Table6[[#This Row],[Error Code]],'Basic Data'!$T:$U,2,0),"")</f>
        <v>PLC-Converter Communication Error</v>
      </c>
      <c r="M997" s="346" t="s">
        <v>473</v>
      </c>
      <c r="N997" s="105" t="s">
        <v>474</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475</v>
      </c>
      <c r="V997" s="346" t="s">
        <v>476</v>
      </c>
      <c r="W997" s="376">
        <f>Table6[[#This Row],[Breakdown Time]]*(1/39)</f>
        <v>1.2820512820512843E-2</v>
      </c>
      <c r="X997" s="337" t="s">
        <v>477</v>
      </c>
      <c r="Y997" s="346" t="s">
        <v>82</v>
      </c>
      <c r="Z997" s="105">
        <v>2001</v>
      </c>
      <c r="AA997" s="107">
        <f>IFERROR((Table6[[#This Row],[Paired WTG Generation for loss calculation]]/24)*Table6[[#This Row],[Breakdown Time]],"")</f>
        <v>41.687500000000071</v>
      </c>
      <c r="AB997" s="107" t="s">
        <v>472</v>
      </c>
      <c r="AC997" s="105"/>
      <c r="AD997" s="105"/>
    </row>
    <row r="998" spans="1:30">
      <c r="A998" s="105">
        <f t="shared" si="15"/>
        <v>997</v>
      </c>
      <c r="B998" s="371">
        <f>YEAR(Table6[[#This Row],[Date]])+IF(MONTH(Table6[[#This Row],[Date]])&gt;=4,1,0)</f>
        <v>2026</v>
      </c>
      <c r="C998" s="372">
        <f>YEAR(Table6[[#This Row],[Date]])</f>
        <v>2025</v>
      </c>
      <c r="D998" s="105" t="s">
        <v>465</v>
      </c>
      <c r="E998" s="119">
        <f>Table6[[#This Row],[Date]]-DAY(Table6[[#This Row],[Date]])+1</f>
        <v>45839</v>
      </c>
      <c r="F998" s="373">
        <v>45855</v>
      </c>
      <c r="G998" s="374" t="s">
        <v>89</v>
      </c>
      <c r="H998" s="39" t="str">
        <f>_xlfn.XLOOKUP(Table6[[#This Row],[Affected WTG]],'Basic Data'!$A:$A,'Basic Data'!$B:$B)</f>
        <v>PWEGPL</v>
      </c>
      <c r="I998" s="39" t="str">
        <f>_xlfn.XLOOKUP(Table6[[#This Row],[Affected WTG]],'Basic Data'!$A:$A,'Basic Data'!$C:$C)</f>
        <v>MSEDCL</v>
      </c>
      <c r="J998" s="380">
        <f>IFERROR(VLOOKUP(Table6[[#This Row],[Affected WTG]],'Basic Data'!$A$3:$E$56,5,0),"")</f>
        <v>2.564102564102564E-2</v>
      </c>
      <c r="K998" s="105">
        <v>5203</v>
      </c>
      <c r="L998" s="39" t="str">
        <f>IFERROR(VLOOKUP(Table6[[#This Row],[Error Code]],'Basic Data'!$T:$U,2,0),"")</f>
        <v>Heating/Coolant Thermal Magnetic Failure</v>
      </c>
      <c r="M998" s="346" t="s">
        <v>473</v>
      </c>
      <c r="N998" s="105" t="s">
        <v>474</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503</v>
      </c>
      <c r="V998" s="346" t="s">
        <v>476</v>
      </c>
      <c r="W998" s="376">
        <f>Table6[[#This Row],[Breakdown Time]]*(1/39)</f>
        <v>4.7435897435897399E-2</v>
      </c>
      <c r="X998" s="337" t="s">
        <v>477</v>
      </c>
      <c r="Y998" s="346" t="s">
        <v>88</v>
      </c>
      <c r="Z998" s="105">
        <v>2109</v>
      </c>
      <c r="AA998" s="107">
        <f>IFERROR((Table6[[#This Row],[Paired WTG Generation for loss calculation]]/24)*Table6[[#This Row],[Breakdown Time]],"")</f>
        <v>162.56874999999988</v>
      </c>
      <c r="AB998" s="107" t="s">
        <v>472</v>
      </c>
      <c r="AC998" s="105"/>
      <c r="AD998" s="105"/>
    </row>
    <row r="999" spans="1:30">
      <c r="A999" s="105">
        <f t="shared" si="15"/>
        <v>998</v>
      </c>
      <c r="B999" s="371">
        <f>YEAR(Table6[[#This Row],[Date]])+IF(MONTH(Table6[[#This Row],[Date]])&gt;=4,1,0)</f>
        <v>2026</v>
      </c>
      <c r="C999" s="372">
        <f>YEAR(Table6[[#This Row],[Date]])</f>
        <v>2025</v>
      </c>
      <c r="D999" s="105" t="s">
        <v>465</v>
      </c>
      <c r="E999" s="119">
        <f>Table6[[#This Row],[Date]]-DAY(Table6[[#This Row],[Date]])+1</f>
        <v>45839</v>
      </c>
      <c r="F999" s="373">
        <v>45855</v>
      </c>
      <c r="G999" s="374" t="s">
        <v>90</v>
      </c>
      <c r="H999" s="39" t="str">
        <f>_xlfn.XLOOKUP(Table6[[#This Row],[Affected WTG]],'Basic Data'!$A:$A,'Basic Data'!$B:$B)</f>
        <v>PWEGPL</v>
      </c>
      <c r="I999" s="39" t="str">
        <f>_xlfn.XLOOKUP(Table6[[#This Row],[Affected WTG]],'Basic Data'!$A:$A,'Basic Data'!$C:$C)</f>
        <v>MSEDCL</v>
      </c>
      <c r="J999" s="380">
        <f>IFERROR(VLOOKUP(Table6[[#This Row],[Affected WTG]],'Basic Data'!$A$3:$E$56,5,0),"")</f>
        <v>2.564102564102564E-2</v>
      </c>
      <c r="K999" s="105" t="s">
        <v>526</v>
      </c>
      <c r="L999" s="39" t="str">
        <f>IFERROR(VLOOKUP(Table6[[#This Row],[Error Code]],'Basic Data'!$T:$U,2,0),"")</f>
        <v>Manual Stop</v>
      </c>
      <c r="M999" s="346" t="s">
        <v>473</v>
      </c>
      <c r="N999" s="105" t="s">
        <v>189</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733</v>
      </c>
      <c r="V999" s="346" t="s">
        <v>476</v>
      </c>
      <c r="W999" s="376">
        <f>Table6[[#This Row],[Breakdown Time]]*(1/39)</f>
        <v>5.0000000000000024E-2</v>
      </c>
      <c r="X999" s="337" t="s">
        <v>477</v>
      </c>
      <c r="Y999" s="346" t="s">
        <v>89</v>
      </c>
      <c r="Z999" s="105">
        <v>2018</v>
      </c>
      <c r="AA999" s="107">
        <f>IFERROR((Table6[[#This Row],[Paired WTG Generation for loss calculation]]/24)*Table6[[#This Row],[Breakdown Time]],"")</f>
        <v>163.96250000000009</v>
      </c>
      <c r="AB999" s="107" t="s">
        <v>472</v>
      </c>
      <c r="AC999" s="105"/>
      <c r="AD999" s="105"/>
    </row>
    <row r="1000" spans="1:30">
      <c r="A1000" s="105">
        <f t="shared" si="15"/>
        <v>999</v>
      </c>
      <c r="B1000" s="371">
        <f>YEAR(Table6[[#This Row],[Date]])+IF(MONTH(Table6[[#This Row],[Date]])&gt;=4,1,0)</f>
        <v>2026</v>
      </c>
      <c r="C1000" s="372">
        <f>YEAR(Table6[[#This Row],[Date]])</f>
        <v>2025</v>
      </c>
      <c r="D1000" s="105" t="s">
        <v>465</v>
      </c>
      <c r="E1000" s="119">
        <f>Table6[[#This Row],[Date]]-DAY(Table6[[#This Row],[Date]])+1</f>
        <v>45839</v>
      </c>
      <c r="F1000" s="373">
        <v>45855</v>
      </c>
      <c r="G1000" s="374" t="s">
        <v>104</v>
      </c>
      <c r="H1000" s="39" t="str">
        <f>_xlfn.XLOOKUP(Table6[[#This Row],[Affected WTG]],'Basic Data'!$A:$A,'Basic Data'!$B:$B)</f>
        <v>PWEGPL</v>
      </c>
      <c r="I1000" s="39" t="str">
        <f>_xlfn.XLOOKUP(Table6[[#This Row],[Affected WTG]],'Basic Data'!$A:$A,'Basic Data'!$C:$C)</f>
        <v>MSEDCL</v>
      </c>
      <c r="J1000" s="380">
        <f>IFERROR(VLOOKUP(Table6[[#This Row],[Affected WTG]],'Basic Data'!$A$3:$E$56,5,0),"")</f>
        <v>2.564102564102564E-2</v>
      </c>
      <c r="K1000" s="105">
        <v>5201</v>
      </c>
      <c r="L1000" s="39" t="str">
        <f>IFERROR(VLOOKUP(Table6[[#This Row],[Error Code]],'Basic Data'!$T:$U,2,0),"")</f>
        <v>Magnetothermic Trigger Of The Stator Protection</v>
      </c>
      <c r="M1000" s="346" t="s">
        <v>473</v>
      </c>
      <c r="N1000" s="105" t="s">
        <v>474</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484</v>
      </c>
      <c r="V1000" s="346" t="s">
        <v>476</v>
      </c>
      <c r="W1000" s="376">
        <f>Table6[[#This Row],[Breakdown Time]]*(1/39)</f>
        <v>1.581196581196579E-2</v>
      </c>
      <c r="X1000" s="337" t="s">
        <v>477</v>
      </c>
      <c r="Y1000" s="346" t="s">
        <v>98</v>
      </c>
      <c r="Z1000" s="105">
        <v>1850</v>
      </c>
      <c r="AA1000" s="107">
        <f>IFERROR((Table6[[#This Row],[Paired WTG Generation for loss calculation]]/24)*Table6[[#This Row],[Breakdown Time]],"")</f>
        <v>47.53472222222215</v>
      </c>
      <c r="AB1000" s="107" t="s">
        <v>472</v>
      </c>
      <c r="AC1000" s="105"/>
      <c r="AD1000" s="105"/>
    </row>
    <row r="1001" spans="1:30">
      <c r="A1001" s="105">
        <f t="shared" si="15"/>
        <v>1000</v>
      </c>
      <c r="B1001" s="371">
        <f>YEAR(Table6[[#This Row],[Date]])+IF(MONTH(Table6[[#This Row],[Date]])&gt;=4,1,0)</f>
        <v>2026</v>
      </c>
      <c r="C1001" s="372">
        <f>YEAR(Table6[[#This Row],[Date]])</f>
        <v>2025</v>
      </c>
      <c r="D1001" s="105" t="s">
        <v>465</v>
      </c>
      <c r="E1001" s="119">
        <f>Table6[[#This Row],[Date]]-DAY(Table6[[#This Row],[Date]])+1</f>
        <v>45839</v>
      </c>
      <c r="F1001" s="373">
        <v>45855</v>
      </c>
      <c r="G1001" s="374" t="s">
        <v>107</v>
      </c>
      <c r="H1001" s="39" t="str">
        <f>_xlfn.XLOOKUP(Table6[[#This Row],[Affected WTG]],'Basic Data'!$A:$A,'Basic Data'!$B:$B)</f>
        <v>PWEGPL</v>
      </c>
      <c r="I1001" s="39" t="str">
        <f>_xlfn.XLOOKUP(Table6[[#This Row],[Affected WTG]],'Basic Data'!$A:$A,'Basic Data'!$C:$C)</f>
        <v>MSEDCL</v>
      </c>
      <c r="J1001" s="380">
        <f>IFERROR(VLOOKUP(Table6[[#This Row],[Affected WTG]],'Basic Data'!$A$3:$E$56,5,0),"")</f>
        <v>2.564102564102564E-2</v>
      </c>
      <c r="K1001" s="105">
        <v>5201</v>
      </c>
      <c r="L1001" s="39" t="str">
        <f>IFERROR(VLOOKUP(Table6[[#This Row],[Error Code]],'Basic Data'!$T:$U,2,0),"")</f>
        <v>Magnetothermic Trigger Of The Stator Protection</v>
      </c>
      <c r="M1001" s="346" t="s">
        <v>473</v>
      </c>
      <c r="N1001" s="105" t="s">
        <v>474</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484</v>
      </c>
      <c r="V1001" s="346" t="s">
        <v>476</v>
      </c>
      <c r="W1001" s="376">
        <f>Table6[[#This Row],[Breakdown Time]]*(1/39)</f>
        <v>2.8632478632478597E-2</v>
      </c>
      <c r="X1001" s="337" t="s">
        <v>477</v>
      </c>
      <c r="Y1001" s="346" t="s">
        <v>108</v>
      </c>
      <c r="Z1001" s="105">
        <v>1536</v>
      </c>
      <c r="AA1001" s="107">
        <f>IFERROR((Table6[[#This Row],[Paired WTG Generation for loss calculation]]/24)*Table6[[#This Row],[Breakdown Time]],"")</f>
        <v>71.466666666666583</v>
      </c>
      <c r="AB1001" s="107" t="s">
        <v>472</v>
      </c>
      <c r="AC1001" s="105"/>
      <c r="AD1001" s="105"/>
    </row>
    <row r="1002" spans="1:30">
      <c r="A1002" s="105">
        <f t="shared" si="15"/>
        <v>1001</v>
      </c>
      <c r="B1002" s="371">
        <f>YEAR(Table6[[#This Row],[Date]])+IF(MONTH(Table6[[#This Row],[Date]])&gt;=4,1,0)</f>
        <v>2026</v>
      </c>
      <c r="C1002" s="372">
        <f>YEAR(Table6[[#This Row],[Date]])</f>
        <v>2025</v>
      </c>
      <c r="D1002" s="105" t="s">
        <v>465</v>
      </c>
      <c r="E1002" s="119">
        <f>Table6[[#This Row],[Date]]-DAY(Table6[[#This Row],[Date]])+1</f>
        <v>45839</v>
      </c>
      <c r="F1002" s="373">
        <v>45855</v>
      </c>
      <c r="G1002" s="374" t="s">
        <v>108</v>
      </c>
      <c r="H1002" s="39" t="str">
        <f>_xlfn.XLOOKUP(Table6[[#This Row],[Affected WTG]],'Basic Data'!$A:$A,'Basic Data'!$B:$B)</f>
        <v>PWEGPL</v>
      </c>
      <c r="I1002" s="39" t="str">
        <f>_xlfn.XLOOKUP(Table6[[#This Row],[Affected WTG]],'Basic Data'!$A:$A,'Basic Data'!$C:$C)</f>
        <v>MSEDCL</v>
      </c>
      <c r="J1002" s="380">
        <f>IFERROR(VLOOKUP(Table6[[#This Row],[Affected WTG]],'Basic Data'!$A$3:$E$56,5,0),"")</f>
        <v>2.564102564102564E-2</v>
      </c>
      <c r="K1002" s="105">
        <v>5201</v>
      </c>
      <c r="L1002" s="39" t="str">
        <f>IFERROR(VLOOKUP(Table6[[#This Row],[Error Code]],'Basic Data'!$T:$U,2,0),"")</f>
        <v>Magnetothermic Trigger Of The Stator Protection</v>
      </c>
      <c r="M1002" s="346" t="s">
        <v>473</v>
      </c>
      <c r="N1002" s="105" t="s">
        <v>474</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484</v>
      </c>
      <c r="V1002" s="346" t="s">
        <v>476</v>
      </c>
      <c r="W1002" s="376">
        <f>Table6[[#This Row],[Breakdown Time]]*(1/39)</f>
        <v>2.4358974358974338E-2</v>
      </c>
      <c r="X1002" s="337" t="s">
        <v>477</v>
      </c>
      <c r="Y1002" s="346" t="s">
        <v>109</v>
      </c>
      <c r="Z1002" s="105">
        <v>1854</v>
      </c>
      <c r="AA1002" s="107">
        <f>IFERROR((Table6[[#This Row],[Paired WTG Generation for loss calculation]]/24)*Table6[[#This Row],[Breakdown Time]],"")</f>
        <v>73.387499999999946</v>
      </c>
      <c r="AB1002" s="107" t="s">
        <v>472</v>
      </c>
      <c r="AC1002" s="105"/>
      <c r="AD1002" s="105"/>
    </row>
    <row r="1003" spans="1:30">
      <c r="A1003" s="105">
        <f t="shared" si="15"/>
        <v>1002</v>
      </c>
      <c r="B1003" s="371">
        <f>YEAR(Table6[[#This Row],[Date]])+IF(MONTH(Table6[[#This Row],[Date]])&gt;=4,1,0)</f>
        <v>2026</v>
      </c>
      <c r="C1003" s="372">
        <f>YEAR(Table6[[#This Row],[Date]])</f>
        <v>2025</v>
      </c>
      <c r="D1003" s="105" t="s">
        <v>465</v>
      </c>
      <c r="E1003" s="119">
        <f>Table6[[#This Row],[Date]]-DAY(Table6[[#This Row],[Date]])+1</f>
        <v>45839</v>
      </c>
      <c r="F1003" s="373">
        <v>45855</v>
      </c>
      <c r="G1003" s="374" t="s">
        <v>112</v>
      </c>
      <c r="H1003" s="39" t="str">
        <f>_xlfn.XLOOKUP(Table6[[#This Row],[Affected WTG]],'Basic Data'!$A:$A,'Basic Data'!$B:$B)</f>
        <v>PWEGPL</v>
      </c>
      <c r="I1003" s="39" t="str">
        <f>_xlfn.XLOOKUP(Table6[[#This Row],[Affected WTG]],'Basic Data'!$A:$A,'Basic Data'!$C:$C)</f>
        <v>MSEDCL</v>
      </c>
      <c r="J1003" s="380">
        <f>IFERROR(VLOOKUP(Table6[[#This Row],[Affected WTG]],'Basic Data'!$A$3:$E$56,5,0),"")</f>
        <v>2.564102564102564E-2</v>
      </c>
      <c r="K1003" s="105">
        <v>2118</v>
      </c>
      <c r="L1003" s="39" t="str">
        <f>IFERROR(VLOOKUP(Table6[[#This Row],[Error Code]],'Basic Data'!$T:$U,2,0),"")</f>
        <v>Bus Error - Interbus Failure</v>
      </c>
      <c r="M1003" s="346" t="s">
        <v>473</v>
      </c>
      <c r="N1003" s="105" t="s">
        <v>474</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484</v>
      </c>
      <c r="V1003" s="346" t="s">
        <v>476</v>
      </c>
      <c r="W1003" s="376">
        <f>Table6[[#This Row],[Breakdown Time]]*(1/39)</f>
        <v>2.2222222222222209E-2</v>
      </c>
      <c r="X1003" s="337" t="s">
        <v>477</v>
      </c>
      <c r="Y1003" s="346" t="s">
        <v>98</v>
      </c>
      <c r="Z1003" s="105">
        <v>1850</v>
      </c>
      <c r="AA1003" s="107">
        <f>IFERROR((Table6[[#This Row],[Paired WTG Generation for loss calculation]]/24)*Table6[[#This Row],[Breakdown Time]],"")</f>
        <v>66.805555555555515</v>
      </c>
      <c r="AB1003" s="107" t="s">
        <v>472</v>
      </c>
      <c r="AC1003" s="105"/>
      <c r="AD1003" s="105"/>
    </row>
    <row r="1004" spans="1:30">
      <c r="A1004" s="105">
        <f t="shared" si="15"/>
        <v>1003</v>
      </c>
      <c r="B1004" s="371">
        <f>YEAR(Table6[[#This Row],[Date]])+IF(MONTH(Table6[[#This Row],[Date]])&gt;=4,1,0)</f>
        <v>2026</v>
      </c>
      <c r="C1004" s="372">
        <f>YEAR(Table6[[#This Row],[Date]])</f>
        <v>2025</v>
      </c>
      <c r="D1004" s="105" t="s">
        <v>465</v>
      </c>
      <c r="E1004" s="119">
        <f>Table6[[#This Row],[Date]]-DAY(Table6[[#This Row],[Date]])+1</f>
        <v>45839</v>
      </c>
      <c r="F1004" s="373">
        <v>45855</v>
      </c>
      <c r="G1004" s="374" t="s">
        <v>85</v>
      </c>
      <c r="H1004" s="39" t="str">
        <f>_xlfn.XLOOKUP(Table6[[#This Row],[Affected WTG]],'Basic Data'!$A:$A,'Basic Data'!$B:$B)</f>
        <v>PWEGPL</v>
      </c>
      <c r="I1004" s="39" t="str">
        <f>_xlfn.XLOOKUP(Table6[[#This Row],[Affected WTG]],'Basic Data'!$A:$A,'Basic Data'!$C:$C)</f>
        <v>MSEDCL</v>
      </c>
      <c r="J1004" s="380">
        <f>IFERROR(VLOOKUP(Table6[[#This Row],[Affected WTG]],'Basic Data'!$A$3:$E$56,5,0),"")</f>
        <v>2.564102564102564E-2</v>
      </c>
      <c r="K1004" s="105">
        <v>1822</v>
      </c>
      <c r="L1004" s="39" t="str">
        <f>IFERROR(VLOOKUP(Table6[[#This Row],[Error Code]],'Basic Data'!$T:$U,2,0),"")</f>
        <v>Discussion Due To Low Temperature</v>
      </c>
      <c r="M1004" s="346" t="s">
        <v>473</v>
      </c>
      <c r="N1004" s="105" t="s">
        <v>474</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484</v>
      </c>
      <c r="V1004" s="346" t="s">
        <v>476</v>
      </c>
      <c r="W1004" s="376">
        <f>Table6[[#This Row],[Breakdown Time]]*(1/39)</f>
        <v>2.6068376068376111E-2</v>
      </c>
      <c r="X1004" s="337" t="s">
        <v>477</v>
      </c>
      <c r="Y1004" s="346" t="s">
        <v>82</v>
      </c>
      <c r="Z1004" s="105">
        <v>2001</v>
      </c>
      <c r="AA1004" s="107">
        <f>IFERROR((Table6[[#This Row],[Paired WTG Generation for loss calculation]]/24)*Table6[[#This Row],[Breakdown Time]],"")</f>
        <v>84.764583333333476</v>
      </c>
      <c r="AB1004" s="107" t="s">
        <v>472</v>
      </c>
      <c r="AC1004" s="105"/>
      <c r="AD1004" s="105"/>
    </row>
    <row r="1005" spans="1:30">
      <c r="A1005" s="105">
        <f t="shared" si="15"/>
        <v>1004</v>
      </c>
      <c r="B1005" s="371">
        <f>YEAR(Table6[[#This Row],[Date]])+IF(MONTH(Table6[[#This Row],[Date]])&gt;=4,1,0)</f>
        <v>2026</v>
      </c>
      <c r="C1005" s="372">
        <f>YEAR(Table6[[#This Row],[Date]])</f>
        <v>2025</v>
      </c>
      <c r="D1005" s="105" t="s">
        <v>465</v>
      </c>
      <c r="E1005" s="119">
        <f>Table6[[#This Row],[Date]]-DAY(Table6[[#This Row],[Date]])+1</f>
        <v>45839</v>
      </c>
      <c r="F1005" s="373">
        <v>45855</v>
      </c>
      <c r="G1005" s="374" t="s">
        <v>89</v>
      </c>
      <c r="H1005" s="39" t="str">
        <f>_xlfn.XLOOKUP(Table6[[#This Row],[Affected WTG]],'Basic Data'!$A:$A,'Basic Data'!$B:$B)</f>
        <v>PWEGPL</v>
      </c>
      <c r="I1005" s="39" t="str">
        <f>_xlfn.XLOOKUP(Table6[[#This Row],[Affected WTG]],'Basic Data'!$A:$A,'Basic Data'!$C:$C)</f>
        <v>MSEDCL</v>
      </c>
      <c r="J1005" s="380">
        <f>IFERROR(VLOOKUP(Table6[[#This Row],[Affected WTG]],'Basic Data'!$A$3:$E$56,5,0),"")</f>
        <v>2.564102564102564E-2</v>
      </c>
      <c r="K1005" s="105">
        <v>208</v>
      </c>
      <c r="L1005" s="39" t="str">
        <f>IFERROR(VLOOKUP(Table6[[#This Row],[Error Code]],'Basic Data'!$T:$U,2,0),"")</f>
        <v>HU Pump Drive Failure</v>
      </c>
      <c r="M1005" s="346" t="s">
        <v>473</v>
      </c>
      <c r="N1005" s="105" t="s">
        <v>474</v>
      </c>
      <c r="O1005" s="330">
        <v>0.75347222222222221</v>
      </c>
      <c r="P1005" s="330">
        <v>0.76041666666666663</v>
      </c>
      <c r="Q1005" s="330">
        <v>0.78888888888888886</v>
      </c>
      <c r="R1005" s="381">
        <f>IF(Table6[[#This Row],[Work Start TimeStamp]]="","",(Table6[[#This Row],[Work Start TimeStamp]]-Table6[[#This Row],[Fault Start TimeStamp]])*24)</f>
        <v>0.16666666666666607</v>
      </c>
      <c r="S1005" s="382">
        <f>(Table6[[#This Row],[Fault Clearance time]]-Table6[[#This Row],[Work Start TimeStamp]])*24</f>
        <v>0.68333333333333357</v>
      </c>
      <c r="T1005" s="383">
        <f>(Table6[[#This Row],[Fault Clearance time]]-Table6[[#This Row],[Fault Start TimeStamp]])*24</f>
        <v>0.84999999999999964</v>
      </c>
      <c r="U1005" s="346" t="s">
        <v>734</v>
      </c>
      <c r="V1005" s="346" t="s">
        <v>476</v>
      </c>
      <c r="W1005" s="376">
        <f>Table6[[#This Row],[Breakdown Time]]*(1/39)</f>
        <v>2.1794871794871783E-2</v>
      </c>
      <c r="X1005" s="337" t="s">
        <v>477</v>
      </c>
      <c r="Y1005" s="346" t="s">
        <v>88</v>
      </c>
      <c r="Z1005" s="105">
        <v>2109</v>
      </c>
      <c r="AA1005" s="107">
        <f>IFERROR((Table6[[#This Row],[Paired WTG Generation for loss calculation]]/24)*Table6[[#This Row],[Breakdown Time]],"")</f>
        <v>74.693749999999966</v>
      </c>
      <c r="AB1005" s="107" t="s">
        <v>472</v>
      </c>
      <c r="AC1005" s="105"/>
      <c r="AD1005" s="105"/>
    </row>
    <row r="1006" spans="1:30">
      <c r="A1006" s="105">
        <f t="shared" si="15"/>
        <v>1005</v>
      </c>
      <c r="B1006" s="371">
        <f>YEAR(Table6[[#This Row],[Date]])+IF(MONTH(Table6[[#This Row],[Date]])&gt;=4,1,0)</f>
        <v>2026</v>
      </c>
      <c r="C1006" s="372">
        <f>YEAR(Table6[[#This Row],[Date]])</f>
        <v>2025</v>
      </c>
      <c r="D1006" s="105" t="s">
        <v>465</v>
      </c>
      <c r="E1006" s="119">
        <f>Table6[[#This Row],[Date]]-DAY(Table6[[#This Row],[Date]])+1</f>
        <v>45839</v>
      </c>
      <c r="F1006" s="373">
        <v>45856</v>
      </c>
      <c r="G1006" s="105" t="s">
        <v>103</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473</v>
      </c>
      <c r="N1006" s="105" t="s">
        <v>474</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716</v>
      </c>
      <c r="V1006" s="351" t="s">
        <v>470</v>
      </c>
      <c r="W1006" s="376">
        <f>Table6[[#This Row],[Breakdown Time]]*(1/39)</f>
        <v>0.61537749287749288</v>
      </c>
      <c r="X1006" s="336" t="s">
        <v>477</v>
      </c>
      <c r="Y1006" s="352" t="s">
        <v>102</v>
      </c>
      <c r="Z1006" s="105">
        <v>4892</v>
      </c>
      <c r="AA1006" s="107">
        <f>IFERROR((Table6[[#This Row],[Paired WTG Generation for loss calculation]]/24)*Table6[[#This Row],[Breakdown Time]],"")</f>
        <v>4891.9433796296307</v>
      </c>
      <c r="AB1006" s="105" t="s">
        <v>726</v>
      </c>
      <c r="AC1006" s="105"/>
      <c r="AD1006" s="105"/>
    </row>
    <row r="1007" spans="1:30">
      <c r="A1007" s="105">
        <f t="shared" si="15"/>
        <v>1006</v>
      </c>
      <c r="B1007" s="371">
        <f>YEAR(Table6[[#This Row],[Date]])+IF(MONTH(Table6[[#This Row],[Date]])&gt;=4,1,0)</f>
        <v>2026</v>
      </c>
      <c r="C1007" s="372">
        <f>YEAR(Table6[[#This Row],[Date]])</f>
        <v>2025</v>
      </c>
      <c r="D1007" s="105" t="s">
        <v>465</v>
      </c>
      <c r="E1007" s="119">
        <f>Table6[[#This Row],[Date]]-DAY(Table6[[#This Row],[Date]])+1</f>
        <v>45839</v>
      </c>
      <c r="F1007" s="373">
        <v>45856</v>
      </c>
      <c r="G1007" s="105" t="s">
        <v>101</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466</v>
      </c>
      <c r="L1007" s="39" t="str">
        <f>IFERROR(VLOOKUP(Table6[[#This Row],[Error Code]],'Basic Data'!$T:$U,2,0),"")</f>
        <v>Manual Stop - Safety Related</v>
      </c>
      <c r="M1007" s="346" t="s">
        <v>467</v>
      </c>
      <c r="N1007" s="105" t="s">
        <v>468</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469</v>
      </c>
      <c r="V1007" s="351" t="s">
        <v>470</v>
      </c>
      <c r="W1007" s="376">
        <f>Table6[[#This Row],[Breakdown Time]]*(1/39)</f>
        <v>0.61537749287749288</v>
      </c>
      <c r="X1007" s="336" t="s">
        <v>471</v>
      </c>
      <c r="Y1007" s="352" t="s">
        <v>102</v>
      </c>
      <c r="Z1007" s="105">
        <v>4892</v>
      </c>
      <c r="AA1007" s="107">
        <f>IFERROR((Table6[[#This Row],[Paired WTG Generation for loss calculation]]/24)*Table6[[#This Row],[Breakdown Time]],"")</f>
        <v>4891.9433796296307</v>
      </c>
      <c r="AB1007" s="107" t="s">
        <v>472</v>
      </c>
      <c r="AC1007" s="105"/>
      <c r="AD1007" s="105"/>
    </row>
    <row r="1008" spans="1:30">
      <c r="A1008" s="105">
        <f t="shared" si="15"/>
        <v>1007</v>
      </c>
      <c r="B1008" s="371">
        <f>YEAR(Table6[[#This Row],[Date]])+IF(MONTH(Table6[[#This Row],[Date]])&gt;=4,1,0)</f>
        <v>2026</v>
      </c>
      <c r="C1008" s="372">
        <f>YEAR(Table6[[#This Row],[Date]])</f>
        <v>2025</v>
      </c>
      <c r="D1008" s="105" t="s">
        <v>465</v>
      </c>
      <c r="E1008" s="119">
        <f>Table6[[#This Row],[Date]]-DAY(Table6[[#This Row],[Date]])+1</f>
        <v>45839</v>
      </c>
      <c r="F1008" s="373">
        <v>45856</v>
      </c>
      <c r="G1008" s="374" t="s">
        <v>85</v>
      </c>
      <c r="H1008" s="39" t="str">
        <f>_xlfn.XLOOKUP(Table6[[#This Row],[Affected WTG]],'Basic Data'!$A:$A,'Basic Data'!$B:$B)</f>
        <v>PWEGPL</v>
      </c>
      <c r="I1008" s="39" t="str">
        <f>_xlfn.XLOOKUP(Table6[[#This Row],[Affected WTG]],'Basic Data'!$A:$A,'Basic Data'!$C:$C)</f>
        <v>MSEDCL</v>
      </c>
      <c r="J1008" s="380">
        <f>IFERROR(VLOOKUP(Table6[[#This Row],[Affected WTG]],'Basic Data'!$A$3:$E$56,5,0),"")</f>
        <v>2.564102564102564E-2</v>
      </c>
      <c r="K1008" s="105">
        <v>1822</v>
      </c>
      <c r="L1008" s="39" t="str">
        <f>IFERROR(VLOOKUP(Table6[[#This Row],[Error Code]],'Basic Data'!$T:$U,2,0),"")</f>
        <v>Discussion Due To Low Temperature</v>
      </c>
      <c r="M1008" s="346" t="s">
        <v>473</v>
      </c>
      <c r="N1008" s="105" t="s">
        <v>474</v>
      </c>
      <c r="O1008" s="330">
        <v>0.46527777777777779</v>
      </c>
      <c r="P1008" s="330">
        <v>0.47916666666666669</v>
      </c>
      <c r="Q1008" s="330">
        <v>0.59722222222222221</v>
      </c>
      <c r="R1008" s="381">
        <f>IF(Table6[[#This Row],[Work Start TimeStamp]]="","",(Table6[[#This Row],[Work Start TimeStamp]]-Table6[[#This Row],[Fault Start TimeStamp]])*24)</f>
        <v>0.33333333333333348</v>
      </c>
      <c r="S1008" s="381">
        <f>(Table6[[#This Row],[Fault Clearance time]]-Table6[[#This Row],[Work Start TimeStamp]])*24</f>
        <v>2.8333333333333326</v>
      </c>
      <c r="T1008" s="384">
        <f>(Table6[[#This Row],[Fault Clearance time]]-Table6[[#This Row],[Fault Start TimeStamp]])*24</f>
        <v>3.1666666666666661</v>
      </c>
      <c r="U1008" s="346" t="s">
        <v>735</v>
      </c>
      <c r="V1008" s="346" t="s">
        <v>476</v>
      </c>
      <c r="W1008" s="376">
        <f>Table6[[#This Row],[Breakdown Time]]*(1/39)</f>
        <v>8.1196581196581172E-2</v>
      </c>
      <c r="X1008" s="337" t="s">
        <v>477</v>
      </c>
      <c r="Y1008" s="346" t="s">
        <v>86</v>
      </c>
      <c r="Z1008" s="105">
        <v>4885</v>
      </c>
      <c r="AA1008" s="107">
        <f>IFERROR((Table6[[#This Row],[Paired WTG Generation for loss calculation]]/24)*Table6[[#This Row],[Breakdown Time]],"")</f>
        <v>644.54861111111097</v>
      </c>
      <c r="AB1008" s="107" t="s">
        <v>472</v>
      </c>
      <c r="AC1008" s="105"/>
      <c r="AD1008" s="105"/>
    </row>
    <row r="1009" spans="1:30">
      <c r="A1009" s="105">
        <f t="shared" si="15"/>
        <v>1008</v>
      </c>
      <c r="B1009" s="371">
        <f>YEAR(Table6[[#This Row],[Date]])+IF(MONTH(Table6[[#This Row],[Date]])&gt;=4,1,0)</f>
        <v>2026</v>
      </c>
      <c r="C1009" s="372">
        <f>YEAR(Table6[[#This Row],[Date]])</f>
        <v>2025</v>
      </c>
      <c r="D1009" s="105" t="s">
        <v>465</v>
      </c>
      <c r="E1009" s="119">
        <f>Table6[[#This Row],[Date]]-DAY(Table6[[#This Row],[Date]])+1</f>
        <v>45839</v>
      </c>
      <c r="F1009" s="373">
        <v>45856</v>
      </c>
      <c r="G1009" s="374" t="s">
        <v>89</v>
      </c>
      <c r="H1009" s="39" t="str">
        <f>_xlfn.XLOOKUP(Table6[[#This Row],[Affected WTG]],'Basic Data'!$A:$A,'Basic Data'!$B:$B)</f>
        <v>PWEGPL</v>
      </c>
      <c r="I1009" s="39" t="str">
        <f>_xlfn.XLOOKUP(Table6[[#This Row],[Affected WTG]],'Basic Data'!$A:$A,'Basic Data'!$C:$C)</f>
        <v>MSEDCL</v>
      </c>
      <c r="J1009" s="380">
        <f>IFERROR(VLOOKUP(Table6[[#This Row],[Affected WTG]],'Basic Data'!$A$3:$E$56,5,0),"")</f>
        <v>2.564102564102564E-2</v>
      </c>
      <c r="K1009" s="105">
        <v>700</v>
      </c>
      <c r="L1009" s="39" t="str">
        <f>IFERROR(VLOOKUP(Table6[[#This Row],[Error Code]],'Basic Data'!$T:$U,2,0),"")</f>
        <v>PLC-Converter Communication Error</v>
      </c>
      <c r="M1009" s="346" t="s">
        <v>473</v>
      </c>
      <c r="N1009" s="105" t="s">
        <v>474</v>
      </c>
      <c r="O1009" s="330">
        <v>0.70833333333333337</v>
      </c>
      <c r="P1009" s="330">
        <v>0.71388888888888891</v>
      </c>
      <c r="Q1009" s="330">
        <v>0.85833333333333328</v>
      </c>
      <c r="R1009" s="381">
        <f>IF(Table6[[#This Row],[Work Start TimeStamp]]="","",(Table6[[#This Row],[Work Start TimeStamp]]-Table6[[#This Row],[Fault Start TimeStamp]])*24)</f>
        <v>0.13333333333333286</v>
      </c>
      <c r="S1009" s="381">
        <f>(Table6[[#This Row],[Fault Clearance time]]-Table6[[#This Row],[Work Start TimeStamp]])*24</f>
        <v>3.466666666666665</v>
      </c>
      <c r="T1009" s="384">
        <f>(Table6[[#This Row],[Fault Clearance time]]-Table6[[#This Row],[Fault Start TimeStamp]])*24</f>
        <v>3.5999999999999979</v>
      </c>
      <c r="U1009" s="346" t="s">
        <v>736</v>
      </c>
      <c r="V1009" s="346" t="s">
        <v>476</v>
      </c>
      <c r="W1009" s="376">
        <f>Table6[[#This Row],[Breakdown Time]]*(1/39)</f>
        <v>9.2307692307692243E-2</v>
      </c>
      <c r="X1009" s="337" t="s">
        <v>477</v>
      </c>
      <c r="Y1009" s="346" t="s">
        <v>90</v>
      </c>
      <c r="Z1009" s="105">
        <v>4847</v>
      </c>
      <c r="AA1009" s="107">
        <f>IFERROR((Table6[[#This Row],[Paired WTG Generation for loss calculation]]/24)*Table6[[#This Row],[Breakdown Time]],"")</f>
        <v>727.04999999999961</v>
      </c>
      <c r="AB1009" s="107" t="s">
        <v>472</v>
      </c>
      <c r="AC1009" s="105"/>
      <c r="AD1009" s="105"/>
    </row>
    <row r="1010" spans="1:30">
      <c r="A1010" s="105">
        <f t="shared" si="15"/>
        <v>1009</v>
      </c>
      <c r="B1010" s="371">
        <f>YEAR(Table6[[#This Row],[Date]])+IF(MONTH(Table6[[#This Row],[Date]])&gt;=4,1,0)</f>
        <v>2026</v>
      </c>
      <c r="C1010" s="372">
        <f>YEAR(Table6[[#This Row],[Date]])</f>
        <v>2025</v>
      </c>
      <c r="D1010" s="105" t="s">
        <v>465</v>
      </c>
      <c r="E1010" s="119">
        <f>Table6[[#This Row],[Date]]-DAY(Table6[[#This Row],[Date]])+1</f>
        <v>45839</v>
      </c>
      <c r="F1010" s="373">
        <v>45856</v>
      </c>
      <c r="G1010" s="374" t="s">
        <v>98</v>
      </c>
      <c r="H1010" s="39" t="str">
        <f>_xlfn.XLOOKUP(Table6[[#This Row],[Affected WTG]],'Basic Data'!$A:$A,'Basic Data'!$B:$B)</f>
        <v>PWEGPL</v>
      </c>
      <c r="I1010" s="39" t="str">
        <f>_xlfn.XLOOKUP(Table6[[#This Row],[Affected WTG]],'Basic Data'!$A:$A,'Basic Data'!$C:$C)</f>
        <v>MSEDCL</v>
      </c>
      <c r="J1010" s="380">
        <f>IFERROR(VLOOKUP(Table6[[#This Row],[Affected WTG]],'Basic Data'!$A$3:$E$56,5,0),"")</f>
        <v>2.564102564102564E-2</v>
      </c>
      <c r="K1010" s="105">
        <v>5201</v>
      </c>
      <c r="L1010" s="39" t="str">
        <f>IFERROR(VLOOKUP(Table6[[#This Row],[Error Code]],'Basic Data'!$T:$U,2,0),"")</f>
        <v>Magnetothermic Trigger Of The Stator Protection</v>
      </c>
      <c r="M1010" s="346" t="s">
        <v>473</v>
      </c>
      <c r="N1010" s="105" t="s">
        <v>474</v>
      </c>
      <c r="O1010" s="330">
        <v>0.64583333333333337</v>
      </c>
      <c r="P1010" s="330">
        <v>0.66249999999999998</v>
      </c>
      <c r="Q1010" s="330">
        <v>0.67847222222222225</v>
      </c>
      <c r="R1010" s="381">
        <f>IF(Table6[[#This Row],[Work Start TimeStamp]]="","",(Table6[[#This Row],[Work Start TimeStamp]]-Table6[[#This Row],[Fault Start TimeStamp]])*24)</f>
        <v>0.39999999999999858</v>
      </c>
      <c r="S1010" s="381">
        <f>(Table6[[#This Row],[Fault Clearance time]]-Table6[[#This Row],[Work Start TimeStamp]])*24</f>
        <v>0.38333333333333464</v>
      </c>
      <c r="T1010" s="384">
        <f>(Table6[[#This Row],[Fault Clearance time]]-Table6[[#This Row],[Fault Start TimeStamp]])*24</f>
        <v>0.78333333333333321</v>
      </c>
      <c r="U1010" s="346" t="s">
        <v>737</v>
      </c>
      <c r="V1010" s="346" t="s">
        <v>476</v>
      </c>
      <c r="W1010" s="376">
        <f>Table6[[#This Row],[Breakdown Time]]*(1/39)</f>
        <v>2.008547008547008E-2</v>
      </c>
      <c r="X1010" s="337" t="s">
        <v>477</v>
      </c>
      <c r="Y1010" s="346" t="s">
        <v>104</v>
      </c>
      <c r="Z1010" s="105">
        <v>2901</v>
      </c>
      <c r="AA1010" s="107">
        <f>IFERROR((Table6[[#This Row],[Paired WTG Generation for loss calculation]]/24)*Table6[[#This Row],[Breakdown Time]],"")</f>
        <v>94.685416666666654</v>
      </c>
      <c r="AB1010" s="107" t="s">
        <v>472</v>
      </c>
      <c r="AC1010" s="105"/>
      <c r="AD1010" s="105"/>
    </row>
    <row r="1011" spans="1:30">
      <c r="A1011" s="105">
        <f t="shared" si="15"/>
        <v>1010</v>
      </c>
      <c r="B1011" s="371">
        <f>YEAR(Table6[[#This Row],[Date]])+IF(MONTH(Table6[[#This Row],[Date]])&gt;=4,1,0)</f>
        <v>2026</v>
      </c>
      <c r="C1011" s="372">
        <f>YEAR(Table6[[#This Row],[Date]])</f>
        <v>2025</v>
      </c>
      <c r="D1011" s="105" t="s">
        <v>465</v>
      </c>
      <c r="E1011" s="119">
        <f>Table6[[#This Row],[Date]]-DAY(Table6[[#This Row],[Date]])+1</f>
        <v>45839</v>
      </c>
      <c r="F1011" s="373">
        <v>45857</v>
      </c>
      <c r="G1011" s="105" t="s">
        <v>103</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473</v>
      </c>
      <c r="N1011" s="105" t="s">
        <v>474</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716</v>
      </c>
      <c r="V1011" s="351" t="s">
        <v>470</v>
      </c>
      <c r="W1011" s="376">
        <f>Table6[[#This Row],[Breakdown Time]]*(1/39)</f>
        <v>0.61537749287749288</v>
      </c>
      <c r="X1011" s="336" t="s">
        <v>477</v>
      </c>
      <c r="Y1011" s="352" t="s">
        <v>102</v>
      </c>
      <c r="Z1011" s="105">
        <v>4262</v>
      </c>
      <c r="AA1011" s="107">
        <f>IFERROR((Table6[[#This Row],[Paired WTG Generation for loss calculation]]/24)*Table6[[#This Row],[Breakdown Time]],"")</f>
        <v>4261.9506712962966</v>
      </c>
      <c r="AB1011" s="107" t="s">
        <v>472</v>
      </c>
      <c r="AC1011" s="105"/>
      <c r="AD1011" s="105"/>
    </row>
    <row r="1012" spans="1:30">
      <c r="A1012" s="105">
        <f t="shared" si="15"/>
        <v>1011</v>
      </c>
      <c r="B1012" s="371">
        <f>YEAR(Table6[[#This Row],[Date]])+IF(MONTH(Table6[[#This Row],[Date]])&gt;=4,1,0)</f>
        <v>2026</v>
      </c>
      <c r="C1012" s="372">
        <f>YEAR(Table6[[#This Row],[Date]])</f>
        <v>2025</v>
      </c>
      <c r="D1012" s="105" t="s">
        <v>465</v>
      </c>
      <c r="E1012" s="119">
        <f>Table6[[#This Row],[Date]]-DAY(Table6[[#This Row],[Date]])+1</f>
        <v>45839</v>
      </c>
      <c r="F1012" s="373">
        <v>45857</v>
      </c>
      <c r="G1012" s="105" t="s">
        <v>101</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466</v>
      </c>
      <c r="L1012" s="39" t="str">
        <f>IFERROR(VLOOKUP(Table6[[#This Row],[Error Code]],'Basic Data'!$T:$U,2,0),"")</f>
        <v>Manual Stop - Safety Related</v>
      </c>
      <c r="M1012" s="346" t="s">
        <v>467</v>
      </c>
      <c r="N1012" s="105" t="s">
        <v>468</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469</v>
      </c>
      <c r="V1012" s="351" t="s">
        <v>470</v>
      </c>
      <c r="W1012" s="376">
        <f>Table6[[#This Row],[Breakdown Time]]*(1/39)</f>
        <v>0.61537749287749288</v>
      </c>
      <c r="X1012" s="336" t="s">
        <v>471</v>
      </c>
      <c r="Y1012" s="352" t="s">
        <v>102</v>
      </c>
      <c r="Z1012" s="105">
        <v>4262</v>
      </c>
      <c r="AA1012" s="107">
        <f>IFERROR((Table6[[#This Row],[Paired WTG Generation for loss calculation]]/24)*Table6[[#This Row],[Breakdown Time]],"")</f>
        <v>4261.9506712962966</v>
      </c>
      <c r="AB1012" s="107" t="s">
        <v>472</v>
      </c>
      <c r="AC1012" s="105"/>
      <c r="AD1012" s="105"/>
    </row>
    <row r="1013" spans="1:30">
      <c r="A1013" s="105">
        <f t="shared" si="15"/>
        <v>1012</v>
      </c>
      <c r="B1013" s="371">
        <f>YEAR(Table6[[#This Row],[Date]])+IF(MONTH(Table6[[#This Row],[Date]])&gt;=4,1,0)</f>
        <v>2026</v>
      </c>
      <c r="C1013" s="372">
        <f>YEAR(Table6[[#This Row],[Date]])</f>
        <v>2025</v>
      </c>
      <c r="D1013" s="105" t="s">
        <v>465</v>
      </c>
      <c r="E1013" s="119">
        <f>Table6[[#This Row],[Date]]-DAY(Table6[[#This Row],[Date]])+1</f>
        <v>45839</v>
      </c>
      <c r="F1013" s="373">
        <v>45857</v>
      </c>
      <c r="G1013" s="374" t="s">
        <v>74</v>
      </c>
      <c r="H1013" s="39" t="str">
        <f>_xlfn.XLOOKUP(Table6[[#This Row],[Affected WTG]],'Basic Data'!$A:$A,'Basic Data'!$B:$B)</f>
        <v>PWEGPL</v>
      </c>
      <c r="I1013" s="39" t="str">
        <f>_xlfn.XLOOKUP(Table6[[#This Row],[Affected WTG]],'Basic Data'!$A:$A,'Basic Data'!$C:$C)</f>
        <v>MSEDCL</v>
      </c>
      <c r="J1013" s="380">
        <f>IFERROR(VLOOKUP(Table6[[#This Row],[Affected WTG]],'Basic Data'!$A$3:$E$56,5,0),"")</f>
        <v>2.564102564102564E-2</v>
      </c>
      <c r="K1013" s="105">
        <v>207</v>
      </c>
      <c r="L1013" s="39" t="str">
        <f>IFERROR(VLOOKUP(Table6[[#This Row],[Error Code]],'Basic Data'!$T:$U,2,0),"")</f>
        <v>Hydraulic Oil High Temperature</v>
      </c>
      <c r="M1013" s="346" t="s">
        <v>473</v>
      </c>
      <c r="N1013" s="105" t="s">
        <v>474</v>
      </c>
      <c r="O1013" s="330">
        <v>0.38194444444444442</v>
      </c>
      <c r="P1013" s="330">
        <v>0.40416666666666667</v>
      </c>
      <c r="Q1013" s="330">
        <v>0.40555555555555556</v>
      </c>
      <c r="R1013" s="381">
        <f>IF(Table6[[#This Row],[Work Start TimeStamp]]="","",(Table6[[#This Row],[Work Start TimeStamp]]-Table6[[#This Row],[Fault Start TimeStamp]])*24)</f>
        <v>0.5333333333333341</v>
      </c>
      <c r="S1013" s="381">
        <f>(Table6[[#This Row],[Fault Clearance time]]-Table6[[#This Row],[Work Start TimeStamp]])*24</f>
        <v>3.3333333333333215E-2</v>
      </c>
      <c r="T1013" s="384">
        <f>(Table6[[#This Row],[Fault Clearance time]]-Table6[[#This Row],[Fault Start TimeStamp]])*24</f>
        <v>0.56666666666666732</v>
      </c>
      <c r="U1013" s="346" t="s">
        <v>475</v>
      </c>
      <c r="V1013" s="346" t="s">
        <v>476</v>
      </c>
      <c r="W1013" s="376">
        <f>Table6[[#This Row],[Breakdown Time]]*(1/39)</f>
        <v>1.4529914529914546E-2</v>
      </c>
      <c r="X1013" s="337" t="s">
        <v>477</v>
      </c>
      <c r="Y1013" s="346" t="s">
        <v>80</v>
      </c>
      <c r="Z1013" s="105">
        <v>4412</v>
      </c>
      <c r="AA1013" s="107">
        <f>IFERROR((Table6[[#This Row],[Paired WTG Generation for loss calculation]]/24)*Table6[[#This Row],[Breakdown Time]],"")</f>
        <v>104.17222222222235</v>
      </c>
      <c r="AB1013" s="107" t="s">
        <v>472</v>
      </c>
      <c r="AC1013" s="105"/>
      <c r="AD1013" s="105"/>
    </row>
    <row r="1014" spans="1:30">
      <c r="A1014" s="105">
        <f t="shared" si="15"/>
        <v>1013</v>
      </c>
      <c r="B1014" s="371">
        <f>YEAR(Table6[[#This Row],[Date]])+IF(MONTH(Table6[[#This Row],[Date]])&gt;=4,1,0)</f>
        <v>2026</v>
      </c>
      <c r="C1014" s="372">
        <f>YEAR(Table6[[#This Row],[Date]])</f>
        <v>2025</v>
      </c>
      <c r="D1014" s="105" t="s">
        <v>465</v>
      </c>
      <c r="E1014" s="119">
        <f>Table6[[#This Row],[Date]]-DAY(Table6[[#This Row],[Date]])+1</f>
        <v>45839</v>
      </c>
      <c r="F1014" s="373">
        <v>45857</v>
      </c>
      <c r="G1014" s="374" t="s">
        <v>77</v>
      </c>
      <c r="H1014" s="39" t="str">
        <f>_xlfn.XLOOKUP(Table6[[#This Row],[Affected WTG]],'Basic Data'!$A:$A,'Basic Data'!$B:$B)</f>
        <v>PWEGPL</v>
      </c>
      <c r="I1014" s="39" t="str">
        <f>_xlfn.XLOOKUP(Table6[[#This Row],[Affected WTG]],'Basic Data'!$A:$A,'Basic Data'!$C:$C)</f>
        <v>MSEDCL</v>
      </c>
      <c r="J1014" s="380">
        <f>IFERROR(VLOOKUP(Table6[[#This Row],[Affected WTG]],'Basic Data'!$A$3:$E$56,5,0),"")</f>
        <v>2.564102564102564E-2</v>
      </c>
      <c r="K1014" s="105">
        <v>5263</v>
      </c>
      <c r="L1014" s="39" t="str">
        <f>IFERROR(VLOOKUP(Table6[[#This Row],[Error Code]],'Basic Data'!$T:$U,2,0),"")</f>
        <v>CAN Communication Failure</v>
      </c>
      <c r="M1014" s="346" t="s">
        <v>473</v>
      </c>
      <c r="N1014" s="105" t="s">
        <v>474</v>
      </c>
      <c r="O1014" s="330">
        <v>0.38819444444444445</v>
      </c>
      <c r="P1014" s="330">
        <v>0.41736111111111113</v>
      </c>
      <c r="Q1014" s="330">
        <v>0.41805555555555557</v>
      </c>
      <c r="R1014" s="381">
        <f>IF(Table6[[#This Row],[Work Start TimeStamp]]="","",(Table6[[#This Row],[Work Start TimeStamp]]-Table6[[#This Row],[Fault Start TimeStamp]])*24)</f>
        <v>0.70000000000000018</v>
      </c>
      <c r="S1014" s="381">
        <f>(Table6[[#This Row],[Fault Clearance time]]-Table6[[#This Row],[Work Start TimeStamp]])*24</f>
        <v>1.6666666666666607E-2</v>
      </c>
      <c r="T1014" s="384">
        <f>(Table6[[#This Row],[Fault Clearance time]]-Table6[[#This Row],[Fault Start TimeStamp]])*24</f>
        <v>0.71666666666666679</v>
      </c>
      <c r="U1014" s="346" t="s">
        <v>475</v>
      </c>
      <c r="V1014" s="346" t="s">
        <v>476</v>
      </c>
      <c r="W1014" s="376">
        <f>Table6[[#This Row],[Breakdown Time]]*(1/39)</f>
        <v>1.837606837606838E-2</v>
      </c>
      <c r="X1014" s="337" t="s">
        <v>477</v>
      </c>
      <c r="Y1014" s="346" t="s">
        <v>76</v>
      </c>
      <c r="Z1014" s="105">
        <v>4407</v>
      </c>
      <c r="AA1014" s="107">
        <f>IFERROR((Table6[[#This Row],[Paired WTG Generation for loss calculation]]/24)*Table6[[#This Row],[Breakdown Time]],"")</f>
        <v>131.59791666666669</v>
      </c>
      <c r="AB1014" s="107" t="s">
        <v>472</v>
      </c>
      <c r="AC1014" s="105"/>
      <c r="AD1014" s="105"/>
    </row>
    <row r="1015" spans="1:30">
      <c r="A1015" s="105">
        <f t="shared" si="15"/>
        <v>1014</v>
      </c>
      <c r="B1015" s="371">
        <f>YEAR(Table6[[#This Row],[Date]])+IF(MONTH(Table6[[#This Row],[Date]])&gt;=4,1,0)</f>
        <v>2026</v>
      </c>
      <c r="C1015" s="372">
        <f>YEAR(Table6[[#This Row],[Date]])</f>
        <v>2025</v>
      </c>
      <c r="D1015" s="105" t="s">
        <v>465</v>
      </c>
      <c r="E1015" s="119">
        <f>Table6[[#This Row],[Date]]-DAY(Table6[[#This Row],[Date]])+1</f>
        <v>45839</v>
      </c>
      <c r="F1015" s="373">
        <v>45857</v>
      </c>
      <c r="G1015" s="374" t="s">
        <v>84</v>
      </c>
      <c r="H1015" s="39" t="str">
        <f>_xlfn.XLOOKUP(Table6[[#This Row],[Affected WTG]],'Basic Data'!$A:$A,'Basic Data'!$B:$B)</f>
        <v>PWEGPL</v>
      </c>
      <c r="I1015" s="39" t="str">
        <f>_xlfn.XLOOKUP(Table6[[#This Row],[Affected WTG]],'Basic Data'!$A:$A,'Basic Data'!$C:$C)</f>
        <v>MSEDCL</v>
      </c>
      <c r="J1015" s="380">
        <f>IFERROR(VLOOKUP(Table6[[#This Row],[Affected WTG]],'Basic Data'!$A$3:$E$56,5,0),"")</f>
        <v>2.564102564102564E-2</v>
      </c>
      <c r="K1015" s="105">
        <v>2118</v>
      </c>
      <c r="L1015" s="39" t="str">
        <f>IFERROR(VLOOKUP(Table6[[#This Row],[Error Code]],'Basic Data'!$T:$U,2,0),"")</f>
        <v>Bus Error - Interbus Failure</v>
      </c>
      <c r="M1015" s="346" t="s">
        <v>473</v>
      </c>
      <c r="N1015" s="105" t="s">
        <v>474</v>
      </c>
      <c r="O1015" s="330">
        <v>0.38541666666666669</v>
      </c>
      <c r="P1015" s="330">
        <v>0.42708333333333331</v>
      </c>
      <c r="Q1015" s="330">
        <v>0.42777777777777776</v>
      </c>
      <c r="R1015" s="381">
        <f>IF(Table6[[#This Row],[Work Start TimeStamp]]="","",(Table6[[#This Row],[Work Start TimeStamp]]-Table6[[#This Row],[Fault Start TimeStamp]])*24)</f>
        <v>0.99999999999999911</v>
      </c>
      <c r="S1015" s="381">
        <f>(Table6[[#This Row],[Fault Clearance time]]-Table6[[#This Row],[Work Start TimeStamp]])*24</f>
        <v>1.6666666666666607E-2</v>
      </c>
      <c r="T1015" s="384">
        <f>(Table6[[#This Row],[Fault Clearance time]]-Table6[[#This Row],[Fault Start TimeStamp]])*24</f>
        <v>1.0166666666666657</v>
      </c>
      <c r="U1015" s="346" t="s">
        <v>475</v>
      </c>
      <c r="V1015" s="346" t="s">
        <v>476</v>
      </c>
      <c r="W1015" s="376">
        <f>Table6[[#This Row],[Breakdown Time]]*(1/39)</f>
        <v>2.6068376068376042E-2</v>
      </c>
      <c r="X1015" s="337" t="s">
        <v>477</v>
      </c>
      <c r="Y1015" s="346" t="s">
        <v>83</v>
      </c>
      <c r="Z1015" s="105">
        <v>4447</v>
      </c>
      <c r="AA1015" s="107">
        <f>IFERROR((Table6[[#This Row],[Paired WTG Generation for loss calculation]]/24)*Table6[[#This Row],[Breakdown Time]],"")</f>
        <v>188.37986111111093</v>
      </c>
      <c r="AB1015" s="107" t="s">
        <v>472</v>
      </c>
      <c r="AC1015" s="105"/>
      <c r="AD1015" s="105"/>
    </row>
    <row r="1016" spans="1:30">
      <c r="A1016" s="105">
        <f t="shared" si="15"/>
        <v>1015</v>
      </c>
      <c r="B1016" s="371">
        <f>YEAR(Table6[[#This Row],[Date]])+IF(MONTH(Table6[[#This Row],[Date]])&gt;=4,1,0)</f>
        <v>2026</v>
      </c>
      <c r="C1016" s="372">
        <f>YEAR(Table6[[#This Row],[Date]])</f>
        <v>2025</v>
      </c>
      <c r="D1016" s="105" t="s">
        <v>465</v>
      </c>
      <c r="E1016" s="119">
        <f>Table6[[#This Row],[Date]]-DAY(Table6[[#This Row],[Date]])+1</f>
        <v>45839</v>
      </c>
      <c r="F1016" s="373">
        <v>45857</v>
      </c>
      <c r="G1016" s="374" t="s">
        <v>86</v>
      </c>
      <c r="H1016" s="39" t="str">
        <f>_xlfn.XLOOKUP(Table6[[#This Row],[Affected WTG]],'Basic Data'!$A:$A,'Basic Data'!$B:$B)</f>
        <v>PWEGPL</v>
      </c>
      <c r="I1016" s="39" t="str">
        <f>_xlfn.XLOOKUP(Table6[[#This Row],[Affected WTG]],'Basic Data'!$A:$A,'Basic Data'!$C:$C)</f>
        <v>MSEDCL</v>
      </c>
      <c r="J1016" s="380">
        <f>IFERROR(VLOOKUP(Table6[[#This Row],[Affected WTG]],'Basic Data'!$A$3:$E$56,5,0),"")</f>
        <v>2.564102564102564E-2</v>
      </c>
      <c r="K1016" s="105">
        <v>5263</v>
      </c>
      <c r="L1016" s="39" t="str">
        <f>IFERROR(VLOOKUP(Table6[[#This Row],[Error Code]],'Basic Data'!$T:$U,2,0),"")</f>
        <v>CAN Communication Failure</v>
      </c>
      <c r="M1016" s="346" t="s">
        <v>473</v>
      </c>
      <c r="N1016" s="105" t="s">
        <v>474</v>
      </c>
      <c r="O1016" s="330">
        <v>0.58472222222222225</v>
      </c>
      <c r="P1016" s="330">
        <v>0.59583333333333333</v>
      </c>
      <c r="Q1016" s="330">
        <v>0.64722222222222225</v>
      </c>
      <c r="R1016" s="381">
        <f>IF(Table6[[#This Row],[Work Start TimeStamp]]="","",(Table6[[#This Row],[Work Start TimeStamp]]-Table6[[#This Row],[Fault Start TimeStamp]])*24)</f>
        <v>0.26666666666666572</v>
      </c>
      <c r="S1016" s="381">
        <f>(Table6[[#This Row],[Fault Clearance time]]-Table6[[#This Row],[Work Start TimeStamp]])*24</f>
        <v>1.2333333333333343</v>
      </c>
      <c r="T1016" s="384">
        <f>(Table6[[#This Row],[Fault Clearance time]]-Table6[[#This Row],[Fault Start TimeStamp]])*24</f>
        <v>1.5</v>
      </c>
      <c r="U1016" s="346" t="s">
        <v>609</v>
      </c>
      <c r="V1016" s="346" t="s">
        <v>476</v>
      </c>
      <c r="W1016" s="376">
        <f>Table6[[#This Row],[Breakdown Time]]*(1/39)</f>
        <v>3.8461538461538464E-2</v>
      </c>
      <c r="X1016" s="337" t="s">
        <v>477</v>
      </c>
      <c r="Y1016" s="346" t="s">
        <v>85</v>
      </c>
      <c r="Z1016" s="105">
        <v>5201</v>
      </c>
      <c r="AA1016" s="107">
        <f>IFERROR((Table6[[#This Row],[Paired WTG Generation for loss calculation]]/24)*Table6[[#This Row],[Breakdown Time]],"")</f>
        <v>325.0625</v>
      </c>
      <c r="AB1016" s="107" t="s">
        <v>472</v>
      </c>
      <c r="AC1016" s="105"/>
      <c r="AD1016" s="105"/>
    </row>
    <row r="1017" spans="1:30">
      <c r="A1017" s="105">
        <f t="shared" si="15"/>
        <v>1016</v>
      </c>
      <c r="B1017" s="371">
        <f>YEAR(Table6[[#This Row],[Date]])+IF(MONTH(Table6[[#This Row],[Date]])&gt;=4,1,0)</f>
        <v>2026</v>
      </c>
      <c r="C1017" s="372">
        <f>YEAR(Table6[[#This Row],[Date]])</f>
        <v>2025</v>
      </c>
      <c r="D1017" s="105" t="s">
        <v>465</v>
      </c>
      <c r="E1017" s="119">
        <f>Table6[[#This Row],[Date]]-DAY(Table6[[#This Row],[Date]])+1</f>
        <v>45839</v>
      </c>
      <c r="F1017" s="373">
        <v>45857</v>
      </c>
      <c r="G1017" s="374" t="s">
        <v>98</v>
      </c>
      <c r="H1017" s="39" t="str">
        <f>_xlfn.XLOOKUP(Table6[[#This Row],[Affected WTG]],'Basic Data'!$A:$A,'Basic Data'!$B:$B)</f>
        <v>PWEGPL</v>
      </c>
      <c r="I1017" s="39" t="str">
        <f>_xlfn.XLOOKUP(Table6[[#This Row],[Affected WTG]],'Basic Data'!$A:$A,'Basic Data'!$C:$C)</f>
        <v>MSEDCL</v>
      </c>
      <c r="J1017" s="380">
        <f>IFERROR(VLOOKUP(Table6[[#This Row],[Affected WTG]],'Basic Data'!$A$3:$E$56,5,0),"")</f>
        <v>2.564102564102564E-2</v>
      </c>
      <c r="K1017" s="105">
        <v>2118</v>
      </c>
      <c r="L1017" s="39" t="str">
        <f>IFERROR(VLOOKUP(Table6[[#This Row],[Error Code]],'Basic Data'!$T:$U,2,0),"")</f>
        <v>Bus Error - Interbus Failure</v>
      </c>
      <c r="M1017" s="346" t="s">
        <v>473</v>
      </c>
      <c r="N1017" s="105" t="s">
        <v>474</v>
      </c>
      <c r="O1017" s="330">
        <v>0.39930555555555558</v>
      </c>
      <c r="P1017" s="330">
        <v>0.42708333333333331</v>
      </c>
      <c r="Q1017" s="330">
        <v>0.42777777777777776</v>
      </c>
      <c r="R1017" s="381">
        <f>IF(Table6[[#This Row],[Work Start TimeStamp]]="","",(Table6[[#This Row],[Work Start TimeStamp]]-Table6[[#This Row],[Fault Start TimeStamp]])*24)</f>
        <v>0.66666666666666563</v>
      </c>
      <c r="S1017" s="381">
        <f>(Table6[[#This Row],[Fault Clearance time]]-Table6[[#This Row],[Work Start TimeStamp]])*24</f>
        <v>1.6666666666666607E-2</v>
      </c>
      <c r="T1017" s="384">
        <f>(Table6[[#This Row],[Fault Clearance time]]-Table6[[#This Row],[Fault Start TimeStamp]])*24</f>
        <v>0.68333333333333224</v>
      </c>
      <c r="U1017" s="346" t="s">
        <v>475</v>
      </c>
      <c r="V1017" s="346" t="s">
        <v>476</v>
      </c>
      <c r="W1017" s="376">
        <f>Table6[[#This Row],[Breakdown Time]]*(1/39)</f>
        <v>1.7521367521367494E-2</v>
      </c>
      <c r="X1017" s="337" t="s">
        <v>477</v>
      </c>
      <c r="Y1017" s="346" t="s">
        <v>104</v>
      </c>
      <c r="Z1017" s="105">
        <v>3412</v>
      </c>
      <c r="AA1017" s="107">
        <f>IFERROR((Table6[[#This Row],[Paired WTG Generation for loss calculation]]/24)*Table6[[#This Row],[Breakdown Time]],"")</f>
        <v>97.147222222222055</v>
      </c>
      <c r="AB1017" s="107" t="s">
        <v>472</v>
      </c>
      <c r="AC1017" s="105"/>
      <c r="AD1017" s="105"/>
    </row>
  </sheetData>
  <phoneticPr fontId="9" type="noConversion"/>
  <conditionalFormatting sqref="L1:L1048576">
    <cfRule type="containsText" dxfId="124" priority="1"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K1013:K1023</xm:sqref>
        </x14:dataValidation>
        <x14:dataValidation type="list" allowBlank="1" showInputMessage="1" showErrorMessage="1" xr:uid="{FBAB9243-FC31-426D-82C5-03EB20C1C0AF}">
          <x14:formula1>
            <xm:f>'Basic Data'!$P$1:$P$4</xm:f>
          </x14:formula1>
          <xm:sqref>N2:N1017</xm:sqref>
        </x14:dataValidation>
        <x14:dataValidation type="list" allowBlank="1" showInputMessage="1" showErrorMessage="1" xr:uid="{9F985FD0-A7AB-4577-A56E-E34E947D4F80}">
          <x14:formula1>
            <xm:f>'Basic Data'!$W$2:$W$14</xm:f>
          </x14:formula1>
          <xm:sqref>X2:X1017</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57"/>
  <sheetViews>
    <sheetView workbookViewId="0">
      <pane xSplit="6" ySplit="1" topLeftCell="U46" activePane="bottomRight" state="frozen"/>
      <selection pane="bottomRight" activeCell="V58" sqref="V58"/>
      <selection pane="bottomLeft" activeCell="A2" sqref="A2"/>
      <selection pane="topRight" activeCell="G1" sqref="G1"/>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344</v>
      </c>
      <c r="D1" s="324" t="s">
        <v>440</v>
      </c>
      <c r="E1" s="324" t="s">
        <v>385</v>
      </c>
      <c r="F1" s="326" t="s">
        <v>271</v>
      </c>
      <c r="G1" s="324" t="s">
        <v>738</v>
      </c>
      <c r="H1" s="324" t="s">
        <v>442</v>
      </c>
      <c r="I1" s="324" t="s">
        <v>443</v>
      </c>
      <c r="J1" s="324" t="s">
        <v>444</v>
      </c>
      <c r="K1" s="324" t="s">
        <v>447</v>
      </c>
      <c r="L1" s="324" t="s">
        <v>449</v>
      </c>
      <c r="M1" s="324" t="s">
        <v>450</v>
      </c>
      <c r="N1" s="324" t="s">
        <v>451</v>
      </c>
      <c r="O1" s="324" t="s">
        <v>452</v>
      </c>
      <c r="P1" s="324" t="s">
        <v>453</v>
      </c>
      <c r="Q1" s="324" t="s">
        <v>454</v>
      </c>
      <c r="R1" s="324" t="s">
        <v>455</v>
      </c>
      <c r="S1" s="324" t="s">
        <v>456</v>
      </c>
      <c r="T1" s="324" t="s">
        <v>457</v>
      </c>
      <c r="U1" s="324" t="s">
        <v>458</v>
      </c>
      <c r="V1" s="328" t="s">
        <v>461</v>
      </c>
      <c r="W1" s="39" t="s">
        <v>739</v>
      </c>
      <c r="X1" s="324" t="s">
        <v>463</v>
      </c>
      <c r="Y1" s="324" t="s">
        <v>464</v>
      </c>
    </row>
    <row r="2" spans="1:25">
      <c r="A2" s="105">
        <v>1</v>
      </c>
      <c r="B2">
        <f>YEAR(Table8[[#This Row],[Date]])+IF(MONTH(Table8[[#This Row],[Date]])&gt;=4,1,0)</f>
        <v>2025</v>
      </c>
      <c r="C2" s="105">
        <f>YEAR(Table6[[#This Row],[Date]])</f>
        <v>2025</v>
      </c>
      <c r="D2" s="105" t="s">
        <v>740</v>
      </c>
      <c r="E2" s="119">
        <f>Table8[[#This Row],[Date]]-DAY(Table8[[#This Row],[Date]])+1</f>
        <v>45717</v>
      </c>
      <c r="F2" s="118">
        <v>45747</v>
      </c>
      <c r="G2" t="s">
        <v>741</v>
      </c>
      <c r="H2" t="s">
        <v>742</v>
      </c>
      <c r="I2" t="s">
        <v>743</v>
      </c>
      <c r="J2" s="329">
        <f>IFERROR(_xlfn.XLOOKUP(Table8[[#This Row],[Affected Feeder ]],'Basic Data'!$A:$A,'Basic Data'!$E:$E),"")</f>
        <v>0.25641025641025639</v>
      </c>
      <c r="K2" t="s">
        <v>744</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745</v>
      </c>
      <c r="S2" t="s">
        <v>476</v>
      </c>
      <c r="T2" s="130">
        <f>IFERROR(Table8[[#This Row],[Breakdown Time]]*Table8[[#This Row],[Plant Equivalent Weightage]],"")</f>
        <v>7.2649572649572391E-2</v>
      </c>
      <c r="U2" t="s">
        <v>746</v>
      </c>
      <c r="V2" s="107">
        <v>580</v>
      </c>
      <c r="W2" t="s">
        <v>747</v>
      </c>
    </row>
    <row r="3" spans="1:25">
      <c r="A3" s="105">
        <f>A2+1</f>
        <v>2</v>
      </c>
      <c r="B3">
        <f>YEAR(Table8[[#This Row],[Date]])+IF(MONTH(Table8[[#This Row],[Date]])&gt;=4,1,0)</f>
        <v>2026</v>
      </c>
      <c r="C3" s="105">
        <f>YEAR(Table6[[#This Row],[Date]])</f>
        <v>2025</v>
      </c>
      <c r="D3" s="105" t="s">
        <v>740</v>
      </c>
      <c r="E3" s="119">
        <f>Table8[[#This Row],[Date]]-DAY(Table8[[#This Row],[Date]])+1</f>
        <v>45748</v>
      </c>
      <c r="F3" s="118">
        <v>45748</v>
      </c>
      <c r="G3" t="s">
        <v>748</v>
      </c>
      <c r="H3" t="s">
        <v>742</v>
      </c>
      <c r="I3" t="s">
        <v>743</v>
      </c>
      <c r="J3" s="329">
        <f>IFERROR(_xlfn.XLOOKUP(Table8[[#This Row],[Affected Feeder ]],'Basic Data'!$A:$A,'Basic Data'!$E:$E),"")</f>
        <v>0.23076923076923078</v>
      </c>
      <c r="K3" t="s">
        <v>749</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745</v>
      </c>
      <c r="S3" t="s">
        <v>470</v>
      </c>
      <c r="T3" s="130">
        <f>IFERROR(Table8[[#This Row],[Breakdown Time]]*Table8[[#This Row],[Plant Equivalent Weightage]],"")</f>
        <v>0.32307692307692315</v>
      </c>
      <c r="U3" t="s">
        <v>746</v>
      </c>
      <c r="V3" s="107">
        <v>2898.0000000000005</v>
      </c>
      <c r="W3" t="s">
        <v>747</v>
      </c>
    </row>
    <row r="4" spans="1:25">
      <c r="A4" s="105">
        <f t="shared" ref="A4:A57" si="0">A3+1</f>
        <v>3</v>
      </c>
      <c r="B4">
        <f>YEAR(Table8[[#This Row],[Date]])+IF(MONTH(Table8[[#This Row],[Date]])&gt;=4,1,0)</f>
        <v>2026</v>
      </c>
      <c r="C4" s="105">
        <f>YEAR(Table6[[#This Row],[Date]])</f>
        <v>2025</v>
      </c>
      <c r="D4" s="105" t="s">
        <v>740</v>
      </c>
      <c r="E4" s="119">
        <f>Table8[[#This Row],[Date]]-DAY(Table8[[#This Row],[Date]])+1</f>
        <v>45748</v>
      </c>
      <c r="F4" s="118">
        <v>45748</v>
      </c>
      <c r="G4" t="s">
        <v>750</v>
      </c>
      <c r="H4" t="s">
        <v>742</v>
      </c>
      <c r="I4" t="s">
        <v>743</v>
      </c>
      <c r="J4" s="329">
        <f>IFERROR(_xlfn.XLOOKUP(Table8[[#This Row],[Affected Feeder ]],'Basic Data'!$A:$A,'Basic Data'!$E:$E),"")</f>
        <v>0.25641025641025639</v>
      </c>
      <c r="K4" t="s">
        <v>751</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745</v>
      </c>
      <c r="S4" t="s">
        <v>476</v>
      </c>
      <c r="T4" s="130">
        <f>IFERROR(Table8[[#This Row],[Breakdown Time]]*Table8[[#This Row],[Plant Equivalent Weightage]],"")</f>
        <v>0.10683760683760714</v>
      </c>
      <c r="U4" t="s">
        <v>746</v>
      </c>
      <c r="V4" s="107">
        <v>708.33333333333542</v>
      </c>
      <c r="W4" t="s">
        <v>747</v>
      </c>
    </row>
    <row r="5" spans="1:25">
      <c r="A5" s="105">
        <f t="shared" si="0"/>
        <v>4</v>
      </c>
      <c r="B5">
        <f>YEAR(Table8[[#This Row],[Date]])+IF(MONTH(Table8[[#This Row],[Date]])&gt;=4,1,0)</f>
        <v>2026</v>
      </c>
      <c r="C5" s="105">
        <f>YEAR(Table6[[#This Row],[Date]])</f>
        <v>2025</v>
      </c>
      <c r="D5" s="105" t="s">
        <v>740</v>
      </c>
      <c r="E5" s="119">
        <f>Table8[[#This Row],[Date]]-DAY(Table8[[#This Row],[Date]])+1</f>
        <v>45748</v>
      </c>
      <c r="F5" s="118">
        <v>45749</v>
      </c>
      <c r="G5" t="s">
        <v>748</v>
      </c>
      <c r="H5" t="s">
        <v>742</v>
      </c>
      <c r="I5" t="s">
        <v>743</v>
      </c>
      <c r="J5" s="329">
        <f>IFERROR(_xlfn.XLOOKUP(Table8[[#This Row],[Affected Feeder ]],'Basic Data'!$A:$A,'Basic Data'!$E:$E),"")</f>
        <v>0.23076923076923078</v>
      </c>
      <c r="K5" t="s">
        <v>749</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752</v>
      </c>
      <c r="S5" t="s">
        <v>476</v>
      </c>
      <c r="T5" s="130">
        <f>IFERROR(Table8[[#This Row],[Breakdown Time]]*Table8[[#This Row],[Plant Equivalent Weightage]],"")</f>
        <v>0.3115384615384616</v>
      </c>
      <c r="U5" t="s">
        <v>746</v>
      </c>
      <c r="V5" s="107">
        <v>6986.25</v>
      </c>
      <c r="W5" t="s">
        <v>747</v>
      </c>
    </row>
    <row r="6" spans="1:25">
      <c r="A6" s="105">
        <f t="shared" si="0"/>
        <v>5</v>
      </c>
      <c r="B6">
        <f>YEAR(Table8[[#This Row],[Date]])+IF(MONTH(Table8[[#This Row],[Date]])&gt;=4,1,0)</f>
        <v>2026</v>
      </c>
      <c r="C6" s="105">
        <f>YEAR(Table6[[#This Row],[Date]])</f>
        <v>2025</v>
      </c>
      <c r="D6" s="105" t="s">
        <v>740</v>
      </c>
      <c r="E6" s="119">
        <f>Table8[[#This Row],[Date]]-DAY(Table8[[#This Row],[Date]])+1</f>
        <v>45748</v>
      </c>
      <c r="F6" s="118">
        <v>45750</v>
      </c>
      <c r="G6" t="s">
        <v>741</v>
      </c>
      <c r="H6" t="s">
        <v>742</v>
      </c>
      <c r="I6" t="s">
        <v>743</v>
      </c>
      <c r="J6" s="329">
        <f>IFERROR(_xlfn.XLOOKUP(Table8[[#This Row],[Affected Feeder ]],'Basic Data'!$A:$A,'Basic Data'!$E:$E),"")</f>
        <v>0.25641025641025639</v>
      </c>
      <c r="K6" t="s">
        <v>744</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745</v>
      </c>
      <c r="S6" t="s">
        <v>476</v>
      </c>
      <c r="T6" s="130">
        <f>IFERROR(Table8[[#This Row],[Breakdown Time]]*Table8[[#This Row],[Plant Equivalent Weightage]],"")</f>
        <v>8.9743589743589411E-2</v>
      </c>
      <c r="U6" t="s">
        <v>746</v>
      </c>
      <c r="V6" s="107">
        <v>857.49999999999704</v>
      </c>
      <c r="W6" t="s">
        <v>747</v>
      </c>
    </row>
    <row r="7" spans="1:25">
      <c r="A7" s="105">
        <f t="shared" si="0"/>
        <v>6</v>
      </c>
      <c r="B7">
        <f>YEAR(Table8[[#This Row],[Date]])+IF(MONTH(Table8[[#This Row],[Date]])&gt;=4,1,0)</f>
        <v>2026</v>
      </c>
      <c r="C7" s="105">
        <f>YEAR(Table6[[#This Row],[Date]])</f>
        <v>2025</v>
      </c>
      <c r="D7" s="105" t="s">
        <v>740</v>
      </c>
      <c r="E7" s="119">
        <f>Table8[[#This Row],[Date]]-DAY(Table8[[#This Row],[Date]])+1</f>
        <v>45748</v>
      </c>
      <c r="F7" s="118">
        <v>45754</v>
      </c>
      <c r="G7" t="s">
        <v>748</v>
      </c>
      <c r="H7" t="s">
        <v>742</v>
      </c>
      <c r="I7" t="s">
        <v>743</v>
      </c>
      <c r="J7" s="329">
        <f>IFERROR(_xlfn.XLOOKUP(Table8[[#This Row],[Affected Feeder ]],'Basic Data'!$A:$A,'Basic Data'!$E:$E),"")</f>
        <v>0.23076923076923078</v>
      </c>
      <c r="K7" t="s">
        <v>753</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754</v>
      </c>
      <c r="S7" t="s">
        <v>476</v>
      </c>
      <c r="T7" s="130">
        <f>IFERROR(Table8[[#This Row],[Breakdown Time]]*Table8[[#This Row],[Plant Equivalent Weightage]],"")</f>
        <v>0.46538461538461562</v>
      </c>
      <c r="U7" t="s">
        <v>755</v>
      </c>
      <c r="V7" s="107">
        <v>4083.7500000000014</v>
      </c>
      <c r="W7" t="s">
        <v>747</v>
      </c>
    </row>
    <row r="8" spans="1:25">
      <c r="A8" s="105">
        <f t="shared" si="0"/>
        <v>7</v>
      </c>
      <c r="B8">
        <f>YEAR(Table8[[#This Row],[Date]])+IF(MONTH(Table8[[#This Row],[Date]])&gt;=4,1,0)</f>
        <v>2026</v>
      </c>
      <c r="C8" s="105">
        <f>YEAR(Table6[[#This Row],[Date]])</f>
        <v>2025</v>
      </c>
      <c r="D8" s="105" t="s">
        <v>740</v>
      </c>
      <c r="E8" s="119">
        <f>Table8[[#This Row],[Date]]-DAY(Table8[[#This Row],[Date]])+1</f>
        <v>45748</v>
      </c>
      <c r="F8" s="118">
        <v>45754</v>
      </c>
      <c r="G8" t="s">
        <v>756</v>
      </c>
      <c r="H8" t="s">
        <v>742</v>
      </c>
      <c r="I8" t="s">
        <v>743</v>
      </c>
      <c r="J8" s="329">
        <f>IFERROR(_xlfn.XLOOKUP(Table8[[#This Row],[Affected Feeder ]],'Basic Data'!$A:$A,'Basic Data'!$E:$E),"")</f>
        <v>0.25641025641025639</v>
      </c>
      <c r="K8" t="s">
        <v>757</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754</v>
      </c>
      <c r="S8" t="s">
        <v>476</v>
      </c>
      <c r="T8" s="130">
        <f>IFERROR(Table8[[#This Row],[Breakdown Time]]*Table8[[#This Row],[Plant Equivalent Weightage]],"")</f>
        <v>0.52136752136752151</v>
      </c>
      <c r="U8" t="s">
        <v>755</v>
      </c>
      <c r="V8" s="107">
        <v>4631.4814814814836</v>
      </c>
      <c r="W8" t="s">
        <v>747</v>
      </c>
    </row>
    <row r="9" spans="1:25">
      <c r="A9" s="105">
        <f t="shared" si="0"/>
        <v>8</v>
      </c>
      <c r="B9">
        <f>YEAR(Table8[[#This Row],[Date]])+IF(MONTH(Table8[[#This Row],[Date]])&gt;=4,1,0)</f>
        <v>2026</v>
      </c>
      <c r="C9" s="105">
        <f>YEAR(Table6[[#This Row],[Date]])</f>
        <v>2025</v>
      </c>
      <c r="D9" s="105" t="s">
        <v>740</v>
      </c>
      <c r="E9" s="119">
        <f>Table8[[#This Row],[Date]]-DAY(Table8[[#This Row],[Date]])+1</f>
        <v>45778</v>
      </c>
      <c r="F9" s="118">
        <v>45778</v>
      </c>
      <c r="G9" t="s">
        <v>748</v>
      </c>
      <c r="H9" t="s">
        <v>742</v>
      </c>
      <c r="I9" t="s">
        <v>743</v>
      </c>
      <c r="J9" s="329">
        <f>IFERROR(_xlfn.XLOOKUP(Table8[[#This Row],[Affected Feeder ]],'Basic Data'!$A:$A,'Basic Data'!$E:$E),"")</f>
        <v>0.23076923076923078</v>
      </c>
      <c r="K9" t="s">
        <v>758</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759</v>
      </c>
      <c r="S9" t="s">
        <v>476</v>
      </c>
      <c r="T9" s="130">
        <f>IFERROR(Table8[[#This Row],[Breakdown Time]]*Table8[[#This Row],[Plant Equivalent Weightage]],"")</f>
        <v>0.21153846153846143</v>
      </c>
      <c r="U9" t="s">
        <v>755</v>
      </c>
      <c r="V9" s="107">
        <v>5651.2499999999964</v>
      </c>
      <c r="W9" t="s">
        <v>747</v>
      </c>
    </row>
    <row r="10" spans="1:25">
      <c r="A10" s="105">
        <f t="shared" si="0"/>
        <v>9</v>
      </c>
      <c r="B10">
        <f>YEAR(Table8[[#This Row],[Date]])+IF(MONTH(Table8[[#This Row],[Date]])&gt;=4,1,0)</f>
        <v>2026</v>
      </c>
      <c r="C10" s="105">
        <f>YEAR(Table6[[#This Row],[Date]])</f>
        <v>2025</v>
      </c>
      <c r="D10" s="105" t="s">
        <v>740</v>
      </c>
      <c r="E10" s="119">
        <f>Table8[[#This Row],[Date]]-DAY(Table8[[#This Row],[Date]])+1</f>
        <v>45778</v>
      </c>
      <c r="F10" s="118">
        <v>45778</v>
      </c>
      <c r="G10" t="s">
        <v>756</v>
      </c>
      <c r="H10" t="s">
        <v>742</v>
      </c>
      <c r="I10" t="s">
        <v>743</v>
      </c>
      <c r="J10" s="329">
        <f>IFERROR(_xlfn.XLOOKUP(Table8[[#This Row],[Affected Feeder ]],'Basic Data'!$A:$A,'Basic Data'!$E:$E),"")</f>
        <v>0.25641025641025639</v>
      </c>
      <c r="K10" t="s">
        <v>760</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759</v>
      </c>
      <c r="S10" t="s">
        <v>476</v>
      </c>
      <c r="T10" s="130">
        <f>IFERROR(Table8[[#This Row],[Breakdown Time]]*Table8[[#This Row],[Plant Equivalent Weightage]],"")</f>
        <v>0.23504273504273487</v>
      </c>
      <c r="U10" t="s">
        <v>755</v>
      </c>
      <c r="V10" s="107">
        <v>6416.6666666666624</v>
      </c>
      <c r="W10" t="s">
        <v>747</v>
      </c>
    </row>
    <row r="11" spans="1:25">
      <c r="A11" s="105">
        <f t="shared" si="0"/>
        <v>10</v>
      </c>
      <c r="B11">
        <f>YEAR(Table8[[#This Row],[Date]])+IF(MONTH(Table8[[#This Row],[Date]])&gt;=4,1,0)</f>
        <v>2026</v>
      </c>
      <c r="C11" s="105">
        <f>YEAR(Table6[[#This Row],[Date]])</f>
        <v>2025</v>
      </c>
      <c r="D11" s="105" t="s">
        <v>740</v>
      </c>
      <c r="E11" s="119">
        <f>Table8[[#This Row],[Date]]-DAY(Table8[[#This Row],[Date]])+1</f>
        <v>45778</v>
      </c>
      <c r="F11" s="118">
        <v>45783</v>
      </c>
      <c r="G11" t="s">
        <v>741</v>
      </c>
      <c r="H11" t="s">
        <v>742</v>
      </c>
      <c r="I11" t="s">
        <v>743</v>
      </c>
      <c r="J11" s="329">
        <f>IFERROR(_xlfn.XLOOKUP(Table8[[#This Row],[Affected Feeder ]],'Basic Data'!$A:$A,'Basic Data'!$E:$E),"")</f>
        <v>0.25641025641025639</v>
      </c>
      <c r="K11" t="s">
        <v>744</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745</v>
      </c>
      <c r="S11" t="s">
        <v>476</v>
      </c>
      <c r="T11" s="130">
        <f>IFERROR(Table8[[#This Row],[Breakdown Time]]*Table8[[#This Row],[Plant Equivalent Weightage]],"")</f>
        <v>2.5641025641025546E-2</v>
      </c>
      <c r="U11" t="s">
        <v>746</v>
      </c>
      <c r="V11" s="107">
        <v>265</v>
      </c>
      <c r="W11" t="s">
        <v>747</v>
      </c>
    </row>
    <row r="12" spans="1:25">
      <c r="A12" s="105">
        <f t="shared" si="0"/>
        <v>11</v>
      </c>
      <c r="B12">
        <f>YEAR(Table8[[#This Row],[Date]])+IF(MONTH(Table8[[#This Row],[Date]])&gt;=4,1,0)</f>
        <v>2026</v>
      </c>
      <c r="C12" s="105">
        <f>YEAR(Table6[[#This Row],[Date]])</f>
        <v>2025</v>
      </c>
      <c r="D12" s="105" t="s">
        <v>740</v>
      </c>
      <c r="E12" s="119">
        <f>Table8[[#This Row],[Date]]-DAY(Table8[[#This Row],[Date]])+1</f>
        <v>45778</v>
      </c>
      <c r="F12" s="118">
        <v>45789</v>
      </c>
      <c r="G12" t="s">
        <v>748</v>
      </c>
      <c r="H12" t="s">
        <v>742</v>
      </c>
      <c r="I12" t="s">
        <v>743</v>
      </c>
      <c r="J12" s="329">
        <f>IFERROR(_xlfn.XLOOKUP(Table8[[#This Row],[Affected Feeder ]],'Basic Data'!$A:$A,'Basic Data'!$E:$E),"")</f>
        <v>0.23076923076923078</v>
      </c>
      <c r="K12" t="s">
        <v>761</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745</v>
      </c>
      <c r="S12" t="s">
        <v>476</v>
      </c>
      <c r="T12" s="130">
        <f>IFERROR(Table8[[#This Row],[Breakdown Time]]*Table8[[#This Row],[Plant Equivalent Weightage]],"")</f>
        <v>3.8461538461538325E-2</v>
      </c>
      <c r="U12" t="s">
        <v>746</v>
      </c>
      <c r="V12" s="107">
        <v>214</v>
      </c>
      <c r="W12" t="s">
        <v>747</v>
      </c>
    </row>
    <row r="13" spans="1:25">
      <c r="A13" s="105">
        <f t="shared" si="0"/>
        <v>12</v>
      </c>
      <c r="B13">
        <f>YEAR(Table8[[#This Row],[Date]])+IF(MONTH(Table8[[#This Row],[Date]])&gt;=4,1,0)</f>
        <v>2026</v>
      </c>
      <c r="C13" s="105">
        <f>YEAR(Table6[[#This Row],[Date]])</f>
        <v>2025</v>
      </c>
      <c r="D13" s="105" t="s">
        <v>740</v>
      </c>
      <c r="E13" s="119">
        <f>Table8[[#This Row],[Date]]-DAY(Table8[[#This Row],[Date]])+1</f>
        <v>45778</v>
      </c>
      <c r="F13" s="118">
        <v>45789</v>
      </c>
      <c r="G13" t="s">
        <v>750</v>
      </c>
      <c r="H13" t="s">
        <v>742</v>
      </c>
      <c r="I13" t="s">
        <v>743</v>
      </c>
      <c r="J13" s="329">
        <f>IFERROR(_xlfn.XLOOKUP(Table8[[#This Row],[Affected Feeder ]],'Basic Data'!$A:$A,'Basic Data'!$E:$E),"")</f>
        <v>0.25641025641025639</v>
      </c>
      <c r="K13" t="s">
        <v>762</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745</v>
      </c>
      <c r="S13" t="s">
        <v>476</v>
      </c>
      <c r="T13" s="130">
        <f>IFERROR(Table8[[#This Row],[Breakdown Time]]*Table8[[#This Row],[Plant Equivalent Weightage]],"")</f>
        <v>2.9914529914530488E-2</v>
      </c>
      <c r="U13" t="s">
        <v>746</v>
      </c>
      <c r="V13" s="107">
        <v>126</v>
      </c>
      <c r="W13" t="s">
        <v>747</v>
      </c>
    </row>
    <row r="14" spans="1:25">
      <c r="A14" s="105">
        <f t="shared" si="0"/>
        <v>13</v>
      </c>
      <c r="B14">
        <f>YEAR(Table8[[#This Row],[Date]])+IF(MONTH(Table8[[#This Row],[Date]])&gt;=4,1,0)</f>
        <v>2026</v>
      </c>
      <c r="C14" s="105">
        <f>YEAR(Table6[[#This Row],[Date]])</f>
        <v>2025</v>
      </c>
      <c r="D14" s="105" t="s">
        <v>740</v>
      </c>
      <c r="E14" s="119">
        <f>Table8[[#This Row],[Date]]-DAY(Table8[[#This Row],[Date]])+1</f>
        <v>45778</v>
      </c>
      <c r="F14" s="118">
        <v>45793</v>
      </c>
      <c r="G14" t="s">
        <v>763</v>
      </c>
      <c r="H14" t="s">
        <v>742</v>
      </c>
      <c r="I14" t="s">
        <v>743</v>
      </c>
      <c r="J14" s="329">
        <f>IFERROR(_xlfn.XLOOKUP(Table8[[#This Row],[Affected Feeder ]],'Basic Data'!$A:$A,'Basic Data'!$E:$E),"")</f>
        <v>0.12820512820512819</v>
      </c>
      <c r="K14" t="s">
        <v>764</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765</v>
      </c>
      <c r="S14" t="s">
        <v>476</v>
      </c>
      <c r="T14" s="130">
        <f>IFERROR(Table8[[#This Row],[Breakdown Time]]*Table8[[#This Row],[Plant Equivalent Weightage]],"")</f>
        <v>0.17094017094017067</v>
      </c>
      <c r="U14" t="s">
        <v>766</v>
      </c>
      <c r="V14" s="107">
        <v>2777.7777777777737</v>
      </c>
      <c r="W14" t="s">
        <v>747</v>
      </c>
    </row>
    <row r="15" spans="1:25">
      <c r="A15" s="105">
        <f t="shared" si="0"/>
        <v>14</v>
      </c>
      <c r="B15">
        <f>YEAR(Table8[[#This Row],[Date]])+IF(MONTH(Table8[[#This Row],[Date]])&gt;=4,1,0)</f>
        <v>2026</v>
      </c>
      <c r="C15" s="105">
        <f>YEAR(Table6[[#This Row],[Date]])</f>
        <v>2025</v>
      </c>
      <c r="D15" s="105" t="s">
        <v>740</v>
      </c>
      <c r="E15" s="119">
        <f>Table8[[#This Row],[Date]]-DAY(Table8[[#This Row],[Date]])+1</f>
        <v>45778</v>
      </c>
      <c r="F15" s="118">
        <v>45794</v>
      </c>
      <c r="G15" t="s">
        <v>748</v>
      </c>
      <c r="H15" t="s">
        <v>742</v>
      </c>
      <c r="I15" t="s">
        <v>743</v>
      </c>
      <c r="J15" s="329">
        <f>IFERROR(_xlfn.XLOOKUP(Table8[[#This Row],[Affected Feeder ]],'Basic Data'!$A:$A,'Basic Data'!$E:$E),"")</f>
        <v>0.23076923076923078</v>
      </c>
      <c r="K15" t="s">
        <v>767</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768</v>
      </c>
      <c r="S15" t="s">
        <v>476</v>
      </c>
      <c r="T15" s="130">
        <f>IFERROR(Table8[[#This Row],[Breakdown Time]]*Table8[[#This Row],[Plant Equivalent Weightage]],"")</f>
        <v>0.4153846153846158</v>
      </c>
      <c r="U15" t="s">
        <v>766</v>
      </c>
      <c r="V15" s="107">
        <v>3969</v>
      </c>
      <c r="W15" t="s">
        <v>747</v>
      </c>
    </row>
    <row r="16" spans="1:25">
      <c r="A16" s="105">
        <f t="shared" si="0"/>
        <v>15</v>
      </c>
      <c r="B16">
        <f>YEAR(Table8[[#This Row],[Date]])+IF(MONTH(Table8[[#This Row],[Date]])&gt;=4,1,0)</f>
        <v>2026</v>
      </c>
      <c r="C16" s="105">
        <f>YEAR(Table6[[#This Row],[Date]])</f>
        <v>2025</v>
      </c>
      <c r="D16" s="105" t="s">
        <v>740</v>
      </c>
      <c r="E16" s="119">
        <f>Table8[[#This Row],[Date]]-DAY(Table8[[#This Row],[Date]])+1</f>
        <v>45778</v>
      </c>
      <c r="F16" s="118">
        <v>45796</v>
      </c>
      <c r="G16" t="s">
        <v>750</v>
      </c>
      <c r="H16" t="s">
        <v>742</v>
      </c>
      <c r="I16" t="s">
        <v>743</v>
      </c>
      <c r="J16" s="329">
        <f>IFERROR(_xlfn.XLOOKUP(Table8[[#This Row],[Affected Feeder ]],'Basic Data'!$A:$A,'Basic Data'!$E:$E),"")</f>
        <v>0.25641025641025639</v>
      </c>
      <c r="K16" t="s">
        <v>762</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745</v>
      </c>
      <c r="S16" t="s">
        <v>476</v>
      </c>
      <c r="T16" s="130">
        <f>IFERROR(Table8[[#This Row],[Breakdown Time]]*Table8[[#This Row],[Plant Equivalent Weightage]],"")</f>
        <v>6.8376068376068133E-2</v>
      </c>
      <c r="U16" t="s">
        <v>746</v>
      </c>
      <c r="V16" s="107">
        <v>333.33333333333212</v>
      </c>
      <c r="W16" t="s">
        <v>747</v>
      </c>
    </row>
    <row r="17" spans="1:23">
      <c r="A17" s="105">
        <f t="shared" si="0"/>
        <v>16</v>
      </c>
      <c r="B17">
        <f>YEAR(Table8[[#This Row],[Date]])+IF(MONTH(Table8[[#This Row],[Date]])&gt;=4,1,0)</f>
        <v>2026</v>
      </c>
      <c r="C17" s="105">
        <f>YEAR(Table6[[#This Row],[Date]])</f>
        <v>2025</v>
      </c>
      <c r="D17" s="105" t="s">
        <v>740</v>
      </c>
      <c r="E17" s="119">
        <f>Table8[[#This Row],[Date]]-DAY(Table8[[#This Row],[Date]])+1</f>
        <v>45778</v>
      </c>
      <c r="F17" s="118">
        <v>45796</v>
      </c>
      <c r="G17" t="s">
        <v>769</v>
      </c>
      <c r="H17" t="s">
        <v>742</v>
      </c>
      <c r="I17" t="s">
        <v>743</v>
      </c>
      <c r="J17" s="329">
        <f>IFERROR(_xlfn.XLOOKUP(Table8[[#This Row],[Affected Feeder ]],'Basic Data'!$A:$A,'Basic Data'!$E:$E),"")</f>
        <v>0.12820512820512819</v>
      </c>
      <c r="K17" t="s">
        <v>770</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771</v>
      </c>
      <c r="S17" t="s">
        <v>476</v>
      </c>
      <c r="T17" s="130">
        <f>IFERROR(Table8[[#This Row],[Breakdown Time]]*Table8[[#This Row],[Plant Equivalent Weightage]],"")</f>
        <v>0.11752136752136744</v>
      </c>
      <c r="U17" t="s">
        <v>746</v>
      </c>
      <c r="V17" s="107">
        <v>1283.3333333333326</v>
      </c>
      <c r="W17" t="s">
        <v>747</v>
      </c>
    </row>
    <row r="18" spans="1:23">
      <c r="A18" s="105">
        <f t="shared" si="0"/>
        <v>17</v>
      </c>
      <c r="B18">
        <f>YEAR(Table8[[#This Row],[Date]])+IF(MONTH(Table8[[#This Row],[Date]])&gt;=4,1,0)</f>
        <v>2026</v>
      </c>
      <c r="C18" s="105">
        <f>YEAR(Table6[[#This Row],[Date]])</f>
        <v>2025</v>
      </c>
      <c r="D18" s="105" t="s">
        <v>740</v>
      </c>
      <c r="E18" s="119">
        <f>Table8[[#This Row],[Date]]-DAY(Table8[[#This Row],[Date]])+1</f>
        <v>45778</v>
      </c>
      <c r="F18" s="118">
        <v>45796</v>
      </c>
      <c r="G18" t="s">
        <v>763</v>
      </c>
      <c r="H18" t="s">
        <v>742</v>
      </c>
      <c r="I18" t="s">
        <v>743</v>
      </c>
      <c r="J18" s="329">
        <f>IFERROR(_xlfn.XLOOKUP(Table8[[#This Row],[Affected Feeder ]],'Basic Data'!$A:$A,'Basic Data'!$E:$E),"")</f>
        <v>0.12820512820512819</v>
      </c>
      <c r="K18" t="s">
        <v>770</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489</v>
      </c>
      <c r="S18" t="s">
        <v>470</v>
      </c>
      <c r="T18" s="130">
        <f>IFERROR(Table8[[#This Row],[Breakdown Time]]*Table8[[#This Row],[Plant Equivalent Weightage]],"")</f>
        <v>0.3568376068376069</v>
      </c>
      <c r="U18" t="s">
        <v>746</v>
      </c>
      <c r="V18" s="107">
        <v>4035.8333333333344</v>
      </c>
      <c r="W18" t="s">
        <v>747</v>
      </c>
    </row>
    <row r="19" spans="1:23">
      <c r="A19" s="105">
        <f t="shared" si="0"/>
        <v>18</v>
      </c>
      <c r="B19">
        <f>YEAR(Table8[[#This Row],[Date]])+IF(MONTH(Table8[[#This Row],[Date]])&gt;=4,1,0)</f>
        <v>2026</v>
      </c>
      <c r="C19" s="105">
        <f>YEAR(Table6[[#This Row],[Date]])</f>
        <v>2025</v>
      </c>
      <c r="D19" s="105" t="s">
        <v>740</v>
      </c>
      <c r="E19" s="119">
        <f>Table8[[#This Row],[Date]]-DAY(Table8[[#This Row],[Date]])+1</f>
        <v>45778</v>
      </c>
      <c r="F19" s="118">
        <v>45796</v>
      </c>
      <c r="G19" t="s">
        <v>763</v>
      </c>
      <c r="H19" t="s">
        <v>742</v>
      </c>
      <c r="I19" t="s">
        <v>743</v>
      </c>
      <c r="J19" s="329">
        <f>IFERROR(_xlfn.XLOOKUP(Table8[[#This Row],[Affected Feeder ]],'Basic Data'!$A:$A,'Basic Data'!$E:$E),"")</f>
        <v>0.12820512820512819</v>
      </c>
      <c r="K19" t="s">
        <v>770</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772</v>
      </c>
      <c r="S19" t="s">
        <v>476</v>
      </c>
      <c r="T19" s="130">
        <f>IFERROR(Table8[[#This Row],[Breakdown Time]]*Table8[[#This Row],[Plant Equivalent Weightage]],"")</f>
        <v>9.4017094017094002E-2</v>
      </c>
      <c r="U19" t="s">
        <v>746</v>
      </c>
      <c r="V19" s="107">
        <v>1063.3333333333333</v>
      </c>
      <c r="W19" t="s">
        <v>747</v>
      </c>
    </row>
    <row r="20" spans="1:23">
      <c r="A20" s="105">
        <f t="shared" si="0"/>
        <v>19</v>
      </c>
      <c r="B20">
        <f>YEAR(Table8[[#This Row],[Date]])+IF(MONTH(Table8[[#This Row],[Date]])&gt;=4,1,0)</f>
        <v>2026</v>
      </c>
      <c r="C20" s="105">
        <f>YEAR(Table6[[#This Row],[Date]])</f>
        <v>2025</v>
      </c>
      <c r="D20" s="105" t="s">
        <v>740</v>
      </c>
      <c r="E20" s="119">
        <f>Table8[[#This Row],[Date]]-DAY(Table8[[#This Row],[Date]])+1</f>
        <v>45778</v>
      </c>
      <c r="F20" s="118">
        <v>45797</v>
      </c>
      <c r="G20" t="s">
        <v>769</v>
      </c>
      <c r="H20" t="s">
        <v>742</v>
      </c>
      <c r="I20" t="s">
        <v>743</v>
      </c>
      <c r="J20" s="329">
        <f>IFERROR(_xlfn.XLOOKUP(Table8[[#This Row],[Affected Feeder ]],'Basic Data'!$A:$A,'Basic Data'!$E:$E),"")</f>
        <v>0.12820512820512819</v>
      </c>
      <c r="K20" t="s">
        <v>773</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768</v>
      </c>
      <c r="S20" t="s">
        <v>476</v>
      </c>
      <c r="T20" s="130">
        <f>IFERROR(Table8[[#This Row],[Breakdown Time]]*Table8[[#This Row],[Plant Equivalent Weightage]],"")</f>
        <v>0.1538461538461538</v>
      </c>
      <c r="U20" t="s">
        <v>766</v>
      </c>
      <c r="V20" s="107">
        <v>2579.9999999999995</v>
      </c>
      <c r="W20" t="s">
        <v>747</v>
      </c>
    </row>
    <row r="21" spans="1:23">
      <c r="A21" s="105">
        <f t="shared" si="0"/>
        <v>20</v>
      </c>
      <c r="B21">
        <f>YEAR(Table8[[#This Row],[Date]])+IF(MONTH(Table8[[#This Row],[Date]])&gt;=4,1,0)</f>
        <v>2026</v>
      </c>
      <c r="C21" s="105">
        <f>YEAR(Table6[[#This Row],[Date]])</f>
        <v>2025</v>
      </c>
      <c r="D21" s="105" t="s">
        <v>740</v>
      </c>
      <c r="E21" s="119">
        <f>Table8[[#This Row],[Date]]-DAY(Table8[[#This Row],[Date]])+1</f>
        <v>45778</v>
      </c>
      <c r="F21" s="118">
        <v>45797</v>
      </c>
      <c r="G21" t="s">
        <v>750</v>
      </c>
      <c r="H21" t="s">
        <v>742</v>
      </c>
      <c r="I21" t="s">
        <v>743</v>
      </c>
      <c r="J21" s="329">
        <f>IFERROR(_xlfn.XLOOKUP(Table8[[#This Row],[Affected Feeder ]],'Basic Data'!$A:$A,'Basic Data'!$E:$E),"")</f>
        <v>0.25641025641025639</v>
      </c>
      <c r="K21" t="s">
        <v>774</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768</v>
      </c>
      <c r="S21" t="s">
        <v>476</v>
      </c>
      <c r="T21" s="130">
        <f>IFERROR(Table8[[#This Row],[Breakdown Time]]*Table8[[#This Row],[Plant Equivalent Weightage]],"")</f>
        <v>0.38461538461538458</v>
      </c>
      <c r="U21" t="s">
        <v>766</v>
      </c>
      <c r="V21" s="107">
        <v>2550</v>
      </c>
      <c r="W21" t="s">
        <v>747</v>
      </c>
    </row>
    <row r="22" spans="1:23">
      <c r="A22" s="105">
        <f t="shared" si="0"/>
        <v>21</v>
      </c>
      <c r="B22">
        <f>YEAR(Table8[[#This Row],[Date]])+IF(MONTH(Table8[[#This Row],[Date]])&gt;=4,1,0)</f>
        <v>2026</v>
      </c>
      <c r="C22" s="105">
        <f>YEAR(Table6[[#This Row],[Date]])</f>
        <v>2025</v>
      </c>
      <c r="D22" s="105" t="s">
        <v>740</v>
      </c>
      <c r="E22" s="119">
        <f>Table8[[#This Row],[Date]]-DAY(Table8[[#This Row],[Date]])+1</f>
        <v>45778</v>
      </c>
      <c r="F22" s="118">
        <v>45797</v>
      </c>
      <c r="G22" t="s">
        <v>750</v>
      </c>
      <c r="H22" t="s">
        <v>742</v>
      </c>
      <c r="I22" t="s">
        <v>743</v>
      </c>
      <c r="J22" s="329">
        <f>IFERROR(_xlfn.XLOOKUP(Table8[[#This Row],[Affected Feeder ]],'Basic Data'!$A:$A,'Basic Data'!$E:$E),"")</f>
        <v>0.25641025641025639</v>
      </c>
      <c r="K22" t="s">
        <v>762</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745</v>
      </c>
      <c r="S22" t="s">
        <v>476</v>
      </c>
      <c r="T22" s="130">
        <f>IFERROR(Table8[[#This Row],[Breakdown Time]]*Table8[[#This Row],[Plant Equivalent Weightage]],"")</f>
        <v>0.13247863247863267</v>
      </c>
      <c r="U22" t="s">
        <v>746</v>
      </c>
      <c r="V22" s="107">
        <v>878.33333333333474</v>
      </c>
      <c r="W22" t="s">
        <v>747</v>
      </c>
    </row>
    <row r="23" spans="1:23">
      <c r="A23" s="105">
        <f t="shared" si="0"/>
        <v>22</v>
      </c>
      <c r="B23">
        <f>YEAR(Table8[[#This Row],[Date]])+IF(MONTH(Table8[[#This Row],[Date]])&gt;=4,1,0)</f>
        <v>2026</v>
      </c>
      <c r="C23" s="105">
        <f>YEAR(Table6[[#This Row],[Date]])</f>
        <v>2025</v>
      </c>
      <c r="D23" s="105" t="s">
        <v>740</v>
      </c>
      <c r="E23" s="119">
        <f>Table8[[#This Row],[Date]]-DAY(Table8[[#This Row],[Date]])+1</f>
        <v>45778</v>
      </c>
      <c r="F23" s="118">
        <v>45798</v>
      </c>
      <c r="G23" t="s">
        <v>775</v>
      </c>
      <c r="H23" t="s">
        <v>742</v>
      </c>
      <c r="I23" t="s">
        <v>743</v>
      </c>
      <c r="J23" s="329">
        <f>IFERROR(_xlfn.XLOOKUP(Table8[[#This Row],[Affected Feeder ]],'Basic Data'!$A:$A,'Basic Data'!$E:$E),"")</f>
        <v>0.15384615384615385</v>
      </c>
      <c r="K23" t="s">
        <v>776</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768</v>
      </c>
      <c r="S23" t="s">
        <v>476</v>
      </c>
      <c r="T23" s="130">
        <f>IFERROR(Table8[[#This Row],[Breakdown Time]]*Table8[[#This Row],[Plant Equivalent Weightage]],"")</f>
        <v>0.20512820512820523</v>
      </c>
      <c r="U23" t="s">
        <v>746</v>
      </c>
      <c r="V23" s="107">
        <v>2400.0000000000009</v>
      </c>
      <c r="W23" t="s">
        <v>747</v>
      </c>
    </row>
    <row r="24" spans="1:23">
      <c r="A24" s="105">
        <f t="shared" si="0"/>
        <v>23</v>
      </c>
      <c r="B24">
        <f>YEAR(Table8[[#This Row],[Date]])+IF(MONTH(Table8[[#This Row],[Date]])&gt;=4,1,0)</f>
        <v>2026</v>
      </c>
      <c r="C24" s="105">
        <f>YEAR(Table6[[#This Row],[Date]])</f>
        <v>2025</v>
      </c>
      <c r="D24" s="105" t="s">
        <v>740</v>
      </c>
      <c r="E24" s="119">
        <f>Table8[[#This Row],[Date]]-DAY(Table8[[#This Row],[Date]])+1</f>
        <v>45778</v>
      </c>
      <c r="F24" s="118">
        <v>45800</v>
      </c>
      <c r="G24" t="s">
        <v>750</v>
      </c>
      <c r="H24" t="s">
        <v>742</v>
      </c>
      <c r="I24" t="s">
        <v>743</v>
      </c>
      <c r="J24" s="329">
        <f>IFERROR(_xlfn.XLOOKUP(Table8[[#This Row],[Affected Feeder ]],'Basic Data'!$A:$A,'Basic Data'!$E:$E),"")</f>
        <v>0.25641025641025639</v>
      </c>
      <c r="K24" t="s">
        <v>777</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778</v>
      </c>
      <c r="S24" t="s">
        <v>476</v>
      </c>
      <c r="T24" s="130">
        <f>IFERROR(Table8[[#This Row],[Breakdown Time]]*Table8[[#This Row],[Plant Equivalent Weightage]],"")</f>
        <v>0.88034188034188021</v>
      </c>
      <c r="U24" t="s">
        <v>766</v>
      </c>
      <c r="V24" s="107">
        <v>2231.6666666666665</v>
      </c>
      <c r="W24" t="s">
        <v>747</v>
      </c>
    </row>
    <row r="25" spans="1:23">
      <c r="A25" s="105">
        <f t="shared" si="0"/>
        <v>24</v>
      </c>
      <c r="B25">
        <f>YEAR(Table8[[#This Row],[Date]])+IF(MONTH(Table8[[#This Row],[Date]])&gt;=4,1,0)</f>
        <v>2026</v>
      </c>
      <c r="C25" s="105">
        <f>YEAR(Table6[[#This Row],[Date]])</f>
        <v>2025</v>
      </c>
      <c r="D25" s="105" t="s">
        <v>740</v>
      </c>
      <c r="E25" s="119">
        <f>Table8[[#This Row],[Date]]-DAY(Table8[[#This Row],[Date]])+1</f>
        <v>45778</v>
      </c>
      <c r="F25" s="118">
        <v>45800</v>
      </c>
      <c r="G25" t="s">
        <v>741</v>
      </c>
      <c r="H25" t="s">
        <v>742</v>
      </c>
      <c r="I25" t="s">
        <v>743</v>
      </c>
      <c r="J25" s="329">
        <f>IFERROR(_xlfn.XLOOKUP(Table8[[#This Row],[Affected Feeder ]],'Basic Data'!$A:$A,'Basic Data'!$E:$E),"")</f>
        <v>0.25641025641025639</v>
      </c>
      <c r="K25" t="s">
        <v>779</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778</v>
      </c>
      <c r="S25" t="s">
        <v>476</v>
      </c>
      <c r="T25" s="130">
        <f>IFERROR(Table8[[#This Row],[Breakdown Time]]*Table8[[#This Row],[Plant Equivalent Weightage]],"")</f>
        <v>0.88034188034188021</v>
      </c>
      <c r="U25" t="s">
        <v>766</v>
      </c>
      <c r="V25" s="107">
        <v>2060</v>
      </c>
      <c r="W25" t="s">
        <v>747</v>
      </c>
    </row>
    <row r="26" spans="1:23">
      <c r="A26" s="105">
        <f t="shared" si="0"/>
        <v>25</v>
      </c>
      <c r="B26">
        <f>YEAR(Table8[[#This Row],[Date]])+IF(MONTH(Table8[[#This Row],[Date]])&gt;=4,1,0)</f>
        <v>2026</v>
      </c>
      <c r="C26" s="105">
        <f>YEAR(Table6[[#This Row],[Date]])</f>
        <v>2025</v>
      </c>
      <c r="D26" s="105" t="s">
        <v>740</v>
      </c>
      <c r="E26" s="119">
        <f>Table8[[#This Row],[Date]]-DAY(Table8[[#This Row],[Date]])+1</f>
        <v>45778</v>
      </c>
      <c r="F26" s="118">
        <v>45800</v>
      </c>
      <c r="G26" t="s">
        <v>763</v>
      </c>
      <c r="H26" t="s">
        <v>742</v>
      </c>
      <c r="I26" t="s">
        <v>743</v>
      </c>
      <c r="J26" s="329">
        <f>IFERROR(_xlfn.XLOOKUP(Table8[[#This Row],[Affected Feeder ]],'Basic Data'!$A:$A,'Basic Data'!$E:$E),"")</f>
        <v>0.12820512820512819</v>
      </c>
      <c r="K26" t="s">
        <v>780</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781</v>
      </c>
      <c r="S26" t="s">
        <v>476</v>
      </c>
      <c r="T26" s="130">
        <f>IFERROR(Table8[[#This Row],[Breakdown Time]]*Table8[[#This Row],[Plant Equivalent Weightage]],"")</f>
        <v>0.15598290598290576</v>
      </c>
      <c r="U26" t="s">
        <v>755</v>
      </c>
      <c r="V26" s="107">
        <v>1216.6666666666649</v>
      </c>
      <c r="W26" t="s">
        <v>782</v>
      </c>
    </row>
    <row r="27" spans="1:23">
      <c r="A27" s="105">
        <f t="shared" si="0"/>
        <v>26</v>
      </c>
      <c r="B27">
        <f>YEAR(Table8[[#This Row],[Date]])+IF(MONTH(Table8[[#This Row],[Date]])&gt;=4,1,0)</f>
        <v>2026</v>
      </c>
      <c r="C27" s="105">
        <f>YEAR(Table6[[#This Row],[Date]])</f>
        <v>2025</v>
      </c>
      <c r="D27" s="105" t="s">
        <v>740</v>
      </c>
      <c r="E27" s="119">
        <f>Table8[[#This Row],[Date]]-DAY(Table8[[#This Row],[Date]])+1</f>
        <v>45778</v>
      </c>
      <c r="F27" s="118">
        <v>45800</v>
      </c>
      <c r="G27" t="s">
        <v>769</v>
      </c>
      <c r="H27" t="s">
        <v>742</v>
      </c>
      <c r="I27" t="s">
        <v>743</v>
      </c>
      <c r="J27" s="329">
        <f>IFERROR(_xlfn.XLOOKUP(Table8[[#This Row],[Affected Feeder ]],'Basic Data'!$A:$A,'Basic Data'!$E:$E),"")</f>
        <v>0.12820512820512819</v>
      </c>
      <c r="K27" t="s">
        <v>783</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784</v>
      </c>
      <c r="S27" t="s">
        <v>476</v>
      </c>
      <c r="T27" s="130">
        <f>IFERROR(Table8[[#This Row],[Breakdown Time]]*Table8[[#This Row],[Plant Equivalent Weightage]],"")</f>
        <v>4.4871794871794705E-2</v>
      </c>
      <c r="U27" t="s">
        <v>755</v>
      </c>
      <c r="V27" s="107">
        <v>349.99999999999875</v>
      </c>
      <c r="W27" t="s">
        <v>747</v>
      </c>
    </row>
    <row r="28" spans="1:23">
      <c r="A28" s="105">
        <f t="shared" si="0"/>
        <v>27</v>
      </c>
      <c r="B28">
        <f>YEAR(Table8[[#This Row],[Date]])+IF(MONTH(Table8[[#This Row],[Date]])&gt;=4,1,0)</f>
        <v>2026</v>
      </c>
      <c r="C28" s="105">
        <f>YEAR(Table6[[#This Row],[Date]])</f>
        <v>2025</v>
      </c>
      <c r="D28" s="105" t="s">
        <v>740</v>
      </c>
      <c r="E28" s="119">
        <f>Table8[[#This Row],[Date]]-DAY(Table8[[#This Row],[Date]])+1</f>
        <v>45778</v>
      </c>
      <c r="F28" s="118">
        <v>45801</v>
      </c>
      <c r="G28" t="s">
        <v>756</v>
      </c>
      <c r="H28" t="s">
        <v>742</v>
      </c>
      <c r="I28" t="s">
        <v>743</v>
      </c>
      <c r="J28" s="329">
        <f>IFERROR(_xlfn.XLOOKUP(Table8[[#This Row],[Affected Feeder ]],'Basic Data'!$A:$A,'Basic Data'!$E:$E),"")</f>
        <v>0.25641025641025639</v>
      </c>
      <c r="K28" t="s">
        <v>785</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784</v>
      </c>
      <c r="S28" t="s">
        <v>476</v>
      </c>
      <c r="T28" s="130">
        <f>IFERROR(Table8[[#This Row],[Breakdown Time]]*Table8[[#This Row],[Plant Equivalent Weightage]],"")</f>
        <v>0.17521367521367526</v>
      </c>
      <c r="U28" t="s">
        <v>755</v>
      </c>
      <c r="V28" s="107">
        <v>1777</v>
      </c>
      <c r="W28" t="s">
        <v>747</v>
      </c>
    </row>
    <row r="29" spans="1:23">
      <c r="A29" s="105">
        <f t="shared" si="0"/>
        <v>28</v>
      </c>
      <c r="B29">
        <f>YEAR(Table8[[#This Row],[Date]])+IF(MONTH(Table8[[#This Row],[Date]])&gt;=4,1,0)</f>
        <v>2026</v>
      </c>
      <c r="C29" s="105">
        <f>YEAR(Table6[[#This Row],[Date]])</f>
        <v>2025</v>
      </c>
      <c r="D29" s="105" t="s">
        <v>740</v>
      </c>
      <c r="E29" s="119">
        <f>Table8[[#This Row],[Date]]-DAY(Table8[[#This Row],[Date]])+1</f>
        <v>45778</v>
      </c>
      <c r="F29" s="118">
        <v>45804</v>
      </c>
      <c r="G29" t="s">
        <v>741</v>
      </c>
      <c r="H29" t="s">
        <v>742</v>
      </c>
      <c r="I29" t="s">
        <v>743</v>
      </c>
      <c r="J29" s="329">
        <f>IFERROR(_xlfn.XLOOKUP(Table8[[#This Row],[Affected Feeder ]],'Basic Data'!$A:$A,'Basic Data'!$E:$E),"")</f>
        <v>0.25641025641025639</v>
      </c>
      <c r="K29" t="s">
        <v>744</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745</v>
      </c>
      <c r="S29" t="s">
        <v>476</v>
      </c>
      <c r="T29" s="130">
        <f>IFERROR(Table8[[#This Row],[Breakdown Time]]*Table8[[#This Row],[Plant Equivalent Weightage]],"")</f>
        <v>2.5641025641025546E-2</v>
      </c>
      <c r="U29" t="s">
        <v>755</v>
      </c>
      <c r="V29" s="107">
        <v>429.99999999999841</v>
      </c>
      <c r="W29" t="s">
        <v>747</v>
      </c>
    </row>
    <row r="30" spans="1:23">
      <c r="A30" s="105">
        <f t="shared" si="0"/>
        <v>29</v>
      </c>
      <c r="B30">
        <f>YEAR(Table8[[#This Row],[Date]])+IF(MONTH(Table8[[#This Row],[Date]])&gt;=4,1,0)</f>
        <v>2026</v>
      </c>
      <c r="C30" s="105">
        <f>YEAR(Table6[[#This Row],[Date]])</f>
        <v>2025</v>
      </c>
      <c r="D30" s="105" t="s">
        <v>740</v>
      </c>
      <c r="E30" s="119">
        <f>Table8[[#This Row],[Date]]-DAY(Table8[[#This Row],[Date]])+1</f>
        <v>45778</v>
      </c>
      <c r="F30" s="118">
        <v>45804</v>
      </c>
      <c r="G30" t="s">
        <v>748</v>
      </c>
      <c r="H30" t="s">
        <v>742</v>
      </c>
      <c r="I30" t="s">
        <v>743</v>
      </c>
      <c r="J30" s="329">
        <f>IFERROR(_xlfn.XLOOKUP(Table8[[#This Row],[Affected Feeder ]],'Basic Data'!$A:$A,'Basic Data'!$E:$E),"")</f>
        <v>0.23076923076923078</v>
      </c>
      <c r="K30" t="s">
        <v>761</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786</v>
      </c>
      <c r="S30" t="s">
        <v>476</v>
      </c>
      <c r="T30" s="130">
        <f>IFERROR(Table8[[#This Row],[Breakdown Time]]*Table8[[#This Row],[Plant Equivalent Weightage]],"")</f>
        <v>0.96153846153846123</v>
      </c>
      <c r="U30" t="s">
        <v>755</v>
      </c>
      <c r="V30" s="107">
        <v>22687.499999999993</v>
      </c>
      <c r="W30" t="s">
        <v>747</v>
      </c>
    </row>
    <row r="31" spans="1:23">
      <c r="A31" s="105">
        <f t="shared" si="0"/>
        <v>30</v>
      </c>
      <c r="B31">
        <f>YEAR(Table8[[#This Row],[Date]])+IF(MONTH(Table8[[#This Row],[Date]])&gt;=4,1,0)</f>
        <v>2026</v>
      </c>
      <c r="C31" s="105">
        <f>YEAR(Table6[[#This Row],[Date]])</f>
        <v>2025</v>
      </c>
      <c r="D31" s="105" t="s">
        <v>740</v>
      </c>
      <c r="E31" s="119">
        <f>Table8[[#This Row],[Date]]-DAY(Table8[[#This Row],[Date]])+1</f>
        <v>45778</v>
      </c>
      <c r="F31" s="118">
        <v>45805</v>
      </c>
      <c r="G31" t="s">
        <v>741</v>
      </c>
      <c r="H31" t="s">
        <v>742</v>
      </c>
      <c r="I31" t="s">
        <v>743</v>
      </c>
      <c r="J31" s="329">
        <f>IFERROR(_xlfn.XLOOKUP(Table8[[#This Row],[Affected Feeder ]],'Basic Data'!$A:$A,'Basic Data'!$E:$E),"")</f>
        <v>0.25641025641025639</v>
      </c>
      <c r="K31" t="s">
        <v>744</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745</v>
      </c>
      <c r="S31" t="s">
        <v>476</v>
      </c>
      <c r="T31" s="130">
        <f>IFERROR(Table8[[#This Row],[Breakdown Time]]*Table8[[#This Row],[Plant Equivalent Weightage]],"")</f>
        <v>1.7094017094017033E-2</v>
      </c>
      <c r="U31" t="s">
        <v>755</v>
      </c>
      <c r="V31" s="107">
        <v>203</v>
      </c>
      <c r="W31" t="s">
        <v>747</v>
      </c>
    </row>
    <row r="32" spans="1:23">
      <c r="A32" s="105">
        <f t="shared" si="0"/>
        <v>31</v>
      </c>
      <c r="B32">
        <f>YEAR(Table8[[#This Row],[Date]])+IF(MONTH(Table8[[#This Row],[Date]])&gt;=4,1,0)</f>
        <v>2026</v>
      </c>
      <c r="C32" s="105">
        <f>YEAR(Table6[[#This Row],[Date]])</f>
        <v>2025</v>
      </c>
      <c r="D32" s="105" t="s">
        <v>740</v>
      </c>
      <c r="E32" s="119">
        <f>Table8[[#This Row],[Date]]-DAY(Table8[[#This Row],[Date]])+1</f>
        <v>45778</v>
      </c>
      <c r="F32" s="118">
        <v>45806</v>
      </c>
      <c r="G32" t="s">
        <v>741</v>
      </c>
      <c r="H32" t="s">
        <v>742</v>
      </c>
      <c r="I32" t="s">
        <v>743</v>
      </c>
      <c r="J32" s="329">
        <f>IFERROR(_xlfn.XLOOKUP(Table8[[#This Row],[Affected Feeder ]],'Basic Data'!$A:$A,'Basic Data'!$E:$E),"")</f>
        <v>0.25641025641025639</v>
      </c>
      <c r="K32" t="s">
        <v>744</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745</v>
      </c>
      <c r="S32" t="s">
        <v>476</v>
      </c>
      <c r="T32" s="130">
        <f>IFERROR(Table8[[#This Row],[Breakdown Time]]*Table8[[#This Row],[Plant Equivalent Weightage]],"")</f>
        <v>2.564102564102589E-2</v>
      </c>
      <c r="U32" t="s">
        <v>755</v>
      </c>
      <c r="V32" s="107">
        <v>555.00000000000546</v>
      </c>
      <c r="W32" t="s">
        <v>747</v>
      </c>
    </row>
    <row r="33" spans="1:23">
      <c r="A33" s="105">
        <f t="shared" si="0"/>
        <v>32</v>
      </c>
      <c r="B33">
        <f>YEAR(Table8[[#This Row],[Date]])+IF(MONTH(Table8[[#This Row],[Date]])&gt;=4,1,0)</f>
        <v>2026</v>
      </c>
      <c r="C33" s="105">
        <f>YEAR(Table6[[#This Row],[Date]])</f>
        <v>2025</v>
      </c>
      <c r="D33" s="105" t="s">
        <v>740</v>
      </c>
      <c r="E33" s="119">
        <f>Table8[[#This Row],[Date]]-DAY(Table8[[#This Row],[Date]])+1</f>
        <v>45778</v>
      </c>
      <c r="F33" s="118">
        <v>45806</v>
      </c>
      <c r="G33" t="s">
        <v>741</v>
      </c>
      <c r="H33" t="s">
        <v>742</v>
      </c>
      <c r="I33" t="s">
        <v>743</v>
      </c>
      <c r="J33" s="329">
        <f>IFERROR(_xlfn.XLOOKUP(Table8[[#This Row],[Affected Feeder ]],'Basic Data'!$A:$A,'Basic Data'!$E:$E),"")</f>
        <v>0.25641025641025639</v>
      </c>
      <c r="K33" t="s">
        <v>744</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745</v>
      </c>
      <c r="S33" t="s">
        <v>476</v>
      </c>
      <c r="T33" s="130">
        <f>IFERROR(Table8[[#This Row],[Breakdown Time]]*Table8[[#This Row],[Plant Equivalent Weightage]],"")</f>
        <v>1.7094017094017033E-2</v>
      </c>
      <c r="U33" t="s">
        <v>746</v>
      </c>
      <c r="V33" s="107">
        <v>369.99999999999875</v>
      </c>
      <c r="W33" t="s">
        <v>747</v>
      </c>
    </row>
    <row r="34" spans="1:23">
      <c r="A34" s="105">
        <f t="shared" si="0"/>
        <v>33</v>
      </c>
      <c r="B34">
        <f>YEAR(Table8[[#This Row],[Date]])+IF(MONTH(Table8[[#This Row],[Date]])&gt;=4,1,0)</f>
        <v>2026</v>
      </c>
      <c r="C34" s="105">
        <f>YEAR(Table6[[#This Row],[Date]])</f>
        <v>2025</v>
      </c>
      <c r="D34" s="105" t="s">
        <v>740</v>
      </c>
      <c r="E34" s="119">
        <f>Table8[[#This Row],[Date]]-DAY(Table8[[#This Row],[Date]])+1</f>
        <v>45778</v>
      </c>
      <c r="F34" s="118">
        <v>45808</v>
      </c>
      <c r="G34" t="s">
        <v>787</v>
      </c>
      <c r="H34" t="s">
        <v>742</v>
      </c>
      <c r="I34" t="s">
        <v>743</v>
      </c>
      <c r="J34" s="329">
        <f>IFERROR(_xlfn.XLOOKUP(Table8[[#This Row],[Affected Feeder ]],'Basic Data'!$A:$A,'Basic Data'!$E:$E),"")</f>
        <v>0.10256410256410256</v>
      </c>
      <c r="K34" t="s">
        <v>744</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788</v>
      </c>
      <c r="S34" t="s">
        <v>476</v>
      </c>
      <c r="T34" s="130">
        <f>IFERROR(Table8[[#This Row],[Breakdown Time]]*Table8[[#This Row],[Plant Equivalent Weightage]],"")</f>
        <v>0.15897435897435894</v>
      </c>
      <c r="U34" t="s">
        <v>755</v>
      </c>
      <c r="V34" s="107">
        <v>11314.999999999998</v>
      </c>
      <c r="W34" t="s">
        <v>747</v>
      </c>
    </row>
    <row r="35" spans="1:23">
      <c r="A35" s="105">
        <f t="shared" si="0"/>
        <v>34</v>
      </c>
      <c r="B35">
        <f>YEAR(Table8[[#This Row],[Date]])+IF(MONTH(Table8[[#This Row],[Date]])&gt;=4,1,0)</f>
        <v>2026</v>
      </c>
      <c r="C35" s="105">
        <f>YEAR(Table6[[#This Row],[Date]])</f>
        <v>2025</v>
      </c>
      <c r="D35" s="105" t="s">
        <v>740</v>
      </c>
      <c r="E35" s="119">
        <f>Table8[[#This Row],[Date]]-DAY(Table8[[#This Row],[Date]])+1</f>
        <v>45778</v>
      </c>
      <c r="F35" s="118">
        <v>45808</v>
      </c>
      <c r="G35" t="s">
        <v>775</v>
      </c>
      <c r="H35" t="s">
        <v>742</v>
      </c>
      <c r="I35" t="s">
        <v>743</v>
      </c>
      <c r="J35" s="329">
        <f>IFERROR(_xlfn.XLOOKUP(Table8[[#This Row],[Affected Feeder ]],'Basic Data'!$A:$A,'Basic Data'!$E:$E),"")</f>
        <v>0.15384615384615385</v>
      </c>
      <c r="K35" t="s">
        <v>744</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789</v>
      </c>
      <c r="S35" t="s">
        <v>476</v>
      </c>
      <c r="T35" s="130">
        <f>IFERROR(Table8[[#This Row],[Breakdown Time]]*Table8[[#This Row],[Plant Equivalent Weightage]],"")</f>
        <v>0.41025641025641024</v>
      </c>
      <c r="U35" t="s">
        <v>755</v>
      </c>
      <c r="V35" s="107">
        <v>19466.666666666664</v>
      </c>
      <c r="W35" t="s">
        <v>747</v>
      </c>
    </row>
    <row r="36" spans="1:23">
      <c r="A36" s="105">
        <f t="shared" si="0"/>
        <v>35</v>
      </c>
      <c r="B36">
        <f>YEAR(Table8[[#This Row],[Date]])+IF(MONTH(Table8[[#This Row],[Date]])&gt;=4,1,0)</f>
        <v>2026</v>
      </c>
      <c r="C36" s="105">
        <f>YEAR(Table6[[#This Row],[Date]])</f>
        <v>2025</v>
      </c>
      <c r="D36" s="105" t="s">
        <v>740</v>
      </c>
      <c r="E36" s="119">
        <f>Table8[[#This Row],[Date]]-DAY(Table8[[#This Row],[Date]])+1</f>
        <v>45809</v>
      </c>
      <c r="F36" s="118">
        <v>45809</v>
      </c>
      <c r="G36" t="s">
        <v>741</v>
      </c>
      <c r="H36" t="s">
        <v>742</v>
      </c>
      <c r="I36" t="s">
        <v>743</v>
      </c>
      <c r="J36" s="329">
        <f>IFERROR(_xlfn.XLOOKUP(Table8[[#This Row],[Affected Feeder ]],'Basic Data'!$A:$A,'Basic Data'!$E:$E),"")</f>
        <v>0.25641025641025639</v>
      </c>
      <c r="K36" t="s">
        <v>744</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745</v>
      </c>
      <c r="S36" t="s">
        <v>476</v>
      </c>
      <c r="T36" s="130">
        <f>IFERROR(Table8[[#This Row],[Breakdown Time]]*Table8[[#This Row],[Plant Equivalent Weightage]],"")</f>
        <v>8.5470085470085166E-3</v>
      </c>
      <c r="U36" t="s">
        <v>746</v>
      </c>
      <c r="V36" s="107">
        <v>248.33333333333243</v>
      </c>
      <c r="W36" t="s">
        <v>747</v>
      </c>
    </row>
    <row r="37" spans="1:23">
      <c r="A37" s="105">
        <f t="shared" si="0"/>
        <v>36</v>
      </c>
      <c r="B37">
        <f>YEAR(Table8[[#This Row],[Date]])+IF(MONTH(Table8[[#This Row],[Date]])&gt;=4,1,0)</f>
        <v>2026</v>
      </c>
      <c r="C37" s="105">
        <f>YEAR(Table6[[#This Row],[Date]])</f>
        <v>2025</v>
      </c>
      <c r="D37" s="105" t="s">
        <v>740</v>
      </c>
      <c r="E37" s="119">
        <f>Table8[[#This Row],[Date]]-DAY(Table8[[#This Row],[Date]])+1</f>
        <v>45809</v>
      </c>
      <c r="F37" s="118">
        <v>45809</v>
      </c>
      <c r="G37" t="s">
        <v>750</v>
      </c>
      <c r="H37" t="s">
        <v>742</v>
      </c>
      <c r="I37" t="s">
        <v>743</v>
      </c>
      <c r="J37" s="329">
        <f>IFERROR(_xlfn.XLOOKUP(Table8[[#This Row],[Affected Feeder ]],'Basic Data'!$A:$A,'Basic Data'!$E:$E),"")</f>
        <v>0.25641025641025639</v>
      </c>
      <c r="K37" t="s">
        <v>762</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745</v>
      </c>
      <c r="S37" t="s">
        <v>476</v>
      </c>
      <c r="T37" s="130">
        <f>IFERROR(Table8[[#This Row],[Breakdown Time]]*Table8[[#This Row],[Plant Equivalent Weightage]],"")</f>
        <v>1.2820512820512773E-2</v>
      </c>
      <c r="U37" t="s">
        <v>746</v>
      </c>
      <c r="V37" s="107">
        <v>312.49999999999892</v>
      </c>
      <c r="W37" t="s">
        <v>747</v>
      </c>
    </row>
    <row r="38" spans="1:23">
      <c r="A38" s="105">
        <f t="shared" si="0"/>
        <v>37</v>
      </c>
      <c r="B38">
        <f>YEAR(Table8[[#This Row],[Date]])+IF(MONTH(Table8[[#This Row],[Date]])&gt;=4,1,0)</f>
        <v>2026</v>
      </c>
      <c r="C38" s="105">
        <f>YEAR(Table6[[#This Row],[Date]])</f>
        <v>2025</v>
      </c>
      <c r="D38" s="105" t="s">
        <v>740</v>
      </c>
      <c r="E38" s="119">
        <f>Table8[[#This Row],[Date]]-DAY(Table8[[#This Row],[Date]])+1</f>
        <v>45809</v>
      </c>
      <c r="F38" s="118">
        <v>45810</v>
      </c>
      <c r="G38" t="s">
        <v>787</v>
      </c>
      <c r="H38" t="s">
        <v>742</v>
      </c>
      <c r="I38" t="s">
        <v>743</v>
      </c>
      <c r="J38" s="329">
        <f>IFERROR(_xlfn.XLOOKUP(Table8[[#This Row],[Affected Feeder ]],'Basic Data'!$A:$A,'Basic Data'!$E:$E),"")</f>
        <v>0.10256410256410256</v>
      </c>
      <c r="K38" t="s">
        <v>776</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765</v>
      </c>
      <c r="S38" t="s">
        <v>476</v>
      </c>
      <c r="T38" s="130">
        <f>IFERROR(Table8[[#This Row],[Breakdown Time]]*Table8[[#This Row],[Plant Equivalent Weightage]],"")</f>
        <v>0.10256410256410246</v>
      </c>
      <c r="U38" t="s">
        <v>766</v>
      </c>
      <c r="V38" s="107">
        <v>3699.9999999999968</v>
      </c>
      <c r="W38" t="s">
        <v>747</v>
      </c>
    </row>
    <row r="39" spans="1:23">
      <c r="A39" s="105">
        <f t="shared" si="0"/>
        <v>38</v>
      </c>
      <c r="B39">
        <f>YEAR(Table8[[#This Row],[Date]])+IF(MONTH(Table8[[#This Row],[Date]])&gt;=4,1,0)</f>
        <v>2026</v>
      </c>
      <c r="C39" s="105">
        <f>YEAR(Table6[[#This Row],[Date]])</f>
        <v>2025</v>
      </c>
      <c r="D39" s="105" t="s">
        <v>740</v>
      </c>
      <c r="E39" s="119">
        <f>Table8[[#This Row],[Date]]-DAY(Table8[[#This Row],[Date]])+1</f>
        <v>45809</v>
      </c>
      <c r="F39" s="118">
        <v>45811</v>
      </c>
      <c r="G39" t="s">
        <v>741</v>
      </c>
      <c r="H39" t="s">
        <v>742</v>
      </c>
      <c r="I39" t="s">
        <v>743</v>
      </c>
      <c r="J39" s="329">
        <f>IFERROR(_xlfn.XLOOKUP(Table8[[#This Row],[Affected Feeder ]],'Basic Data'!$A:$A,'Basic Data'!$E:$E),"")</f>
        <v>0.25641025641025639</v>
      </c>
      <c r="K39" t="s">
        <v>744</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745</v>
      </c>
      <c r="S39" t="s">
        <v>476</v>
      </c>
      <c r="T39" s="130">
        <f>IFERROR(Table8[[#This Row],[Breakdown Time]]*Table8[[#This Row],[Plant Equivalent Weightage]],"")</f>
        <v>5.9829059829059783E-2</v>
      </c>
      <c r="U39" t="s">
        <v>746</v>
      </c>
      <c r="V39" s="107">
        <v>1702</v>
      </c>
      <c r="W39" t="s">
        <v>747</v>
      </c>
    </row>
    <row r="40" spans="1:23">
      <c r="A40" s="105">
        <f t="shared" si="0"/>
        <v>39</v>
      </c>
      <c r="B40">
        <f>YEAR(Table8[[#This Row],[Date]])+IF(MONTH(Table8[[#This Row],[Date]])&gt;=4,1,0)</f>
        <v>2026</v>
      </c>
      <c r="C40" s="105">
        <f>YEAR(Table6[[#This Row],[Date]])</f>
        <v>2025</v>
      </c>
      <c r="D40" s="105" t="s">
        <v>740</v>
      </c>
      <c r="E40" s="119">
        <f>Table8[[#This Row],[Date]]-DAY(Table8[[#This Row],[Date]])+1</f>
        <v>45809</v>
      </c>
      <c r="F40" s="118">
        <v>45812</v>
      </c>
      <c r="G40" t="s">
        <v>748</v>
      </c>
      <c r="H40" t="s">
        <v>742</v>
      </c>
      <c r="I40" t="s">
        <v>743</v>
      </c>
      <c r="J40" s="329">
        <f>IFERROR(_xlfn.XLOOKUP(Table8[[#This Row],[Affected Feeder ]],'Basic Data'!$A:$A,'Basic Data'!$E:$E),"")</f>
        <v>0.23076923076923078</v>
      </c>
      <c r="K40" t="s">
        <v>790</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778</v>
      </c>
      <c r="S40" t="s">
        <v>476</v>
      </c>
      <c r="T40" s="130">
        <f>IFERROR(Table8[[#This Row],[Breakdown Time]]*Table8[[#This Row],[Plant Equivalent Weightage]],"")</f>
        <v>0.85000000000000009</v>
      </c>
      <c r="U40" t="s">
        <v>766</v>
      </c>
      <c r="V40" s="107">
        <v>8121.7500000000009</v>
      </c>
      <c r="W40" t="s">
        <v>747</v>
      </c>
    </row>
    <row r="41" spans="1:23">
      <c r="A41" s="105">
        <f t="shared" si="0"/>
        <v>40</v>
      </c>
      <c r="B41">
        <f>YEAR(Table8[[#This Row],[Date]])+IF(MONTH(Table8[[#This Row],[Date]])&gt;=4,1,0)</f>
        <v>2026</v>
      </c>
      <c r="C41" s="105">
        <f>YEAR(Table6[[#This Row],[Date]])</f>
        <v>2025</v>
      </c>
      <c r="D41" s="105" t="s">
        <v>740</v>
      </c>
      <c r="E41" s="119">
        <f>Table8[[#This Row],[Date]]-DAY(Table8[[#This Row],[Date]])+1</f>
        <v>45809</v>
      </c>
      <c r="F41" s="118">
        <v>45812</v>
      </c>
      <c r="G41" t="s">
        <v>756</v>
      </c>
      <c r="H41" t="s">
        <v>742</v>
      </c>
      <c r="I41" t="s">
        <v>743</v>
      </c>
      <c r="J41" s="329">
        <f>IFERROR(_xlfn.XLOOKUP(Table8[[#This Row],[Affected Feeder ]],'Basic Data'!$A:$A,'Basic Data'!$E:$E),"")</f>
        <v>0.25641025641025639</v>
      </c>
      <c r="K41" t="s">
        <v>791</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778</v>
      </c>
      <c r="S41" t="s">
        <v>476</v>
      </c>
      <c r="T41" s="130">
        <f>IFERROR(Table8[[#This Row],[Breakdown Time]]*Table8[[#This Row],[Plant Equivalent Weightage]],"")</f>
        <v>0.94444444444444442</v>
      </c>
      <c r="U41" t="s">
        <v>766</v>
      </c>
      <c r="V41" s="107">
        <v>8594.4444444444453</v>
      </c>
      <c r="W41" t="s">
        <v>747</v>
      </c>
    </row>
    <row r="42" spans="1:23">
      <c r="A42" s="105">
        <f t="shared" si="0"/>
        <v>41</v>
      </c>
      <c r="B42">
        <f>YEAR(Table8[[#This Row],[Date]])+IF(MONTH(Table8[[#This Row],[Date]])&gt;=4,1,0)</f>
        <v>2026</v>
      </c>
      <c r="C42" s="105">
        <f>YEAR(Table6[[#This Row],[Date]])</f>
        <v>2025</v>
      </c>
      <c r="D42" s="105" t="s">
        <v>740</v>
      </c>
      <c r="E42" s="119">
        <f>Table8[[#This Row],[Date]]-DAY(Table8[[#This Row],[Date]])+1</f>
        <v>45809</v>
      </c>
      <c r="F42" s="118">
        <v>45812</v>
      </c>
      <c r="G42" t="s">
        <v>741</v>
      </c>
      <c r="H42" t="s">
        <v>742</v>
      </c>
      <c r="I42" t="s">
        <v>743</v>
      </c>
      <c r="J42" s="329">
        <f>IFERROR(_xlfn.XLOOKUP(Table8[[#This Row],[Affected Feeder ]],'Basic Data'!$A:$A,'Basic Data'!$E:$E),"")</f>
        <v>0.25641025641025639</v>
      </c>
      <c r="K42" t="s">
        <v>744</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745</v>
      </c>
      <c r="S42" t="s">
        <v>476</v>
      </c>
      <c r="T42" s="130">
        <f>IFERROR(Table8[[#This Row],[Breakdown Time]]*Table8[[#This Row],[Plant Equivalent Weightage]],"")</f>
        <v>6.4102564102564555E-2</v>
      </c>
      <c r="U42" t="s">
        <v>755</v>
      </c>
      <c r="V42" s="107">
        <v>312.50000000000222</v>
      </c>
      <c r="W42" t="s">
        <v>747</v>
      </c>
    </row>
    <row r="43" spans="1:23">
      <c r="A43" s="105">
        <f t="shared" si="0"/>
        <v>42</v>
      </c>
      <c r="B43">
        <f>YEAR(Table8[[#This Row],[Date]])+IF(MONTH(Table8[[#This Row],[Date]])&gt;=4,1,0)</f>
        <v>2026</v>
      </c>
      <c r="C43" s="105">
        <f>YEAR(Table6[[#This Row],[Date]])</f>
        <v>2025</v>
      </c>
      <c r="D43" s="105" t="s">
        <v>740</v>
      </c>
      <c r="E43" s="119">
        <f>Table8[[#This Row],[Date]]-DAY(Table8[[#This Row],[Date]])+1</f>
        <v>45809</v>
      </c>
      <c r="F43" s="118">
        <v>45812</v>
      </c>
      <c r="G43" t="s">
        <v>741</v>
      </c>
      <c r="H43" t="s">
        <v>742</v>
      </c>
      <c r="I43" t="s">
        <v>743</v>
      </c>
      <c r="J43" s="329">
        <f>IFERROR(_xlfn.XLOOKUP(Table8[[#This Row],[Affected Feeder ]],'Basic Data'!$A:$A,'Basic Data'!$E:$E),"")</f>
        <v>0.25641025641025639</v>
      </c>
      <c r="K43" t="s">
        <v>792</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793</v>
      </c>
      <c r="S43" t="s">
        <v>476</v>
      </c>
      <c r="T43" s="130">
        <f>IFERROR(Table8[[#This Row],[Breakdown Time]]*Table8[[#This Row],[Plant Equivalent Weightage]],"")</f>
        <v>1.1324786324786325</v>
      </c>
      <c r="U43" t="s">
        <v>755</v>
      </c>
      <c r="V43" s="107">
        <v>5520.8333333333339</v>
      </c>
      <c r="W43" t="s">
        <v>747</v>
      </c>
    </row>
    <row r="44" spans="1:23">
      <c r="A44" s="105">
        <f t="shared" si="0"/>
        <v>43</v>
      </c>
      <c r="B44">
        <f>YEAR(Table8[[#This Row],[Date]])+IF(MONTH(Table8[[#This Row],[Date]])&gt;=4,1,0)</f>
        <v>2026</v>
      </c>
      <c r="C44" s="105">
        <f>YEAR(Table6[[#This Row],[Date]])</f>
        <v>2025</v>
      </c>
      <c r="D44" s="105" t="s">
        <v>740</v>
      </c>
      <c r="E44" s="119">
        <f>Table8[[#This Row],[Date]]-DAY(Table8[[#This Row],[Date]])+1</f>
        <v>45809</v>
      </c>
      <c r="F44" s="118">
        <v>45816</v>
      </c>
      <c r="G44" t="s">
        <v>741</v>
      </c>
      <c r="H44" t="s">
        <v>742</v>
      </c>
      <c r="I44" t="s">
        <v>743</v>
      </c>
      <c r="J44" s="329">
        <f>IFERROR(_xlfn.XLOOKUP(Table8[[#This Row],[Affected Feeder ]],'Basic Data'!$A:$A,'Basic Data'!$E:$E),"")</f>
        <v>0.25641025641025639</v>
      </c>
      <c r="K44" t="s">
        <v>744</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745</v>
      </c>
      <c r="S44" t="s">
        <v>476</v>
      </c>
      <c r="T44" s="130">
        <f>IFERROR(Table8[[#This Row],[Breakdown Time]]*Table8[[#This Row],[Plant Equivalent Weightage]],"")</f>
        <v>8.5470085470085166E-3</v>
      </c>
      <c r="U44" t="s">
        <v>746</v>
      </c>
      <c r="V44" s="107">
        <v>179.16666666666603</v>
      </c>
      <c r="W44" t="s">
        <v>747</v>
      </c>
    </row>
    <row r="45" spans="1:23">
      <c r="A45" s="105">
        <f t="shared" si="0"/>
        <v>44</v>
      </c>
      <c r="B45">
        <f>YEAR(Table8[[#This Row],[Date]])+IF(MONTH(Table8[[#This Row],[Date]])&gt;=4,1,0)</f>
        <v>2026</v>
      </c>
      <c r="C45" s="105">
        <f>YEAR(Table6[[#This Row],[Date]])</f>
        <v>2025</v>
      </c>
      <c r="D45" s="105" t="s">
        <v>740</v>
      </c>
      <c r="E45" s="119">
        <f>Table8[[#This Row],[Date]]-DAY(Table8[[#This Row],[Date]])+1</f>
        <v>45809</v>
      </c>
      <c r="F45" s="118">
        <v>45816</v>
      </c>
      <c r="G45" t="s">
        <v>741</v>
      </c>
      <c r="H45" t="s">
        <v>742</v>
      </c>
      <c r="I45" t="s">
        <v>743</v>
      </c>
      <c r="J45" s="329">
        <f>IFERROR(_xlfn.XLOOKUP(Table8[[#This Row],[Affected Feeder ]],'Basic Data'!$A:$A,'Basic Data'!$E:$E),"")</f>
        <v>0.25641025641025639</v>
      </c>
      <c r="K45" t="s">
        <v>794</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795</v>
      </c>
      <c r="S45" t="s">
        <v>476</v>
      </c>
      <c r="T45" s="130">
        <f>IFERROR(Table8[[#This Row],[Breakdown Time]]*Table8[[#This Row],[Plant Equivalent Weightage]],"")</f>
        <v>0.52564102564102577</v>
      </c>
      <c r="U45" t="s">
        <v>746</v>
      </c>
      <c r="V45" s="107">
        <v>11018.750000000004</v>
      </c>
      <c r="W45" t="s">
        <v>747</v>
      </c>
    </row>
    <row r="46" spans="1:23">
      <c r="A46" s="105">
        <f t="shared" si="0"/>
        <v>45</v>
      </c>
      <c r="B46">
        <f>YEAR(Table8[[#This Row],[Date]])+IF(MONTH(Table8[[#This Row],[Date]])&gt;=4,1,0)</f>
        <v>2026</v>
      </c>
      <c r="C46" s="105">
        <f>YEAR(Table6[[#This Row],[Date]])</f>
        <v>2025</v>
      </c>
      <c r="D46" s="105" t="s">
        <v>740</v>
      </c>
      <c r="E46" s="119">
        <f>Table8[[#This Row],[Date]]-DAY(Table8[[#This Row],[Date]])+1</f>
        <v>45809</v>
      </c>
      <c r="F46" s="118">
        <v>45819</v>
      </c>
      <c r="G46" t="s">
        <v>748</v>
      </c>
      <c r="H46" t="s">
        <v>742</v>
      </c>
      <c r="I46" t="s">
        <v>743</v>
      </c>
      <c r="J46" s="329">
        <f>IFERROR(_xlfn.XLOOKUP(Table8[[#This Row],[Affected Feeder ]],'Basic Data'!$A:$A,'Basic Data'!$E:$E),"")</f>
        <v>0.23076923076923078</v>
      </c>
      <c r="K46" t="s">
        <v>796</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745</v>
      </c>
      <c r="S46" t="s">
        <v>476</v>
      </c>
      <c r="T46" s="130">
        <f>IFERROR(Table8[[#This Row],[Breakdown Time]]*Table8[[#This Row],[Plant Equivalent Weightage]],"")</f>
        <v>3.076923076923066E-2</v>
      </c>
      <c r="U46" t="s">
        <v>746</v>
      </c>
      <c r="V46" s="107">
        <v>527</v>
      </c>
      <c r="W46" t="s">
        <v>747</v>
      </c>
    </row>
    <row r="47" spans="1:23">
      <c r="A47" s="105">
        <f t="shared" si="0"/>
        <v>46</v>
      </c>
      <c r="B47">
        <f>YEAR(Table8[[#This Row],[Date]])+IF(MONTH(Table8[[#This Row],[Date]])&gt;=4,1,0)</f>
        <v>2026</v>
      </c>
      <c r="C47" s="105">
        <f>YEAR(Table6[[#This Row],[Date]])</f>
        <v>2025</v>
      </c>
      <c r="D47" s="105" t="s">
        <v>740</v>
      </c>
      <c r="E47" s="119">
        <f>Table8[[#This Row],[Date]]-DAY(Table8[[#This Row],[Date]])+1</f>
        <v>45809</v>
      </c>
      <c r="F47" s="118">
        <v>45821</v>
      </c>
      <c r="G47" t="s">
        <v>775</v>
      </c>
      <c r="H47" t="s">
        <v>742</v>
      </c>
      <c r="I47" t="s">
        <v>743</v>
      </c>
      <c r="J47" s="329">
        <f>IFERROR(_xlfn.XLOOKUP(Table8[[#This Row],[Affected Feeder ]],'Basic Data'!$A:$A,'Basic Data'!$E:$E),"")</f>
        <v>0.15384615384615385</v>
      </c>
      <c r="K47" t="s">
        <v>797</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798</v>
      </c>
      <c r="S47" t="s">
        <v>476</v>
      </c>
      <c r="T47" s="130">
        <f>IFERROR(Table8[[#This Row],[Breakdown Time]]*Table8[[#This Row],[Plant Equivalent Weightage]],"")</f>
        <v>8.9743589743589425E-2</v>
      </c>
      <c r="U47" t="s">
        <v>755</v>
      </c>
      <c r="V47" s="107">
        <v>437</v>
      </c>
      <c r="W47" t="s">
        <v>747</v>
      </c>
    </row>
    <row r="48" spans="1:23">
      <c r="A48" s="105">
        <f t="shared" si="0"/>
        <v>47</v>
      </c>
      <c r="B48">
        <f>YEAR(Table8[[#This Row],[Date]])+IF(MONTH(Table8[[#This Row],[Date]])&gt;=4,1,0)</f>
        <v>2026</v>
      </c>
      <c r="C48" s="105">
        <f>YEAR(Table6[[#This Row],[Date]])</f>
        <v>2025</v>
      </c>
      <c r="D48" s="105" t="s">
        <v>740</v>
      </c>
      <c r="E48" s="119">
        <f>Table8[[#This Row],[Date]]-DAY(Table8[[#This Row],[Date]])+1</f>
        <v>45809</v>
      </c>
      <c r="F48" s="118">
        <v>45824</v>
      </c>
      <c r="G48" t="s">
        <v>741</v>
      </c>
      <c r="H48" t="s">
        <v>742</v>
      </c>
      <c r="I48" t="s">
        <v>743</v>
      </c>
      <c r="J48" s="329">
        <f>IFERROR(_xlfn.XLOOKUP(Table8[[#This Row],[Affected Feeder ]],'Basic Data'!$A:$A,'Basic Data'!$E:$E),"")</f>
        <v>0.25641025641025639</v>
      </c>
      <c r="K48" t="s">
        <v>744</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745</v>
      </c>
      <c r="S48" t="s">
        <v>476</v>
      </c>
      <c r="T48" s="130">
        <f>IFERROR(Table8[[#This Row],[Breakdown Time]]*Table8[[#This Row],[Plant Equivalent Weightage]],"")</f>
        <v>1.7094017094017033E-2</v>
      </c>
      <c r="U48" t="s">
        <v>746</v>
      </c>
      <c r="V48" s="107">
        <v>539</v>
      </c>
      <c r="W48" t="s">
        <v>747</v>
      </c>
    </row>
    <row r="49" spans="1:23">
      <c r="A49" s="105">
        <f t="shared" si="0"/>
        <v>48</v>
      </c>
      <c r="B49">
        <f>YEAR(Table8[[#This Row],[Date]])+IF(MONTH(Table8[[#This Row],[Date]])&gt;=4,1,0)</f>
        <v>2026</v>
      </c>
      <c r="C49" s="105">
        <f>YEAR(Table6[[#This Row],[Date]])</f>
        <v>2025</v>
      </c>
      <c r="D49" s="105" t="s">
        <v>740</v>
      </c>
      <c r="E49" s="119">
        <f>Table8[[#This Row],[Date]]-DAY(Table8[[#This Row],[Date]])+1</f>
        <v>45809</v>
      </c>
      <c r="F49" s="118">
        <v>45826</v>
      </c>
      <c r="G49" t="s">
        <v>750</v>
      </c>
      <c r="H49" t="s">
        <v>742</v>
      </c>
      <c r="I49" t="s">
        <v>743</v>
      </c>
      <c r="J49" s="329">
        <f>IFERROR(_xlfn.XLOOKUP(Table8[[#This Row],[Affected Feeder ]],'Basic Data'!$A:$A,'Basic Data'!$E:$E),"")</f>
        <v>0.25641025641025639</v>
      </c>
      <c r="K49" t="s">
        <v>799</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745</v>
      </c>
      <c r="S49" t="s">
        <v>476</v>
      </c>
      <c r="T49" s="130">
        <f>IFERROR(Table8[[#This Row],[Breakdown Time]]*Table8[[#This Row],[Plant Equivalent Weightage]],"")</f>
        <v>2.1367521367521288E-2</v>
      </c>
      <c r="U49" t="s">
        <v>746</v>
      </c>
      <c r="V49" s="107">
        <v>935</v>
      </c>
      <c r="W49" t="s">
        <v>747</v>
      </c>
    </row>
    <row r="50" spans="1:23">
      <c r="A50" s="105">
        <f t="shared" si="0"/>
        <v>49</v>
      </c>
      <c r="B50">
        <f>YEAR(Table8[[#This Row],[Date]])+IF(MONTH(Table8[[#This Row],[Date]])&gt;=4,1,0)</f>
        <v>2026</v>
      </c>
      <c r="C50" s="105">
        <f>YEAR(Table6[[#This Row],[Date]])</f>
        <v>2025</v>
      </c>
      <c r="D50" s="105" t="s">
        <v>740</v>
      </c>
      <c r="E50" s="119">
        <f>Table8[[#This Row],[Date]]-DAY(Table8[[#This Row],[Date]])+1</f>
        <v>45809</v>
      </c>
      <c r="F50" s="118">
        <v>45833</v>
      </c>
      <c r="G50" t="s">
        <v>756</v>
      </c>
      <c r="H50" t="s">
        <v>742</v>
      </c>
      <c r="I50" t="s">
        <v>743</v>
      </c>
      <c r="J50" s="329">
        <f>IFERROR(_xlfn.XLOOKUP(Table8[[#This Row],[Affected Feeder ]],'Basic Data'!$A:$A,'Basic Data'!$E:$E),"")</f>
        <v>0.25641025641025639</v>
      </c>
      <c r="K50" t="s">
        <v>800</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801</v>
      </c>
      <c r="S50" t="s">
        <v>476</v>
      </c>
      <c r="T50" s="130">
        <f>IFERROR(Table8[[#This Row],[Breakdown Time]]*Table8[[#This Row],[Plant Equivalent Weightage]],"")</f>
        <v>0.36324786324786262</v>
      </c>
      <c r="U50" t="s">
        <v>755</v>
      </c>
      <c r="V50" s="107">
        <v>12070</v>
      </c>
      <c r="W50" t="s">
        <v>782</v>
      </c>
    </row>
    <row r="51" spans="1:23">
      <c r="A51" s="105">
        <f t="shared" si="0"/>
        <v>50</v>
      </c>
      <c r="B51">
        <f>YEAR(Table8[[#This Row],[Date]])+IF(MONTH(Table8[[#This Row],[Date]])&gt;=4,1,0)</f>
        <v>2026</v>
      </c>
      <c r="C51" s="105">
        <f>YEAR(Table6[[#This Row],[Date]])</f>
        <v>2025</v>
      </c>
      <c r="D51" s="105" t="s">
        <v>740</v>
      </c>
      <c r="E51" s="119">
        <f>Table8[[#This Row],[Date]]-DAY(Table8[[#This Row],[Date]])+1</f>
        <v>45809</v>
      </c>
      <c r="F51" s="118">
        <v>45833</v>
      </c>
      <c r="G51" t="s">
        <v>748</v>
      </c>
      <c r="H51" t="s">
        <v>742</v>
      </c>
      <c r="I51" t="s">
        <v>743</v>
      </c>
      <c r="J51" s="329">
        <f>IFERROR(_xlfn.XLOOKUP(Table8[[#This Row],[Affected Feeder ]],'Basic Data'!$A:$A,'Basic Data'!$E:$E),"")</f>
        <v>0.23076923076923078</v>
      </c>
      <c r="K51" t="s">
        <v>800</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801</v>
      </c>
      <c r="S51" t="s">
        <v>476</v>
      </c>
      <c r="T51" s="130">
        <f>IFERROR(Table8[[#This Row],[Breakdown Time]]*Table8[[#This Row],[Plant Equivalent Weightage]],"")</f>
        <v>0.32692307692307637</v>
      </c>
      <c r="U51" t="s">
        <v>755</v>
      </c>
      <c r="V51" s="107">
        <v>10160</v>
      </c>
      <c r="W51" t="s">
        <v>782</v>
      </c>
    </row>
    <row r="52" spans="1:23">
      <c r="A52" s="105">
        <f t="shared" si="0"/>
        <v>51</v>
      </c>
      <c r="B52">
        <f>YEAR(Table8[[#This Row],[Date]])+IF(MONTH(Table8[[#This Row],[Date]])&gt;=4,1,0)</f>
        <v>2026</v>
      </c>
      <c r="C52" s="105">
        <f>YEAR(Table6[[#This Row],[Date]])</f>
        <v>2025</v>
      </c>
      <c r="D52" s="105" t="s">
        <v>740</v>
      </c>
      <c r="E52" s="119">
        <f>Table8[[#This Row],[Date]]-DAY(Table8[[#This Row],[Date]])+1</f>
        <v>45839</v>
      </c>
      <c r="F52" s="118">
        <v>45843</v>
      </c>
      <c r="G52" t="s">
        <v>748</v>
      </c>
      <c r="H52" t="s">
        <v>742</v>
      </c>
      <c r="I52" t="s">
        <v>743</v>
      </c>
      <c r="J52" s="329">
        <f>IFERROR(_xlfn.XLOOKUP(Table8[[#This Row],[Affected Feeder ]],'Basic Data'!$A:$A,'Basic Data'!$E:$E),"")</f>
        <v>0.23076923076923078</v>
      </c>
      <c r="K52" t="s">
        <v>802</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754</v>
      </c>
      <c r="S52" t="s">
        <v>476</v>
      </c>
      <c r="T52" s="130">
        <f>IFERROR(Table8[[#This Row],[Breakdown Time]]*Table8[[#This Row],[Plant Equivalent Weightage]],"")</f>
        <v>0.30769230769230754</v>
      </c>
      <c r="U52" t="s">
        <v>755</v>
      </c>
      <c r="V52" s="107">
        <v>9600</v>
      </c>
      <c r="W52" t="s">
        <v>747</v>
      </c>
    </row>
    <row r="53" spans="1:23">
      <c r="A53" s="105">
        <f t="shared" si="0"/>
        <v>52</v>
      </c>
      <c r="B53">
        <f>YEAR(Table8[[#This Row],[Date]])+IF(MONTH(Table8[[#This Row],[Date]])&gt;=4,1,0)</f>
        <v>2026</v>
      </c>
      <c r="C53" s="105">
        <f>YEAR(Table6[[#This Row],[Date]])</f>
        <v>2025</v>
      </c>
      <c r="D53" s="105" t="s">
        <v>740</v>
      </c>
      <c r="E53" s="119">
        <f>Table8[[#This Row],[Date]]-DAY(Table8[[#This Row],[Date]])+1</f>
        <v>45839</v>
      </c>
      <c r="F53" s="118">
        <v>45843</v>
      </c>
      <c r="G53" t="s">
        <v>756</v>
      </c>
      <c r="H53" t="s">
        <v>742</v>
      </c>
      <c r="I53" t="s">
        <v>743</v>
      </c>
      <c r="J53" s="329">
        <f>IFERROR(_xlfn.XLOOKUP(Table8[[#This Row],[Affected Feeder ]],'Basic Data'!$A:$A,'Basic Data'!$E:$E),"")</f>
        <v>0.25641025641025639</v>
      </c>
      <c r="K53" t="s">
        <v>802</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754</v>
      </c>
      <c r="S53" t="s">
        <v>476</v>
      </c>
      <c r="T53" s="130">
        <f>IFERROR(Table8[[#This Row],[Breakdown Time]]*Table8[[#This Row],[Plant Equivalent Weightage]],"")</f>
        <v>0.34188034188034166</v>
      </c>
      <c r="U53" t="s">
        <v>755</v>
      </c>
      <c r="V53" s="107">
        <v>10667</v>
      </c>
      <c r="W53" t="s">
        <v>747</v>
      </c>
    </row>
    <row r="54" spans="1:23">
      <c r="A54" s="105">
        <f t="shared" si="0"/>
        <v>53</v>
      </c>
      <c r="B54">
        <f>YEAR(Table8[[#This Row],[Date]])+IF(MONTH(Table8[[#This Row],[Date]])&gt;=4,1,0)</f>
        <v>2026</v>
      </c>
      <c r="C54" s="105">
        <f>YEAR(Table6[[#This Row],[Date]])</f>
        <v>2025</v>
      </c>
      <c r="D54" s="105" t="s">
        <v>740</v>
      </c>
      <c r="E54" s="119">
        <f>Table8[[#This Row],[Date]]-DAY(Table8[[#This Row],[Date]])+1</f>
        <v>45839</v>
      </c>
      <c r="F54" s="118">
        <v>45845</v>
      </c>
      <c r="G54" t="s">
        <v>741</v>
      </c>
      <c r="H54" t="s">
        <v>742</v>
      </c>
      <c r="I54" t="s">
        <v>743</v>
      </c>
      <c r="J54" s="329">
        <f>IFERROR(_xlfn.XLOOKUP(Table8[[#This Row],[Affected Feeder ]],'Basic Data'!$A:$A,'Basic Data'!$E:$E),"")</f>
        <v>0.25641025641025639</v>
      </c>
      <c r="K54" t="s">
        <v>803</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804</v>
      </c>
      <c r="S54" t="s">
        <v>476</v>
      </c>
      <c r="T54" s="130">
        <f>IFERROR(Table8[[#This Row],[Breakdown Time]]*Table8[[#This Row],[Plant Equivalent Weightage]],"")</f>
        <v>6.4102564102563875E-2</v>
      </c>
      <c r="U54" t="s">
        <v>755</v>
      </c>
      <c r="V54" s="107">
        <v>838</v>
      </c>
      <c r="W54" t="s">
        <v>782</v>
      </c>
    </row>
    <row r="55" spans="1:23">
      <c r="A55" s="105">
        <f t="shared" si="0"/>
        <v>54</v>
      </c>
      <c r="B55">
        <f>YEAR(Table8[[#This Row],[Date]])+IF(MONTH(Table8[[#This Row],[Date]])&gt;=4,1,0)</f>
        <v>2026</v>
      </c>
      <c r="C55" s="105">
        <f>YEAR(Table6[[#This Row],[Date]])</f>
        <v>2025</v>
      </c>
      <c r="D55" s="105" t="s">
        <v>740</v>
      </c>
      <c r="E55" s="119">
        <f>Table8[[#This Row],[Date]]-DAY(Table8[[#This Row],[Date]])+1</f>
        <v>45839</v>
      </c>
      <c r="F55" s="118">
        <v>45846</v>
      </c>
      <c r="G55" t="s">
        <v>805</v>
      </c>
      <c r="H55" t="s">
        <v>742</v>
      </c>
      <c r="I55" t="s">
        <v>743</v>
      </c>
      <c r="J55" s="329">
        <f>IFERROR(_xlfn.XLOOKUP(Table8[[#This Row],[Affected Feeder ]],'Basic Data'!$A:$A,'Basic Data'!$E:$E),"")</f>
        <v>0.12820512820512819</v>
      </c>
      <c r="K55" t="s">
        <v>802</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754</v>
      </c>
      <c r="S55" t="s">
        <v>476</v>
      </c>
      <c r="T55" s="130">
        <f>IFERROR(Table8[[#This Row],[Breakdown Time]]*Table8[[#This Row],[Plant Equivalent Weightage]],"")</f>
        <v>8.54700854700855E-2</v>
      </c>
      <c r="U55" t="s">
        <v>755</v>
      </c>
      <c r="V55" s="107">
        <v>5191.6666666666661</v>
      </c>
      <c r="W55" t="s">
        <v>747</v>
      </c>
    </row>
    <row r="56" spans="1:23">
      <c r="A56" s="105">
        <f t="shared" si="0"/>
        <v>55</v>
      </c>
      <c r="B56">
        <f>YEAR(Table8[[#This Row],[Date]])+IF(MONTH(Table8[[#This Row],[Date]])&gt;=4,1,0)</f>
        <v>2026</v>
      </c>
      <c r="C56" s="105">
        <f>YEAR(Table6[[#This Row],[Date]])</f>
        <v>2025</v>
      </c>
      <c r="D56" s="105" t="s">
        <v>740</v>
      </c>
      <c r="E56" s="119">
        <f>Table8[[#This Row],[Date]]-DAY(Table8[[#This Row],[Date]])+1</f>
        <v>45839</v>
      </c>
      <c r="F56" s="118">
        <v>45854</v>
      </c>
      <c r="G56" t="s">
        <v>741</v>
      </c>
      <c r="H56" t="s">
        <v>742</v>
      </c>
      <c r="I56" t="s">
        <v>743</v>
      </c>
      <c r="J56" s="329">
        <f>IFERROR(_xlfn.XLOOKUP(Table8[[#This Row],[Affected Feeder ]],'Basic Data'!$A:$A,'Basic Data'!$E:$E),"")</f>
        <v>0.25641025641025639</v>
      </c>
      <c r="K56" t="s">
        <v>744</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745</v>
      </c>
      <c r="S56" t="s">
        <v>476</v>
      </c>
      <c r="T56" s="130">
        <f>IFERROR(Table8[[#This Row],[Breakdown Time]]*Table8[[#This Row],[Plant Equivalent Weightage]],"")</f>
        <v>9.8290598290598621E-2</v>
      </c>
      <c r="U56" t="s">
        <v>746</v>
      </c>
      <c r="V56" s="107">
        <v>479</v>
      </c>
      <c r="W56" t="s">
        <v>747</v>
      </c>
    </row>
    <row r="57" spans="1:23">
      <c r="A57" s="105">
        <f t="shared" si="0"/>
        <v>56</v>
      </c>
      <c r="B57">
        <f>YEAR(Table8[[#This Row],[Date]])+IF(MONTH(Table8[[#This Row],[Date]])&gt;=4,1,0)</f>
        <v>2026</v>
      </c>
      <c r="C57" s="105">
        <f>YEAR(Table6[[#This Row],[Date]])</f>
        <v>2025</v>
      </c>
      <c r="D57" s="105" t="s">
        <v>740</v>
      </c>
      <c r="E57" s="119">
        <f>Table8[[#This Row],[Date]]-DAY(Table8[[#This Row],[Date]])+1</f>
        <v>45839</v>
      </c>
      <c r="F57" s="118">
        <v>45856</v>
      </c>
      <c r="G57" t="s">
        <v>741</v>
      </c>
      <c r="H57" t="s">
        <v>742</v>
      </c>
      <c r="I57" t="s">
        <v>743</v>
      </c>
      <c r="J57" s="385">
        <f>IFERROR(_xlfn.XLOOKUP(Table8[[#This Row],[Affected Feeder ]],'Basic Data'!$A:$A,'Basic Data'!$E:$E),"")</f>
        <v>0.25641025641025639</v>
      </c>
      <c r="K57" t="s">
        <v>794</v>
      </c>
      <c r="L57" s="330">
        <v>0.56527777777777777</v>
      </c>
      <c r="M57" s="330">
        <v>0.56527777777777777</v>
      </c>
      <c r="N57" s="330">
        <v>0.57291666666666663</v>
      </c>
      <c r="O57" s="97">
        <f>(Table8[[#This Row],[Work Start TimeStamp]]-Table8[[#This Row],[Fault Start TimeStamp]])*24</f>
        <v>0</v>
      </c>
      <c r="P57" s="97">
        <f>IF(Table8[[#This Row],[Work Start TimeStamp]]="","",(Table8[[#This Row],[Fault Clearance time]]-Table8[[#This Row],[Work Start TimeStamp]])*24)</f>
        <v>0.18333333333333268</v>
      </c>
      <c r="Q57" s="97">
        <f>(Table8[[#This Row],[Fault Clearance time]]-Table8[[#This Row],[Fault Start TimeStamp]])*24</f>
        <v>0.18333333333333268</v>
      </c>
      <c r="R57" t="s">
        <v>745</v>
      </c>
      <c r="S57" t="s">
        <v>476</v>
      </c>
      <c r="T57" s="130">
        <f>IFERROR(Table8[[#This Row],[Breakdown Time]]*Table8[[#This Row],[Plant Equivalent Weightage]],"")</f>
        <v>4.7008547008546835E-2</v>
      </c>
      <c r="U57" t="s">
        <v>746</v>
      </c>
      <c r="V57" s="107">
        <v>229</v>
      </c>
      <c r="W57" t="s">
        <v>747</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bottomRight" activeCell="G3" sqref="G3"/>
      <selection pane="bottomLeft" activeCell="A2" sqref="A2"/>
      <selection pane="topRight" activeCell="G1" sqref="G1"/>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344</v>
      </c>
      <c r="D1" s="324" t="s">
        <v>440</v>
      </c>
      <c r="E1" s="324" t="s">
        <v>385</v>
      </c>
      <c r="F1" s="326" t="s">
        <v>271</v>
      </c>
      <c r="G1" s="324" t="s">
        <v>738</v>
      </c>
      <c r="H1" s="324" t="s">
        <v>442</v>
      </c>
      <c r="I1" s="324" t="s">
        <v>806</v>
      </c>
      <c r="J1" s="324" t="s">
        <v>444</v>
      </c>
      <c r="K1" s="324" t="s">
        <v>447</v>
      </c>
      <c r="L1" s="324" t="s">
        <v>807</v>
      </c>
      <c r="M1" s="324" t="s">
        <v>449</v>
      </c>
      <c r="N1" s="324" t="s">
        <v>450</v>
      </c>
      <c r="O1" s="324" t="s">
        <v>451</v>
      </c>
      <c r="P1" s="324" t="s">
        <v>452</v>
      </c>
      <c r="Q1" s="324" t="s">
        <v>453</v>
      </c>
      <c r="R1" s="324" t="s">
        <v>454</v>
      </c>
      <c r="S1" s="324" t="s">
        <v>455</v>
      </c>
      <c r="T1" s="324" t="s">
        <v>456</v>
      </c>
      <c r="U1" s="327" t="s">
        <v>457</v>
      </c>
      <c r="V1" s="327" t="s">
        <v>458</v>
      </c>
      <c r="W1" s="24" t="s">
        <v>459</v>
      </c>
      <c r="X1" s="328" t="s">
        <v>461</v>
      </c>
      <c r="Y1" s="328" t="s">
        <v>808</v>
      </c>
      <c r="Z1" s="328" t="s">
        <v>809</v>
      </c>
      <c r="AA1" s="328" t="s">
        <v>463</v>
      </c>
      <c r="AB1" s="328" t="s">
        <v>464</v>
      </c>
    </row>
    <row r="2" spans="1:28">
      <c r="A2" s="105">
        <v>1</v>
      </c>
      <c r="B2" s="105">
        <f>YEAR(Table9[[#This Row],[Date]])+IF(MONTH(Table9[[#This Row],[Date]])&gt;=4,1,0)</f>
        <v>2023</v>
      </c>
      <c r="C2" s="105">
        <v>2025</v>
      </c>
      <c r="D2" s="105" t="s">
        <v>740</v>
      </c>
      <c r="E2" s="119">
        <f>Table9[[#This Row],[Date]]-DAY(Table9[[#This Row],[Date]])+1</f>
        <v>44958</v>
      </c>
      <c r="F2" s="118">
        <v>44958</v>
      </c>
      <c r="G2" t="s">
        <v>810</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811</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812</v>
      </c>
      <c r="T2" s="1" t="s">
        <v>476</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468</v>
      </c>
      <c r="T1">
        <v>100</v>
      </c>
      <c r="U1" t="s">
        <v>216</v>
      </c>
      <c r="W1" s="397" t="s">
        <v>458</v>
      </c>
      <c r="X1" s="398"/>
      <c r="Y1" s="398"/>
    </row>
    <row r="2" spans="1:25" ht="15.75" thickBot="1">
      <c r="B2" t="s">
        <v>813</v>
      </c>
      <c r="C2" t="s">
        <v>443</v>
      </c>
      <c r="D2" t="s">
        <v>814</v>
      </c>
      <c r="E2" t="s">
        <v>815</v>
      </c>
      <c r="F2" t="s">
        <v>816</v>
      </c>
      <c r="G2" t="s">
        <v>817</v>
      </c>
      <c r="H2" t="s">
        <v>120</v>
      </c>
      <c r="I2" t="s">
        <v>818</v>
      </c>
      <c r="P2" s="325" t="s">
        <v>474</v>
      </c>
      <c r="T2">
        <v>101</v>
      </c>
      <c r="U2" t="s">
        <v>819</v>
      </c>
      <c r="W2" s="322" t="s">
        <v>501</v>
      </c>
      <c r="X2" s="322" t="s">
        <v>755</v>
      </c>
      <c r="Y2" s="322" t="s">
        <v>820</v>
      </c>
    </row>
    <row r="3" spans="1:25" ht="15.75" thickBot="1">
      <c r="A3" t="s">
        <v>74</v>
      </c>
      <c r="B3" s="22" t="s">
        <v>742</v>
      </c>
      <c r="C3" t="s">
        <v>743</v>
      </c>
      <c r="D3" s="1">
        <v>2</v>
      </c>
      <c r="E3" s="23">
        <f>D3/$K$3</f>
        <v>2.564102564102564E-2</v>
      </c>
      <c r="F3" t="s">
        <v>748</v>
      </c>
      <c r="G3" s="83" t="s">
        <v>821</v>
      </c>
      <c r="H3" t="s">
        <v>74</v>
      </c>
      <c r="J3" t="s">
        <v>822</v>
      </c>
      <c r="K3" s="1">
        <v>78</v>
      </c>
      <c r="N3" t="s">
        <v>470</v>
      </c>
      <c r="P3" s="325" t="s">
        <v>189</v>
      </c>
      <c r="T3">
        <v>102</v>
      </c>
      <c r="U3" t="s">
        <v>154</v>
      </c>
      <c r="W3" s="322" t="s">
        <v>477</v>
      </c>
      <c r="X3" s="322" t="s">
        <v>746</v>
      </c>
      <c r="Y3" s="322" t="s">
        <v>823</v>
      </c>
    </row>
    <row r="4" spans="1:25" ht="15.75" thickBot="1">
      <c r="A4" t="s">
        <v>75</v>
      </c>
      <c r="B4" s="22" t="s">
        <v>742</v>
      </c>
      <c r="C4" t="s">
        <v>743</v>
      </c>
      <c r="D4" s="1">
        <v>2</v>
      </c>
      <c r="E4" s="23">
        <f t="shared" ref="E4:E56" si="0">D4/$K$3</f>
        <v>2.564102564102564E-2</v>
      </c>
      <c r="F4" t="s">
        <v>748</v>
      </c>
      <c r="G4" s="83" t="s">
        <v>821</v>
      </c>
      <c r="H4" t="s">
        <v>75</v>
      </c>
      <c r="N4" t="s">
        <v>476</v>
      </c>
      <c r="P4" s="325" t="s">
        <v>824</v>
      </c>
      <c r="T4">
        <v>103</v>
      </c>
      <c r="U4" t="s">
        <v>149</v>
      </c>
      <c r="W4" s="322" t="s">
        <v>555</v>
      </c>
      <c r="X4" s="322" t="s">
        <v>766</v>
      </c>
      <c r="Y4" s="322" t="s">
        <v>825</v>
      </c>
    </row>
    <row r="5" spans="1:25" ht="15.75" thickBot="1">
      <c r="A5" t="s">
        <v>76</v>
      </c>
      <c r="B5" s="22" t="s">
        <v>742</v>
      </c>
      <c r="C5" t="s">
        <v>743</v>
      </c>
      <c r="D5" s="1">
        <v>2</v>
      </c>
      <c r="E5" s="23">
        <f t="shared" si="0"/>
        <v>2.564102564102564E-2</v>
      </c>
      <c r="F5" t="s">
        <v>748</v>
      </c>
      <c r="G5" s="83" t="s">
        <v>821</v>
      </c>
      <c r="H5" t="s">
        <v>76</v>
      </c>
      <c r="P5" s="325"/>
      <c r="T5">
        <v>104</v>
      </c>
      <c r="U5" t="s">
        <v>255</v>
      </c>
      <c r="W5" s="322" t="s">
        <v>826</v>
      </c>
      <c r="X5" s="322" t="s">
        <v>827</v>
      </c>
      <c r="Y5" s="322" t="s">
        <v>828</v>
      </c>
    </row>
    <row r="6" spans="1:25" ht="15.75" thickBot="1">
      <c r="A6" t="s">
        <v>77</v>
      </c>
      <c r="B6" s="22" t="s">
        <v>742</v>
      </c>
      <c r="C6" t="s">
        <v>743</v>
      </c>
      <c r="D6" s="1">
        <v>2</v>
      </c>
      <c r="E6" s="23">
        <f t="shared" si="0"/>
        <v>2.564102564102564E-2</v>
      </c>
      <c r="F6" t="s">
        <v>748</v>
      </c>
      <c r="G6" s="83" t="s">
        <v>821</v>
      </c>
      <c r="H6" t="s">
        <v>77</v>
      </c>
      <c r="T6">
        <v>105</v>
      </c>
      <c r="U6" t="s">
        <v>829</v>
      </c>
      <c r="W6" s="322" t="s">
        <v>471</v>
      </c>
    </row>
    <row r="7" spans="1:25">
      <c r="A7" t="s">
        <v>78</v>
      </c>
      <c r="B7" s="22" t="s">
        <v>742</v>
      </c>
      <c r="C7" t="s">
        <v>743</v>
      </c>
      <c r="D7" s="1">
        <v>2</v>
      </c>
      <c r="E7" s="23">
        <f t="shared" si="0"/>
        <v>2.564102564102564E-2</v>
      </c>
      <c r="F7" t="s">
        <v>741</v>
      </c>
      <c r="G7" s="83" t="s">
        <v>830</v>
      </c>
      <c r="H7" t="s">
        <v>78</v>
      </c>
      <c r="T7">
        <v>106</v>
      </c>
      <c r="U7" t="s">
        <v>831</v>
      </c>
    </row>
    <row r="8" spans="1:25">
      <c r="A8" t="s">
        <v>79</v>
      </c>
      <c r="B8" s="22" t="s">
        <v>742</v>
      </c>
      <c r="C8" t="s">
        <v>743</v>
      </c>
      <c r="D8" s="1">
        <v>2</v>
      </c>
      <c r="E8" s="23">
        <f t="shared" si="0"/>
        <v>2.564102564102564E-2</v>
      </c>
      <c r="F8" t="s">
        <v>748</v>
      </c>
      <c r="G8" s="83" t="s">
        <v>821</v>
      </c>
      <c r="H8" t="s">
        <v>79</v>
      </c>
      <c r="T8">
        <v>107</v>
      </c>
      <c r="U8" t="s">
        <v>215</v>
      </c>
    </row>
    <row r="9" spans="1:25">
      <c r="A9" t="s">
        <v>80</v>
      </c>
      <c r="B9" s="22" t="s">
        <v>742</v>
      </c>
      <c r="C9" t="s">
        <v>743</v>
      </c>
      <c r="D9" s="1">
        <v>2</v>
      </c>
      <c r="E9" s="23">
        <f t="shared" si="0"/>
        <v>2.564102564102564E-2</v>
      </c>
      <c r="F9" t="s">
        <v>748</v>
      </c>
      <c r="G9" s="83" t="s">
        <v>821</v>
      </c>
      <c r="H9" t="s">
        <v>80</v>
      </c>
      <c r="T9">
        <v>108</v>
      </c>
      <c r="U9" t="s">
        <v>144</v>
      </c>
    </row>
    <row r="10" spans="1:25">
      <c r="A10" t="s">
        <v>81</v>
      </c>
      <c r="B10" s="22" t="s">
        <v>742</v>
      </c>
      <c r="C10" t="s">
        <v>743</v>
      </c>
      <c r="D10" s="1">
        <v>2</v>
      </c>
      <c r="E10" s="23">
        <f t="shared" si="0"/>
        <v>2.564102564102564E-2</v>
      </c>
      <c r="F10" t="s">
        <v>748</v>
      </c>
      <c r="G10" s="83" t="s">
        <v>821</v>
      </c>
      <c r="H10" t="s">
        <v>81</v>
      </c>
      <c r="N10" t="s">
        <v>473</v>
      </c>
      <c r="T10">
        <v>110</v>
      </c>
      <c r="U10" t="s">
        <v>214</v>
      </c>
    </row>
    <row r="11" spans="1:25">
      <c r="A11" t="s">
        <v>82</v>
      </c>
      <c r="B11" s="22" t="s">
        <v>742</v>
      </c>
      <c r="C11" t="s">
        <v>743</v>
      </c>
      <c r="D11" s="1">
        <v>2</v>
      </c>
      <c r="E11" s="23">
        <f t="shared" si="0"/>
        <v>2.564102564102564E-2</v>
      </c>
      <c r="F11" t="s">
        <v>756</v>
      </c>
      <c r="G11" s="83" t="s">
        <v>821</v>
      </c>
      <c r="H11" t="s">
        <v>82</v>
      </c>
      <c r="T11">
        <v>112</v>
      </c>
      <c r="U11" t="s">
        <v>832</v>
      </c>
    </row>
    <row r="12" spans="1:25">
      <c r="A12" t="s">
        <v>83</v>
      </c>
      <c r="B12" s="22" t="s">
        <v>742</v>
      </c>
      <c r="C12" t="s">
        <v>743</v>
      </c>
      <c r="D12" s="1">
        <v>2</v>
      </c>
      <c r="E12" s="23">
        <f t="shared" si="0"/>
        <v>2.564102564102564E-2</v>
      </c>
      <c r="F12" t="s">
        <v>748</v>
      </c>
      <c r="G12" s="83" t="s">
        <v>821</v>
      </c>
      <c r="H12" t="s">
        <v>83</v>
      </c>
      <c r="T12">
        <v>114</v>
      </c>
      <c r="U12" t="s">
        <v>833</v>
      </c>
    </row>
    <row r="13" spans="1:25">
      <c r="A13" t="s">
        <v>84</v>
      </c>
      <c r="B13" s="22" t="s">
        <v>742</v>
      </c>
      <c r="C13" t="s">
        <v>743</v>
      </c>
      <c r="D13" s="1">
        <v>2</v>
      </c>
      <c r="E13" s="23">
        <f t="shared" si="0"/>
        <v>2.564102564102564E-2</v>
      </c>
      <c r="F13" t="s">
        <v>748</v>
      </c>
      <c r="G13" s="83" t="s">
        <v>821</v>
      </c>
      <c r="H13" t="s">
        <v>84</v>
      </c>
      <c r="T13">
        <v>115</v>
      </c>
      <c r="U13" t="s">
        <v>180</v>
      </c>
    </row>
    <row r="14" spans="1:25">
      <c r="A14" t="s">
        <v>85</v>
      </c>
      <c r="B14" s="22" t="s">
        <v>742</v>
      </c>
      <c r="C14" t="s">
        <v>743</v>
      </c>
      <c r="D14" s="1">
        <v>2</v>
      </c>
      <c r="E14" s="23">
        <f t="shared" si="0"/>
        <v>2.564102564102564E-2</v>
      </c>
      <c r="F14" t="s">
        <v>756</v>
      </c>
      <c r="G14" s="83" t="s">
        <v>821</v>
      </c>
      <c r="H14" t="s">
        <v>85</v>
      </c>
      <c r="T14">
        <v>116</v>
      </c>
      <c r="U14" t="s">
        <v>192</v>
      </c>
    </row>
    <row r="15" spans="1:25">
      <c r="A15" t="s">
        <v>86</v>
      </c>
      <c r="B15" s="22" t="s">
        <v>742</v>
      </c>
      <c r="C15" t="s">
        <v>743</v>
      </c>
      <c r="D15" s="1">
        <v>2</v>
      </c>
      <c r="E15" s="23">
        <f t="shared" si="0"/>
        <v>2.564102564102564E-2</v>
      </c>
      <c r="F15" t="s">
        <v>756</v>
      </c>
      <c r="G15" s="83" t="s">
        <v>821</v>
      </c>
      <c r="H15" t="s">
        <v>86</v>
      </c>
      <c r="T15">
        <v>117</v>
      </c>
      <c r="U15" t="s">
        <v>193</v>
      </c>
    </row>
    <row r="16" spans="1:25">
      <c r="A16" t="s">
        <v>87</v>
      </c>
      <c r="B16" s="22" t="s">
        <v>742</v>
      </c>
      <c r="C16" t="s">
        <v>743</v>
      </c>
      <c r="D16" s="1">
        <v>2</v>
      </c>
      <c r="E16" s="23">
        <f t="shared" si="0"/>
        <v>2.564102564102564E-2</v>
      </c>
      <c r="F16" t="s">
        <v>756</v>
      </c>
      <c r="G16" s="83" t="s">
        <v>821</v>
      </c>
      <c r="H16" t="s">
        <v>87</v>
      </c>
      <c r="T16">
        <v>118</v>
      </c>
      <c r="U16" t="s">
        <v>212</v>
      </c>
    </row>
    <row r="17" spans="1:21">
      <c r="A17" t="s">
        <v>88</v>
      </c>
      <c r="B17" s="22" t="s">
        <v>742</v>
      </c>
      <c r="C17" t="s">
        <v>743</v>
      </c>
      <c r="D17" s="1">
        <v>2</v>
      </c>
      <c r="E17" s="23">
        <f t="shared" si="0"/>
        <v>2.564102564102564E-2</v>
      </c>
      <c r="F17" t="s">
        <v>756</v>
      </c>
      <c r="G17" s="83" t="s">
        <v>821</v>
      </c>
      <c r="H17" t="s">
        <v>88</v>
      </c>
      <c r="T17">
        <v>119</v>
      </c>
      <c r="U17" t="s">
        <v>211</v>
      </c>
    </row>
    <row r="18" spans="1:21">
      <c r="A18" t="s">
        <v>89</v>
      </c>
      <c r="B18" s="22" t="s">
        <v>742</v>
      </c>
      <c r="C18" t="s">
        <v>743</v>
      </c>
      <c r="D18" s="1">
        <v>2</v>
      </c>
      <c r="E18" s="23">
        <f t="shared" si="0"/>
        <v>2.564102564102564E-2</v>
      </c>
      <c r="F18" t="s">
        <v>756</v>
      </c>
      <c r="G18" s="83" t="s">
        <v>821</v>
      </c>
      <c r="H18" t="s">
        <v>89</v>
      </c>
      <c r="T18">
        <v>121</v>
      </c>
      <c r="U18" t="s">
        <v>834</v>
      </c>
    </row>
    <row r="19" spans="1:21">
      <c r="A19" t="s">
        <v>90</v>
      </c>
      <c r="B19" s="22" t="s">
        <v>742</v>
      </c>
      <c r="C19" t="s">
        <v>743</v>
      </c>
      <c r="D19" s="1">
        <v>2</v>
      </c>
      <c r="E19" s="23">
        <f t="shared" si="0"/>
        <v>2.564102564102564E-2</v>
      </c>
      <c r="F19" t="s">
        <v>756</v>
      </c>
      <c r="G19" s="83" t="s">
        <v>821</v>
      </c>
      <c r="H19" t="s">
        <v>90</v>
      </c>
      <c r="T19">
        <v>122</v>
      </c>
      <c r="U19" t="s">
        <v>835</v>
      </c>
    </row>
    <row r="20" spans="1:21">
      <c r="A20" t="s">
        <v>91</v>
      </c>
      <c r="B20" s="22" t="s">
        <v>742</v>
      </c>
      <c r="C20" t="s">
        <v>743</v>
      </c>
      <c r="D20" s="1">
        <v>2</v>
      </c>
      <c r="E20" s="23">
        <f t="shared" si="0"/>
        <v>2.564102564102564E-2</v>
      </c>
      <c r="F20" t="s">
        <v>756</v>
      </c>
      <c r="G20" s="83" t="s">
        <v>821</v>
      </c>
      <c r="H20" t="s">
        <v>91</v>
      </c>
      <c r="T20">
        <v>123</v>
      </c>
      <c r="U20" t="s">
        <v>836</v>
      </c>
    </row>
    <row r="21" spans="1:21">
      <c r="A21" t="s">
        <v>92</v>
      </c>
      <c r="B21" s="22" t="s">
        <v>742</v>
      </c>
      <c r="C21" t="s">
        <v>743</v>
      </c>
      <c r="D21" s="1">
        <v>2</v>
      </c>
      <c r="E21" s="23">
        <f t="shared" si="0"/>
        <v>2.564102564102564E-2</v>
      </c>
      <c r="F21" t="s">
        <v>756</v>
      </c>
      <c r="G21" s="83" t="s">
        <v>821</v>
      </c>
      <c r="H21" t="s">
        <v>92</v>
      </c>
      <c r="T21">
        <v>124</v>
      </c>
      <c r="U21" t="s">
        <v>837</v>
      </c>
    </row>
    <row r="22" spans="1:21">
      <c r="A22" t="s">
        <v>93</v>
      </c>
      <c r="B22" s="22" t="s">
        <v>742</v>
      </c>
      <c r="C22" t="s">
        <v>743</v>
      </c>
      <c r="D22" s="1">
        <v>2</v>
      </c>
      <c r="E22" s="23">
        <f t="shared" si="0"/>
        <v>2.564102564102564E-2</v>
      </c>
      <c r="F22" t="s">
        <v>756</v>
      </c>
      <c r="G22" s="83" t="s">
        <v>821</v>
      </c>
      <c r="H22" t="s">
        <v>93</v>
      </c>
      <c r="T22">
        <v>125</v>
      </c>
      <c r="U22" t="s">
        <v>213</v>
      </c>
    </row>
    <row r="23" spans="1:21">
      <c r="A23" t="s">
        <v>94</v>
      </c>
      <c r="B23" s="22" t="s">
        <v>742</v>
      </c>
      <c r="C23" t="s">
        <v>743</v>
      </c>
      <c r="D23" s="1">
        <v>2</v>
      </c>
      <c r="E23" s="23">
        <f t="shared" si="0"/>
        <v>2.564102564102564E-2</v>
      </c>
      <c r="F23" t="s">
        <v>741</v>
      </c>
      <c r="G23" s="83" t="s">
        <v>830</v>
      </c>
      <c r="H23" t="s">
        <v>94</v>
      </c>
      <c r="T23">
        <v>126</v>
      </c>
      <c r="U23" t="s">
        <v>838</v>
      </c>
    </row>
    <row r="24" spans="1:21">
      <c r="A24" t="s">
        <v>95</v>
      </c>
      <c r="B24" s="22" t="s">
        <v>742</v>
      </c>
      <c r="C24" t="s">
        <v>743</v>
      </c>
      <c r="D24" s="1">
        <v>2</v>
      </c>
      <c r="E24" s="23">
        <f t="shared" si="0"/>
        <v>2.564102564102564E-2</v>
      </c>
      <c r="F24" t="s">
        <v>741</v>
      </c>
      <c r="G24" s="83" t="s">
        <v>830</v>
      </c>
      <c r="H24" t="s">
        <v>95</v>
      </c>
      <c r="T24">
        <v>127</v>
      </c>
      <c r="U24" t="s">
        <v>839</v>
      </c>
    </row>
    <row r="25" spans="1:21">
      <c r="A25" t="s">
        <v>96</v>
      </c>
      <c r="B25" s="22" t="s">
        <v>742</v>
      </c>
      <c r="C25" t="s">
        <v>743</v>
      </c>
      <c r="D25" s="1">
        <v>2</v>
      </c>
      <c r="E25" s="23">
        <f t="shared" si="0"/>
        <v>2.564102564102564E-2</v>
      </c>
      <c r="F25" t="s">
        <v>741</v>
      </c>
      <c r="G25" s="83" t="s">
        <v>830</v>
      </c>
      <c r="H25" t="s">
        <v>96</v>
      </c>
      <c r="T25">
        <v>128</v>
      </c>
      <c r="U25" t="s">
        <v>840</v>
      </c>
    </row>
    <row r="26" spans="1:21">
      <c r="A26" t="s">
        <v>97</v>
      </c>
      <c r="B26" s="22" t="s">
        <v>742</v>
      </c>
      <c r="C26" t="s">
        <v>743</v>
      </c>
      <c r="D26" s="1">
        <v>2</v>
      </c>
      <c r="E26" s="23">
        <f t="shared" si="0"/>
        <v>2.564102564102564E-2</v>
      </c>
      <c r="F26" t="s">
        <v>741</v>
      </c>
      <c r="G26" s="83" t="s">
        <v>830</v>
      </c>
      <c r="H26" t="s">
        <v>97</v>
      </c>
      <c r="T26">
        <v>130</v>
      </c>
      <c r="U26" t="s">
        <v>841</v>
      </c>
    </row>
    <row r="27" spans="1:21">
      <c r="A27" t="s">
        <v>98</v>
      </c>
      <c r="B27" s="22" t="s">
        <v>742</v>
      </c>
      <c r="C27" t="s">
        <v>743</v>
      </c>
      <c r="D27" s="1">
        <v>2</v>
      </c>
      <c r="E27" s="23">
        <f t="shared" si="0"/>
        <v>2.564102564102564E-2</v>
      </c>
      <c r="F27" t="s">
        <v>750</v>
      </c>
      <c r="G27" s="83" t="s">
        <v>830</v>
      </c>
      <c r="H27" t="s">
        <v>98</v>
      </c>
      <c r="T27">
        <v>200</v>
      </c>
      <c r="U27" t="s">
        <v>233</v>
      </c>
    </row>
    <row r="28" spans="1:21">
      <c r="A28" t="s">
        <v>99</v>
      </c>
      <c r="B28" s="22" t="s">
        <v>742</v>
      </c>
      <c r="C28" t="s">
        <v>743</v>
      </c>
      <c r="D28" s="1">
        <v>2</v>
      </c>
      <c r="E28" s="23">
        <f t="shared" si="0"/>
        <v>2.564102564102564E-2</v>
      </c>
      <c r="F28" t="s">
        <v>741</v>
      </c>
      <c r="G28" s="83" t="s">
        <v>830</v>
      </c>
      <c r="H28" t="s">
        <v>99</v>
      </c>
      <c r="T28">
        <v>201</v>
      </c>
      <c r="U28" t="s">
        <v>190</v>
      </c>
    </row>
    <row r="29" spans="1:21">
      <c r="A29" t="s">
        <v>100</v>
      </c>
      <c r="B29" s="22" t="s">
        <v>742</v>
      </c>
      <c r="C29" t="s">
        <v>743</v>
      </c>
      <c r="D29" s="1">
        <v>2</v>
      </c>
      <c r="E29" s="23">
        <f t="shared" si="0"/>
        <v>2.564102564102564E-2</v>
      </c>
      <c r="F29" t="s">
        <v>741</v>
      </c>
      <c r="G29" s="83" t="s">
        <v>830</v>
      </c>
      <c r="H29" t="s">
        <v>100</v>
      </c>
      <c r="T29">
        <v>202</v>
      </c>
      <c r="U29" t="s">
        <v>229</v>
      </c>
    </row>
    <row r="30" spans="1:21">
      <c r="A30" t="s">
        <v>101</v>
      </c>
      <c r="B30" s="22" t="s">
        <v>742</v>
      </c>
      <c r="C30" t="s">
        <v>743</v>
      </c>
      <c r="D30" s="1">
        <v>2</v>
      </c>
      <c r="E30" s="23">
        <f t="shared" si="0"/>
        <v>2.564102564102564E-2</v>
      </c>
      <c r="F30" t="s">
        <v>741</v>
      </c>
      <c r="G30" s="83" t="s">
        <v>830</v>
      </c>
      <c r="H30" t="s">
        <v>101</v>
      </c>
      <c r="T30">
        <v>203</v>
      </c>
      <c r="U30" t="s">
        <v>186</v>
      </c>
    </row>
    <row r="31" spans="1:21">
      <c r="A31" t="s">
        <v>102</v>
      </c>
      <c r="B31" s="22" t="s">
        <v>742</v>
      </c>
      <c r="C31" t="s">
        <v>743</v>
      </c>
      <c r="D31" s="1">
        <v>2</v>
      </c>
      <c r="E31" s="23">
        <f t="shared" si="0"/>
        <v>2.564102564102564E-2</v>
      </c>
      <c r="F31" t="s">
        <v>741</v>
      </c>
      <c r="G31" s="83" t="s">
        <v>830</v>
      </c>
      <c r="H31" t="s">
        <v>102</v>
      </c>
      <c r="T31">
        <v>204</v>
      </c>
      <c r="U31" t="s">
        <v>219</v>
      </c>
    </row>
    <row r="32" spans="1:21">
      <c r="A32" t="s">
        <v>103</v>
      </c>
      <c r="B32" s="22" t="s">
        <v>742</v>
      </c>
      <c r="C32" t="s">
        <v>743</v>
      </c>
      <c r="D32" s="1">
        <v>2</v>
      </c>
      <c r="E32" s="23">
        <f t="shared" si="0"/>
        <v>2.564102564102564E-2</v>
      </c>
      <c r="F32" t="s">
        <v>741</v>
      </c>
      <c r="G32" s="83" t="s">
        <v>830</v>
      </c>
      <c r="H32" t="s">
        <v>103</v>
      </c>
      <c r="T32">
        <v>205</v>
      </c>
      <c r="U32" t="s">
        <v>183</v>
      </c>
    </row>
    <row r="33" spans="1:21">
      <c r="A33" t="s">
        <v>104</v>
      </c>
      <c r="B33" s="22" t="s">
        <v>742</v>
      </c>
      <c r="C33" t="s">
        <v>743</v>
      </c>
      <c r="D33" s="1">
        <v>2</v>
      </c>
      <c r="E33" s="23">
        <f t="shared" si="0"/>
        <v>2.564102564102564E-2</v>
      </c>
      <c r="F33" t="s">
        <v>750</v>
      </c>
      <c r="G33" s="83" t="s">
        <v>830</v>
      </c>
      <c r="H33" t="s">
        <v>104</v>
      </c>
      <c r="T33">
        <v>207</v>
      </c>
      <c r="U33" t="s">
        <v>182</v>
      </c>
    </row>
    <row r="34" spans="1:21">
      <c r="A34" t="s">
        <v>105</v>
      </c>
      <c r="B34" s="22" t="s">
        <v>742</v>
      </c>
      <c r="C34" t="s">
        <v>743</v>
      </c>
      <c r="D34" s="1">
        <v>2</v>
      </c>
      <c r="E34" s="23">
        <f t="shared" si="0"/>
        <v>2.564102564102564E-2</v>
      </c>
      <c r="F34" t="s">
        <v>750</v>
      </c>
      <c r="G34" s="83" t="s">
        <v>830</v>
      </c>
      <c r="H34" t="s">
        <v>105</v>
      </c>
      <c r="T34">
        <v>208</v>
      </c>
      <c r="U34" t="s">
        <v>181</v>
      </c>
    </row>
    <row r="35" spans="1:21">
      <c r="A35" t="s">
        <v>106</v>
      </c>
      <c r="B35" s="22" t="s">
        <v>742</v>
      </c>
      <c r="C35" t="s">
        <v>743</v>
      </c>
      <c r="D35" s="1">
        <v>2</v>
      </c>
      <c r="E35" s="23">
        <f t="shared" si="0"/>
        <v>2.564102564102564E-2</v>
      </c>
      <c r="F35" t="s">
        <v>750</v>
      </c>
      <c r="G35" s="83" t="s">
        <v>830</v>
      </c>
      <c r="H35" t="s">
        <v>106</v>
      </c>
      <c r="T35">
        <v>211</v>
      </c>
      <c r="U35" t="s">
        <v>842</v>
      </c>
    </row>
    <row r="36" spans="1:21">
      <c r="A36" t="s">
        <v>107</v>
      </c>
      <c r="B36" s="22" t="s">
        <v>742</v>
      </c>
      <c r="C36" t="s">
        <v>743</v>
      </c>
      <c r="D36" s="1">
        <v>2</v>
      </c>
      <c r="E36" s="23">
        <f t="shared" si="0"/>
        <v>2.564102564102564E-2</v>
      </c>
      <c r="F36" t="s">
        <v>750</v>
      </c>
      <c r="G36" s="83" t="s">
        <v>830</v>
      </c>
      <c r="H36" t="s">
        <v>107</v>
      </c>
      <c r="T36">
        <v>212</v>
      </c>
      <c r="U36" t="s">
        <v>843</v>
      </c>
    </row>
    <row r="37" spans="1:21">
      <c r="A37" t="s">
        <v>108</v>
      </c>
      <c r="B37" s="22" t="s">
        <v>742</v>
      </c>
      <c r="C37" t="s">
        <v>743</v>
      </c>
      <c r="D37" s="1">
        <v>2</v>
      </c>
      <c r="E37" s="23">
        <f t="shared" si="0"/>
        <v>2.564102564102564E-2</v>
      </c>
      <c r="F37" t="s">
        <v>750</v>
      </c>
      <c r="G37" s="83" t="s">
        <v>830</v>
      </c>
      <c r="H37" t="s">
        <v>108</v>
      </c>
      <c r="T37">
        <v>213</v>
      </c>
      <c r="U37" t="s">
        <v>253</v>
      </c>
    </row>
    <row r="38" spans="1:21">
      <c r="A38" t="s">
        <v>109</v>
      </c>
      <c r="B38" s="22" t="s">
        <v>742</v>
      </c>
      <c r="C38" t="s">
        <v>743</v>
      </c>
      <c r="D38" s="1">
        <v>2</v>
      </c>
      <c r="E38" s="23">
        <f t="shared" si="0"/>
        <v>2.564102564102564E-2</v>
      </c>
      <c r="F38" t="s">
        <v>750</v>
      </c>
      <c r="G38" s="83" t="s">
        <v>830</v>
      </c>
      <c r="H38" t="s">
        <v>109</v>
      </c>
      <c r="T38">
        <v>214</v>
      </c>
      <c r="U38" t="s">
        <v>844</v>
      </c>
    </row>
    <row r="39" spans="1:21">
      <c r="A39" t="s">
        <v>110</v>
      </c>
      <c r="B39" s="22" t="s">
        <v>742</v>
      </c>
      <c r="C39" t="s">
        <v>743</v>
      </c>
      <c r="D39" s="1">
        <v>2</v>
      </c>
      <c r="E39" s="23">
        <f t="shared" si="0"/>
        <v>2.564102564102564E-2</v>
      </c>
      <c r="F39" t="s">
        <v>750</v>
      </c>
      <c r="G39" s="83" t="s">
        <v>830</v>
      </c>
      <c r="H39" t="s">
        <v>110</v>
      </c>
      <c r="T39">
        <v>217</v>
      </c>
      <c r="U39" t="s">
        <v>845</v>
      </c>
    </row>
    <row r="40" spans="1:21">
      <c r="A40" t="s">
        <v>111</v>
      </c>
      <c r="B40" s="22" t="s">
        <v>742</v>
      </c>
      <c r="C40" t="s">
        <v>743</v>
      </c>
      <c r="D40" s="1">
        <v>2</v>
      </c>
      <c r="E40" s="23">
        <f t="shared" si="0"/>
        <v>2.564102564102564E-2</v>
      </c>
      <c r="F40" t="s">
        <v>750</v>
      </c>
      <c r="G40" s="83" t="s">
        <v>830</v>
      </c>
      <c r="H40" t="s">
        <v>111</v>
      </c>
      <c r="T40">
        <v>218</v>
      </c>
      <c r="U40" t="s">
        <v>846</v>
      </c>
    </row>
    <row r="41" spans="1:21">
      <c r="A41" t="s">
        <v>112</v>
      </c>
      <c r="B41" s="22" t="s">
        <v>742</v>
      </c>
      <c r="C41" t="s">
        <v>743</v>
      </c>
      <c r="D41" s="1">
        <v>2</v>
      </c>
      <c r="E41" s="23">
        <f t="shared" si="0"/>
        <v>2.564102564102564E-2</v>
      </c>
      <c r="F41" t="s">
        <v>750</v>
      </c>
      <c r="G41" s="83" t="s">
        <v>830</v>
      </c>
      <c r="H41" t="s">
        <v>112</v>
      </c>
      <c r="T41">
        <v>219</v>
      </c>
      <c r="U41" t="s">
        <v>847</v>
      </c>
    </row>
    <row r="42" spans="1:21">
      <c r="A42" t="s">
        <v>750</v>
      </c>
      <c r="B42" s="22" t="s">
        <v>742</v>
      </c>
      <c r="C42" t="s">
        <v>743</v>
      </c>
      <c r="D42" s="1">
        <v>20</v>
      </c>
      <c r="E42" s="23">
        <f t="shared" si="0"/>
        <v>0.25641025641025639</v>
      </c>
      <c r="T42">
        <v>221</v>
      </c>
      <c r="U42" t="s">
        <v>261</v>
      </c>
    </row>
    <row r="43" spans="1:21">
      <c r="A43" t="s">
        <v>848</v>
      </c>
      <c r="B43" s="22" t="s">
        <v>742</v>
      </c>
      <c r="C43" t="s">
        <v>743</v>
      </c>
      <c r="D43" s="1">
        <v>10</v>
      </c>
      <c r="E43" s="23">
        <f t="shared" si="0"/>
        <v>0.12820512820512819</v>
      </c>
    </row>
    <row r="44" spans="1:21">
      <c r="A44" t="s">
        <v>805</v>
      </c>
      <c r="B44" s="22" t="s">
        <v>742</v>
      </c>
      <c r="C44" t="s">
        <v>743</v>
      </c>
      <c r="D44" s="1">
        <v>10</v>
      </c>
      <c r="E44" s="23">
        <f t="shared" si="0"/>
        <v>0.12820512820512819</v>
      </c>
    </row>
    <row r="45" spans="1:21">
      <c r="A45" t="s">
        <v>741</v>
      </c>
      <c r="B45" s="22" t="s">
        <v>742</v>
      </c>
      <c r="C45" t="s">
        <v>743</v>
      </c>
      <c r="D45" s="1">
        <v>20</v>
      </c>
      <c r="E45" s="23">
        <f t="shared" si="0"/>
        <v>0.25641025641025639</v>
      </c>
      <c r="T45">
        <v>222</v>
      </c>
      <c r="U45" t="s">
        <v>207</v>
      </c>
    </row>
    <row r="46" spans="1:21">
      <c r="A46" t="s">
        <v>787</v>
      </c>
      <c r="B46" s="22" t="s">
        <v>742</v>
      </c>
      <c r="C46" t="s">
        <v>743</v>
      </c>
      <c r="D46" s="1">
        <v>8</v>
      </c>
      <c r="E46" s="23">
        <f t="shared" si="0"/>
        <v>0.10256410256410256</v>
      </c>
    </row>
    <row r="47" spans="1:21">
      <c r="A47" t="s">
        <v>775</v>
      </c>
      <c r="B47" s="22" t="s">
        <v>742</v>
      </c>
      <c r="C47" t="s">
        <v>743</v>
      </c>
      <c r="D47" s="1">
        <v>12</v>
      </c>
      <c r="E47" s="23">
        <f t="shared" si="0"/>
        <v>0.15384615384615385</v>
      </c>
    </row>
    <row r="48" spans="1:21">
      <c r="A48" t="s">
        <v>748</v>
      </c>
      <c r="B48" s="22" t="s">
        <v>742</v>
      </c>
      <c r="C48" t="s">
        <v>743</v>
      </c>
      <c r="D48" s="1">
        <v>18</v>
      </c>
      <c r="E48" s="23">
        <f t="shared" si="0"/>
        <v>0.23076923076923078</v>
      </c>
      <c r="T48">
        <v>223</v>
      </c>
      <c r="U48" t="s">
        <v>264</v>
      </c>
    </row>
    <row r="49" spans="1:21">
      <c r="A49" t="s">
        <v>849</v>
      </c>
      <c r="B49" s="22" t="s">
        <v>742</v>
      </c>
      <c r="C49" t="s">
        <v>743</v>
      </c>
      <c r="D49" s="1">
        <v>10</v>
      </c>
      <c r="E49" s="23">
        <f t="shared" si="0"/>
        <v>0.12820512820512819</v>
      </c>
    </row>
    <row r="50" spans="1:21">
      <c r="A50" t="s">
        <v>850</v>
      </c>
      <c r="B50" s="22" t="s">
        <v>742</v>
      </c>
      <c r="C50" t="s">
        <v>743</v>
      </c>
      <c r="D50" s="1">
        <v>8</v>
      </c>
      <c r="E50" s="23">
        <f t="shared" si="0"/>
        <v>0.10256410256410256</v>
      </c>
    </row>
    <row r="51" spans="1:21">
      <c r="A51" t="s">
        <v>756</v>
      </c>
      <c r="B51" s="22" t="s">
        <v>742</v>
      </c>
      <c r="C51" t="s">
        <v>743</v>
      </c>
      <c r="D51" s="1">
        <v>20</v>
      </c>
      <c r="E51" s="23">
        <f t="shared" si="0"/>
        <v>0.25641025641025639</v>
      </c>
      <c r="T51">
        <v>226</v>
      </c>
      <c r="U51" t="s">
        <v>851</v>
      </c>
    </row>
    <row r="52" spans="1:21">
      <c r="A52" t="s">
        <v>769</v>
      </c>
      <c r="B52" s="22" t="s">
        <v>742</v>
      </c>
      <c r="C52" t="s">
        <v>743</v>
      </c>
      <c r="D52" s="1">
        <v>10</v>
      </c>
      <c r="E52" s="23">
        <f t="shared" si="0"/>
        <v>0.12820512820512819</v>
      </c>
    </row>
    <row r="53" spans="1:21">
      <c r="A53" t="s">
        <v>763</v>
      </c>
      <c r="B53" s="22" t="s">
        <v>742</v>
      </c>
      <c r="C53" t="s">
        <v>743</v>
      </c>
      <c r="D53" s="1">
        <v>10</v>
      </c>
      <c r="E53" s="23">
        <f t="shared" si="0"/>
        <v>0.12820512820512819</v>
      </c>
    </row>
    <row r="54" spans="1:21">
      <c r="A54" t="s">
        <v>830</v>
      </c>
      <c r="B54" s="22" t="s">
        <v>742</v>
      </c>
      <c r="C54" t="s">
        <v>743</v>
      </c>
      <c r="D54" s="1">
        <v>40</v>
      </c>
      <c r="E54" s="23">
        <f t="shared" si="0"/>
        <v>0.51282051282051277</v>
      </c>
      <c r="T54">
        <v>227</v>
      </c>
      <c r="U54" t="s">
        <v>852</v>
      </c>
    </row>
    <row r="55" spans="1:21">
      <c r="A55" t="s">
        <v>821</v>
      </c>
      <c r="B55" s="22" t="s">
        <v>742</v>
      </c>
      <c r="C55" t="s">
        <v>743</v>
      </c>
      <c r="D55" s="1">
        <v>38</v>
      </c>
      <c r="E55" s="23">
        <f t="shared" si="0"/>
        <v>0.48717948717948717</v>
      </c>
      <c r="T55">
        <v>228</v>
      </c>
      <c r="U55" t="s">
        <v>853</v>
      </c>
    </row>
    <row r="56" spans="1:21">
      <c r="A56" t="s">
        <v>810</v>
      </c>
      <c r="B56" s="22" t="s">
        <v>742</v>
      </c>
      <c r="C56" t="s">
        <v>743</v>
      </c>
      <c r="D56" s="1">
        <v>78</v>
      </c>
      <c r="E56" s="23">
        <f t="shared" si="0"/>
        <v>1</v>
      </c>
      <c r="T56">
        <v>300</v>
      </c>
      <c r="U56" t="s">
        <v>854</v>
      </c>
    </row>
    <row r="57" spans="1:21">
      <c r="T57">
        <v>302</v>
      </c>
      <c r="U57" t="s">
        <v>855</v>
      </c>
    </row>
    <row r="58" spans="1:21">
      <c r="T58">
        <v>303</v>
      </c>
      <c r="U58" t="s">
        <v>856</v>
      </c>
    </row>
    <row r="59" spans="1:21">
      <c r="T59">
        <v>304</v>
      </c>
      <c r="U59" t="s">
        <v>857</v>
      </c>
    </row>
    <row r="60" spans="1:21">
      <c r="T60">
        <v>305</v>
      </c>
      <c r="U60" t="s">
        <v>858</v>
      </c>
    </row>
    <row r="61" spans="1:21">
      <c r="T61">
        <v>306</v>
      </c>
      <c r="U61" t="s">
        <v>859</v>
      </c>
    </row>
    <row r="62" spans="1:21">
      <c r="T62">
        <v>307</v>
      </c>
      <c r="U62" t="s">
        <v>860</v>
      </c>
    </row>
    <row r="63" spans="1:21">
      <c r="T63">
        <v>309</v>
      </c>
      <c r="U63" t="s">
        <v>861</v>
      </c>
    </row>
    <row r="64" spans="1:21">
      <c r="T64">
        <v>310</v>
      </c>
      <c r="U64" t="s">
        <v>862</v>
      </c>
    </row>
    <row r="65" spans="20:21">
      <c r="T65">
        <v>312</v>
      </c>
      <c r="U65" t="s">
        <v>863</v>
      </c>
    </row>
    <row r="66" spans="20:21">
      <c r="T66">
        <v>313</v>
      </c>
      <c r="U66" t="s">
        <v>206</v>
      </c>
    </row>
    <row r="67" spans="20:21">
      <c r="T67">
        <v>314</v>
      </c>
      <c r="U67" t="s">
        <v>864</v>
      </c>
    </row>
    <row r="68" spans="20:21">
      <c r="T68">
        <v>315</v>
      </c>
      <c r="U68" t="s">
        <v>865</v>
      </c>
    </row>
    <row r="69" spans="20:21">
      <c r="T69">
        <v>317</v>
      </c>
      <c r="U69" t="s">
        <v>866</v>
      </c>
    </row>
    <row r="70" spans="20:21">
      <c r="T70">
        <v>318</v>
      </c>
      <c r="U70" t="s">
        <v>867</v>
      </c>
    </row>
    <row r="71" spans="20:21">
      <c r="T71">
        <v>319</v>
      </c>
      <c r="U71" t="s">
        <v>868</v>
      </c>
    </row>
    <row r="72" spans="20:21">
      <c r="T72">
        <v>320</v>
      </c>
      <c r="U72" t="s">
        <v>869</v>
      </c>
    </row>
    <row r="73" spans="20:21">
      <c r="T73">
        <v>321</v>
      </c>
      <c r="U73" t="s">
        <v>870</v>
      </c>
    </row>
    <row r="74" spans="20:21">
      <c r="T74">
        <v>324</v>
      </c>
      <c r="U74" t="s">
        <v>871</v>
      </c>
    </row>
    <row r="75" spans="20:21">
      <c r="T75">
        <v>325</v>
      </c>
      <c r="U75" t="s">
        <v>872</v>
      </c>
    </row>
    <row r="76" spans="20:21">
      <c r="T76">
        <v>326</v>
      </c>
      <c r="U76" t="s">
        <v>873</v>
      </c>
    </row>
    <row r="77" spans="20:21">
      <c r="T77">
        <v>327</v>
      </c>
      <c r="U77" t="s">
        <v>874</v>
      </c>
    </row>
    <row r="78" spans="20:21">
      <c r="T78">
        <v>341</v>
      </c>
      <c r="U78" t="s">
        <v>875</v>
      </c>
    </row>
    <row r="79" spans="20:21">
      <c r="T79">
        <v>343</v>
      </c>
      <c r="U79" t="s">
        <v>876</v>
      </c>
    </row>
    <row r="80" spans="20:21">
      <c r="T80">
        <v>344</v>
      </c>
      <c r="U80" t="s">
        <v>877</v>
      </c>
    </row>
    <row r="81" spans="20:21">
      <c r="T81">
        <v>345</v>
      </c>
      <c r="U81" t="s">
        <v>878</v>
      </c>
    </row>
    <row r="82" spans="20:21">
      <c r="T82">
        <v>347</v>
      </c>
      <c r="U82" t="s">
        <v>879</v>
      </c>
    </row>
    <row r="83" spans="20:21">
      <c r="T83">
        <v>349</v>
      </c>
      <c r="U83" t="s">
        <v>880</v>
      </c>
    </row>
    <row r="84" spans="20:21">
      <c r="T84">
        <v>352</v>
      </c>
      <c r="U84" t="s">
        <v>881</v>
      </c>
    </row>
    <row r="85" spans="20:21">
      <c r="T85">
        <v>354</v>
      </c>
      <c r="U85" t="s">
        <v>882</v>
      </c>
    </row>
    <row r="86" spans="20:21">
      <c r="T86">
        <v>356</v>
      </c>
      <c r="U86" t="s">
        <v>883</v>
      </c>
    </row>
    <row r="87" spans="20:21">
      <c r="T87">
        <v>357</v>
      </c>
      <c r="U87" t="s">
        <v>884</v>
      </c>
    </row>
    <row r="88" spans="20:21">
      <c r="T88">
        <v>360</v>
      </c>
      <c r="U88" t="s">
        <v>885</v>
      </c>
    </row>
    <row r="89" spans="20:21">
      <c r="T89">
        <v>361</v>
      </c>
      <c r="U89" t="s">
        <v>886</v>
      </c>
    </row>
    <row r="90" spans="20:21">
      <c r="T90">
        <v>362</v>
      </c>
      <c r="U90" t="s">
        <v>887</v>
      </c>
    </row>
    <row r="91" spans="20:21">
      <c r="T91">
        <v>363</v>
      </c>
      <c r="U91" t="s">
        <v>888</v>
      </c>
    </row>
    <row r="92" spans="20:21">
      <c r="T92">
        <v>364</v>
      </c>
      <c r="U92" t="s">
        <v>889</v>
      </c>
    </row>
    <row r="93" spans="20:21">
      <c r="T93">
        <v>365</v>
      </c>
      <c r="U93" t="s">
        <v>890</v>
      </c>
    </row>
    <row r="94" spans="20:21">
      <c r="T94">
        <v>366</v>
      </c>
      <c r="U94" t="s">
        <v>891</v>
      </c>
    </row>
    <row r="95" spans="20:21">
      <c r="T95">
        <v>400</v>
      </c>
      <c r="U95" t="s">
        <v>892</v>
      </c>
    </row>
    <row r="96" spans="20:21">
      <c r="T96" s="92">
        <v>401</v>
      </c>
      <c r="U96" t="s">
        <v>236</v>
      </c>
    </row>
    <row r="97" spans="20:21">
      <c r="T97" s="92">
        <v>402</v>
      </c>
      <c r="U97" t="s">
        <v>227</v>
      </c>
    </row>
    <row r="98" spans="20:21">
      <c r="T98" s="92">
        <v>403</v>
      </c>
      <c r="U98" t="s">
        <v>175</v>
      </c>
    </row>
    <row r="99" spans="20:21">
      <c r="T99" s="92">
        <v>404</v>
      </c>
      <c r="U99" t="s">
        <v>239</v>
      </c>
    </row>
    <row r="100" spans="20:21">
      <c r="T100" s="92">
        <v>405</v>
      </c>
      <c r="U100" t="s">
        <v>199</v>
      </c>
    </row>
    <row r="101" spans="20:21">
      <c r="T101" s="92">
        <v>406</v>
      </c>
      <c r="U101" t="s">
        <v>176</v>
      </c>
    </row>
    <row r="102" spans="20:21">
      <c r="T102" s="92">
        <v>407</v>
      </c>
      <c r="U102" t="s">
        <v>251</v>
      </c>
    </row>
    <row r="103" spans="20:21">
      <c r="T103" s="92">
        <v>408</v>
      </c>
      <c r="U103" t="s">
        <v>893</v>
      </c>
    </row>
    <row r="104" spans="20:21">
      <c r="T104" s="92">
        <v>409</v>
      </c>
      <c r="U104" t="s">
        <v>894</v>
      </c>
    </row>
    <row r="105" spans="20:21">
      <c r="T105" s="92">
        <v>410</v>
      </c>
      <c r="U105" t="s">
        <v>191</v>
      </c>
    </row>
    <row r="106" spans="20:21">
      <c r="T106" s="92">
        <v>411</v>
      </c>
      <c r="U106" t="s">
        <v>895</v>
      </c>
    </row>
    <row r="107" spans="20:21">
      <c r="T107" s="92">
        <v>412</v>
      </c>
      <c r="U107" t="s">
        <v>167</v>
      </c>
    </row>
    <row r="108" spans="20:21">
      <c r="T108" s="92">
        <v>413</v>
      </c>
      <c r="U108" t="s">
        <v>257</v>
      </c>
    </row>
    <row r="109" spans="20:21">
      <c r="T109" s="92">
        <v>414</v>
      </c>
      <c r="U109" t="s">
        <v>896</v>
      </c>
    </row>
    <row r="110" spans="20:21">
      <c r="T110" s="92">
        <v>415</v>
      </c>
      <c r="U110" t="s">
        <v>897</v>
      </c>
    </row>
    <row r="111" spans="20:21">
      <c r="T111">
        <v>416</v>
      </c>
      <c r="U111" t="s">
        <v>208</v>
      </c>
    </row>
    <row r="112" spans="20:21">
      <c r="T112" s="92">
        <v>417</v>
      </c>
      <c r="U112" t="s">
        <v>898</v>
      </c>
    </row>
    <row r="113" spans="20:21">
      <c r="T113" s="92">
        <v>418</v>
      </c>
      <c r="U113" t="s">
        <v>899</v>
      </c>
    </row>
    <row r="114" spans="20:21">
      <c r="T114" s="92">
        <v>419</v>
      </c>
      <c r="U114" t="s">
        <v>900</v>
      </c>
    </row>
    <row r="115" spans="20:21">
      <c r="T115" s="92">
        <v>421</v>
      </c>
      <c r="U115" t="s">
        <v>240</v>
      </c>
    </row>
    <row r="116" spans="20:21">
      <c r="T116" s="92">
        <v>422</v>
      </c>
      <c r="U116" t="s">
        <v>901</v>
      </c>
    </row>
    <row r="117" spans="20:21">
      <c r="T117" s="92">
        <v>423</v>
      </c>
      <c r="U117" t="s">
        <v>902</v>
      </c>
    </row>
    <row r="118" spans="20:21">
      <c r="T118" s="92">
        <v>424</v>
      </c>
      <c r="U118" t="s">
        <v>903</v>
      </c>
    </row>
    <row r="119" spans="20:21">
      <c r="T119" s="92">
        <v>425</v>
      </c>
      <c r="U119" t="s">
        <v>904</v>
      </c>
    </row>
    <row r="120" spans="20:21">
      <c r="T120" s="92">
        <v>426</v>
      </c>
      <c r="U120" t="s">
        <v>201</v>
      </c>
    </row>
    <row r="121" spans="20:21">
      <c r="T121" s="92">
        <v>427</v>
      </c>
      <c r="U121" t="s">
        <v>905</v>
      </c>
    </row>
    <row r="122" spans="20:21">
      <c r="T122" s="92">
        <v>429</v>
      </c>
      <c r="U122" t="s">
        <v>221</v>
      </c>
    </row>
    <row r="123" spans="20:21">
      <c r="T123" s="92">
        <v>430</v>
      </c>
      <c r="U123" t="s">
        <v>254</v>
      </c>
    </row>
    <row r="124" spans="20:21">
      <c r="T124" s="92">
        <v>431</v>
      </c>
      <c r="U124" t="s">
        <v>906</v>
      </c>
    </row>
    <row r="125" spans="20:21">
      <c r="T125" s="92">
        <v>432</v>
      </c>
      <c r="U125" t="s">
        <v>907</v>
      </c>
    </row>
    <row r="126" spans="20:21">
      <c r="T126" s="92">
        <v>433</v>
      </c>
      <c r="U126" t="s">
        <v>243</v>
      </c>
    </row>
    <row r="127" spans="20:21">
      <c r="T127" s="92">
        <v>434</v>
      </c>
      <c r="U127" t="s">
        <v>908</v>
      </c>
    </row>
    <row r="128" spans="20:21">
      <c r="T128" s="92">
        <v>435</v>
      </c>
      <c r="U128" t="s">
        <v>909</v>
      </c>
    </row>
    <row r="129" spans="20:21">
      <c r="T129" s="92">
        <v>441</v>
      </c>
      <c r="U129" t="s">
        <v>259</v>
      </c>
    </row>
    <row r="130" spans="20:21">
      <c r="T130" s="92">
        <v>442</v>
      </c>
      <c r="U130" t="s">
        <v>910</v>
      </c>
    </row>
    <row r="131" spans="20:21">
      <c r="T131" s="92">
        <v>444</v>
      </c>
      <c r="U131" t="s">
        <v>168</v>
      </c>
    </row>
    <row r="132" spans="20:21">
      <c r="T132" s="92">
        <v>445</v>
      </c>
      <c r="U132" t="s">
        <v>911</v>
      </c>
    </row>
    <row r="133" spans="20:21">
      <c r="T133" s="92">
        <v>446</v>
      </c>
      <c r="U133" t="s">
        <v>912</v>
      </c>
    </row>
    <row r="134" spans="20:21">
      <c r="T134" s="92">
        <v>447</v>
      </c>
      <c r="U134" t="s">
        <v>913</v>
      </c>
    </row>
    <row r="135" spans="20:21">
      <c r="T135" s="92">
        <v>448</v>
      </c>
      <c r="U135" t="s">
        <v>914</v>
      </c>
    </row>
    <row r="136" spans="20:21">
      <c r="T136" s="93">
        <v>500</v>
      </c>
      <c r="U136" t="s">
        <v>177</v>
      </c>
    </row>
    <row r="137" spans="20:21">
      <c r="T137" s="93">
        <v>501</v>
      </c>
      <c r="U137" t="s">
        <v>234</v>
      </c>
    </row>
    <row r="138" spans="20:21">
      <c r="T138" s="93">
        <v>502</v>
      </c>
      <c r="U138" t="s">
        <v>170</v>
      </c>
    </row>
    <row r="139" spans="20:21">
      <c r="T139" s="93">
        <v>506</v>
      </c>
      <c r="U139" t="s">
        <v>915</v>
      </c>
    </row>
    <row r="140" spans="20:21">
      <c r="T140" s="93">
        <v>507</v>
      </c>
      <c r="U140" t="s">
        <v>235</v>
      </c>
    </row>
    <row r="141" spans="20:21">
      <c r="T141" s="93">
        <v>509</v>
      </c>
      <c r="U141" t="s">
        <v>171</v>
      </c>
    </row>
    <row r="142" spans="20:21">
      <c r="T142" s="93">
        <v>514</v>
      </c>
      <c r="U142" t="s">
        <v>916</v>
      </c>
    </row>
    <row r="143" spans="20:21">
      <c r="T143" s="93">
        <v>515</v>
      </c>
      <c r="U143" t="s">
        <v>917</v>
      </c>
    </row>
    <row r="144" spans="20:21">
      <c r="T144" s="93">
        <v>516</v>
      </c>
      <c r="U144" t="s">
        <v>918</v>
      </c>
    </row>
    <row r="145" spans="20:21">
      <c r="T145" s="93">
        <v>517</v>
      </c>
      <c r="U145" t="s">
        <v>919</v>
      </c>
    </row>
    <row r="146" spans="20:21">
      <c r="T146" s="93">
        <v>518</v>
      </c>
      <c r="U146" t="s">
        <v>920</v>
      </c>
    </row>
    <row r="147" spans="20:21">
      <c r="T147">
        <v>519</v>
      </c>
      <c r="U147" t="s">
        <v>921</v>
      </c>
    </row>
    <row r="148" spans="20:21">
      <c r="T148">
        <v>523</v>
      </c>
      <c r="U148" t="s">
        <v>179</v>
      </c>
    </row>
    <row r="149" spans="20:21">
      <c r="T149">
        <v>524</v>
      </c>
      <c r="U149" t="s">
        <v>265</v>
      </c>
    </row>
    <row r="150" spans="20:21">
      <c r="T150">
        <v>525</v>
      </c>
      <c r="U150" t="s">
        <v>922</v>
      </c>
    </row>
    <row r="151" spans="20:21">
      <c r="T151">
        <v>526</v>
      </c>
      <c r="U151" t="s">
        <v>923</v>
      </c>
    </row>
    <row r="152" spans="20:21">
      <c r="T152">
        <v>527</v>
      </c>
      <c r="U152" t="s">
        <v>924</v>
      </c>
    </row>
    <row r="153" spans="20:21">
      <c r="T153">
        <v>528</v>
      </c>
      <c r="U153" t="s">
        <v>925</v>
      </c>
    </row>
    <row r="154" spans="20:21">
      <c r="T154">
        <v>530</v>
      </c>
      <c r="U154" t="s">
        <v>926</v>
      </c>
    </row>
    <row r="155" spans="20:21">
      <c r="T155">
        <v>532</v>
      </c>
      <c r="U155" t="s">
        <v>927</v>
      </c>
    </row>
    <row r="156" spans="20:21">
      <c r="T156">
        <v>533</v>
      </c>
      <c r="U156" t="s">
        <v>928</v>
      </c>
    </row>
    <row r="157" spans="20:21">
      <c r="T157">
        <v>534</v>
      </c>
      <c r="U157" t="s">
        <v>929</v>
      </c>
    </row>
    <row r="158" spans="20:21">
      <c r="T158">
        <v>537</v>
      </c>
      <c r="U158" t="s">
        <v>260</v>
      </c>
    </row>
    <row r="159" spans="20:21">
      <c r="T159">
        <v>538</v>
      </c>
      <c r="U159" t="s">
        <v>152</v>
      </c>
    </row>
    <row r="160" spans="20:21">
      <c r="T160">
        <v>539</v>
      </c>
      <c r="U160" t="s">
        <v>930</v>
      </c>
    </row>
    <row r="161" spans="20:21">
      <c r="T161">
        <v>550</v>
      </c>
      <c r="U161" t="s">
        <v>169</v>
      </c>
    </row>
    <row r="162" spans="20:21">
      <c r="T162">
        <v>551</v>
      </c>
      <c r="U162" t="s">
        <v>931</v>
      </c>
    </row>
    <row r="163" spans="20:21">
      <c r="T163">
        <v>552</v>
      </c>
      <c r="U163" t="s">
        <v>209</v>
      </c>
    </row>
    <row r="164" spans="20:21">
      <c r="T164">
        <v>565</v>
      </c>
      <c r="U164" t="s">
        <v>932</v>
      </c>
    </row>
    <row r="165" spans="20:21">
      <c r="T165">
        <v>566</v>
      </c>
      <c r="U165" t="s">
        <v>933</v>
      </c>
    </row>
    <row r="166" spans="20:21">
      <c r="T166">
        <v>567</v>
      </c>
      <c r="U166" t="s">
        <v>934</v>
      </c>
    </row>
    <row r="167" spans="20:21">
      <c r="T167">
        <v>568</v>
      </c>
      <c r="U167" t="s">
        <v>935</v>
      </c>
    </row>
    <row r="168" spans="20:21">
      <c r="T168">
        <v>571</v>
      </c>
      <c r="U168" t="s">
        <v>936</v>
      </c>
    </row>
    <row r="169" spans="20:21">
      <c r="T169">
        <v>572</v>
      </c>
      <c r="U169" t="s">
        <v>937</v>
      </c>
    </row>
    <row r="170" spans="20:21">
      <c r="T170">
        <v>573</v>
      </c>
      <c r="U170" t="s">
        <v>938</v>
      </c>
    </row>
    <row r="171" spans="20:21">
      <c r="T171">
        <v>574</v>
      </c>
      <c r="U171" t="s">
        <v>939</v>
      </c>
    </row>
    <row r="172" spans="20:21">
      <c r="T172">
        <v>575</v>
      </c>
      <c r="U172" t="s">
        <v>940</v>
      </c>
    </row>
    <row r="173" spans="20:21">
      <c r="T173">
        <v>576</v>
      </c>
      <c r="U173" t="s">
        <v>941</v>
      </c>
    </row>
    <row r="174" spans="20:21">
      <c r="T174">
        <v>577</v>
      </c>
      <c r="U174" t="s">
        <v>220</v>
      </c>
    </row>
    <row r="175" spans="20:21">
      <c r="T175">
        <v>600</v>
      </c>
      <c r="U175" t="s">
        <v>942</v>
      </c>
    </row>
    <row r="176" spans="20:21">
      <c r="T176">
        <v>601</v>
      </c>
      <c r="U176" t="s">
        <v>943</v>
      </c>
    </row>
    <row r="177" spans="20:21">
      <c r="T177">
        <v>602</v>
      </c>
      <c r="U177" t="s">
        <v>944</v>
      </c>
    </row>
    <row r="178" spans="20:21">
      <c r="T178">
        <v>603</v>
      </c>
      <c r="U178" t="s">
        <v>250</v>
      </c>
    </row>
    <row r="179" spans="20:21">
      <c r="T179">
        <v>609</v>
      </c>
      <c r="U179" t="s">
        <v>945</v>
      </c>
    </row>
    <row r="180" spans="20:21">
      <c r="T180">
        <v>610</v>
      </c>
      <c r="U180" t="s">
        <v>946</v>
      </c>
    </row>
    <row r="181" spans="20:21">
      <c r="T181">
        <v>611</v>
      </c>
      <c r="U181" t="s">
        <v>947</v>
      </c>
    </row>
    <row r="182" spans="20:21">
      <c r="T182">
        <v>612</v>
      </c>
      <c r="U182" t="s">
        <v>948</v>
      </c>
    </row>
    <row r="183" spans="20:21">
      <c r="T183">
        <v>613</v>
      </c>
      <c r="U183" t="s">
        <v>949</v>
      </c>
    </row>
    <row r="184" spans="20:21">
      <c r="T184">
        <v>615</v>
      </c>
      <c r="U184" t="s">
        <v>950</v>
      </c>
    </row>
    <row r="185" spans="20:21">
      <c r="T185">
        <v>616</v>
      </c>
      <c r="U185" t="s">
        <v>951</v>
      </c>
    </row>
    <row r="186" spans="20:21">
      <c r="T186">
        <v>619</v>
      </c>
      <c r="U186" t="s">
        <v>952</v>
      </c>
    </row>
    <row r="187" spans="20:21">
      <c r="T187">
        <v>621</v>
      </c>
      <c r="U187" t="s">
        <v>246</v>
      </c>
    </row>
    <row r="188" spans="20:21">
      <c r="T188">
        <v>622</v>
      </c>
      <c r="U188" t="s">
        <v>953</v>
      </c>
    </row>
    <row r="189" spans="20:21">
      <c r="T189">
        <v>623</v>
      </c>
      <c r="U189" t="s">
        <v>954</v>
      </c>
    </row>
    <row r="190" spans="20:21">
      <c r="T190">
        <v>624</v>
      </c>
      <c r="U190" t="s">
        <v>955</v>
      </c>
    </row>
    <row r="191" spans="20:21">
      <c r="T191">
        <v>625</v>
      </c>
      <c r="U191" t="s">
        <v>956</v>
      </c>
    </row>
    <row r="192" spans="20:21">
      <c r="T192">
        <v>626</v>
      </c>
      <c r="U192" t="s">
        <v>957</v>
      </c>
    </row>
    <row r="193" spans="20:21">
      <c r="T193">
        <v>627</v>
      </c>
      <c r="U193" t="s">
        <v>958</v>
      </c>
    </row>
    <row r="194" spans="20:21">
      <c r="T194">
        <v>628</v>
      </c>
      <c r="U194" t="s">
        <v>959</v>
      </c>
    </row>
    <row r="195" spans="20:21">
      <c r="T195">
        <v>629</v>
      </c>
      <c r="U195" t="s">
        <v>960</v>
      </c>
    </row>
    <row r="196" spans="20:21">
      <c r="T196">
        <v>700</v>
      </c>
      <c r="U196" t="s">
        <v>197</v>
      </c>
    </row>
    <row r="197" spans="20:21">
      <c r="T197">
        <v>702</v>
      </c>
      <c r="U197" t="s">
        <v>961</v>
      </c>
    </row>
    <row r="198" spans="20:21">
      <c r="T198">
        <v>703</v>
      </c>
      <c r="U198" t="s">
        <v>962</v>
      </c>
    </row>
    <row r="199" spans="20:21">
      <c r="T199">
        <v>707</v>
      </c>
      <c r="U199" t="s">
        <v>963</v>
      </c>
    </row>
    <row r="200" spans="20:21">
      <c r="T200">
        <v>708</v>
      </c>
      <c r="U200" t="s">
        <v>964</v>
      </c>
    </row>
    <row r="201" spans="20:21">
      <c r="T201">
        <v>711</v>
      </c>
      <c r="U201" t="s">
        <v>965</v>
      </c>
    </row>
    <row r="202" spans="20:21">
      <c r="T202">
        <v>715</v>
      </c>
      <c r="U202" t="s">
        <v>966</v>
      </c>
    </row>
    <row r="203" spans="20:21">
      <c r="T203">
        <v>716</v>
      </c>
      <c r="U203" t="s">
        <v>967</v>
      </c>
    </row>
    <row r="204" spans="20:21">
      <c r="T204">
        <v>717</v>
      </c>
      <c r="U204" t="s">
        <v>968</v>
      </c>
    </row>
    <row r="205" spans="20:21">
      <c r="T205">
        <v>718</v>
      </c>
      <c r="U205" t="s">
        <v>969</v>
      </c>
    </row>
    <row r="206" spans="20:21">
      <c r="T206">
        <v>719</v>
      </c>
      <c r="U206" t="s">
        <v>970</v>
      </c>
    </row>
    <row r="207" spans="20:21">
      <c r="T207">
        <v>720</v>
      </c>
      <c r="U207" t="s">
        <v>971</v>
      </c>
    </row>
    <row r="208" spans="20:21">
      <c r="T208">
        <v>721</v>
      </c>
      <c r="U208" t="s">
        <v>972</v>
      </c>
    </row>
    <row r="209" spans="20:21">
      <c r="T209">
        <v>722</v>
      </c>
      <c r="U209" t="s">
        <v>210</v>
      </c>
    </row>
    <row r="210" spans="20:21">
      <c r="T210">
        <v>728</v>
      </c>
      <c r="U210" t="s">
        <v>973</v>
      </c>
    </row>
    <row r="211" spans="20:21">
      <c r="T211">
        <v>800</v>
      </c>
      <c r="U211" t="s">
        <v>195</v>
      </c>
    </row>
    <row r="212" spans="20:21">
      <c r="T212">
        <v>802</v>
      </c>
      <c r="U212" t="s">
        <v>974</v>
      </c>
    </row>
    <row r="213" spans="20:21">
      <c r="T213">
        <v>803</v>
      </c>
      <c r="U213" t="s">
        <v>184</v>
      </c>
    </row>
    <row r="214" spans="20:21">
      <c r="T214">
        <v>804</v>
      </c>
      <c r="U214" t="s">
        <v>222</v>
      </c>
    </row>
    <row r="215" spans="20:21">
      <c r="T215">
        <v>806</v>
      </c>
      <c r="U215" t="s">
        <v>975</v>
      </c>
    </row>
    <row r="216" spans="20:21">
      <c r="T216">
        <v>811</v>
      </c>
      <c r="U216" t="s">
        <v>976</v>
      </c>
    </row>
    <row r="217" spans="20:21">
      <c r="T217">
        <v>812</v>
      </c>
      <c r="U217" t="s">
        <v>145</v>
      </c>
    </row>
    <row r="218" spans="20:21">
      <c r="T218">
        <v>813</v>
      </c>
      <c r="U218" t="s">
        <v>185</v>
      </c>
    </row>
    <row r="219" spans="20:21">
      <c r="T219">
        <v>814</v>
      </c>
      <c r="U219" t="s">
        <v>977</v>
      </c>
    </row>
    <row r="220" spans="20:21">
      <c r="T220">
        <v>816</v>
      </c>
      <c r="U220" t="s">
        <v>978</v>
      </c>
    </row>
    <row r="221" spans="20:21">
      <c r="T221">
        <v>817</v>
      </c>
      <c r="U221" t="s">
        <v>979</v>
      </c>
    </row>
    <row r="222" spans="20:21">
      <c r="T222">
        <v>819</v>
      </c>
      <c r="U222" t="s">
        <v>980</v>
      </c>
    </row>
    <row r="223" spans="20:21">
      <c r="T223">
        <v>820</v>
      </c>
      <c r="U223" t="s">
        <v>981</v>
      </c>
    </row>
    <row r="224" spans="20:21">
      <c r="T224">
        <v>823</v>
      </c>
      <c r="U224" t="s">
        <v>982</v>
      </c>
    </row>
    <row r="225" spans="20:21">
      <c r="T225">
        <v>825</v>
      </c>
      <c r="U225" t="s">
        <v>983</v>
      </c>
    </row>
    <row r="226" spans="20:21">
      <c r="T226">
        <v>828</v>
      </c>
      <c r="U226" t="s">
        <v>984</v>
      </c>
    </row>
    <row r="227" spans="20:21">
      <c r="T227">
        <v>829</v>
      </c>
      <c r="U227" t="s">
        <v>985</v>
      </c>
    </row>
    <row r="228" spans="20:21">
      <c r="T228">
        <v>900</v>
      </c>
      <c r="U228" t="s">
        <v>204</v>
      </c>
    </row>
    <row r="229" spans="20:21">
      <c r="T229">
        <v>901</v>
      </c>
      <c r="U229" t="s">
        <v>986</v>
      </c>
    </row>
    <row r="230" spans="20:21">
      <c r="T230">
        <v>902</v>
      </c>
      <c r="U230" t="s">
        <v>987</v>
      </c>
    </row>
    <row r="231" spans="20:21">
      <c r="T231">
        <v>903</v>
      </c>
      <c r="U231" t="s">
        <v>988</v>
      </c>
    </row>
    <row r="232" spans="20:21">
      <c r="T232">
        <v>904</v>
      </c>
      <c r="U232" t="s">
        <v>989</v>
      </c>
    </row>
    <row r="233" spans="20:21">
      <c r="T233">
        <v>905</v>
      </c>
      <c r="U233" t="s">
        <v>151</v>
      </c>
    </row>
    <row r="234" spans="20:21">
      <c r="T234">
        <v>906</v>
      </c>
      <c r="U234" t="s">
        <v>990</v>
      </c>
    </row>
    <row r="235" spans="20:21">
      <c r="T235">
        <v>907</v>
      </c>
      <c r="U235" t="s">
        <v>156</v>
      </c>
    </row>
    <row r="236" spans="20:21">
      <c r="T236">
        <v>908</v>
      </c>
      <c r="U236" t="s">
        <v>991</v>
      </c>
    </row>
    <row r="237" spans="20:21">
      <c r="T237">
        <v>911</v>
      </c>
      <c r="U237" t="s">
        <v>224</v>
      </c>
    </row>
    <row r="238" spans="20:21">
      <c r="T238">
        <v>912</v>
      </c>
      <c r="U238" t="s">
        <v>992</v>
      </c>
    </row>
    <row r="239" spans="20:21">
      <c r="T239">
        <v>913</v>
      </c>
      <c r="U239" t="s">
        <v>993</v>
      </c>
    </row>
    <row r="240" spans="20:21">
      <c r="T240">
        <v>914</v>
      </c>
      <c r="U240" t="s">
        <v>994</v>
      </c>
    </row>
    <row r="241" spans="20:21">
      <c r="T241">
        <v>915</v>
      </c>
      <c r="U241" t="s">
        <v>995</v>
      </c>
    </row>
    <row r="242" spans="20:21">
      <c r="T242">
        <v>916</v>
      </c>
      <c r="U242" t="s">
        <v>150</v>
      </c>
    </row>
    <row r="243" spans="20:21">
      <c r="T243">
        <v>917</v>
      </c>
      <c r="U243" t="s">
        <v>996</v>
      </c>
    </row>
    <row r="244" spans="20:21">
      <c r="T244">
        <v>932</v>
      </c>
      <c r="U244" t="s">
        <v>997</v>
      </c>
    </row>
    <row r="245" spans="20:21">
      <c r="T245">
        <v>1800</v>
      </c>
      <c r="U245" t="s">
        <v>998</v>
      </c>
    </row>
    <row r="246" spans="20:21">
      <c r="T246">
        <v>1801</v>
      </c>
      <c r="U246" t="s">
        <v>999</v>
      </c>
    </row>
    <row r="247" spans="20:21">
      <c r="T247">
        <v>1812</v>
      </c>
      <c r="U247" t="s">
        <v>1000</v>
      </c>
    </row>
    <row r="248" spans="20:21">
      <c r="T248">
        <v>1813</v>
      </c>
      <c r="U248" t="s">
        <v>155</v>
      </c>
    </row>
    <row r="249" spans="20:21">
      <c r="T249">
        <v>1814</v>
      </c>
      <c r="U249" t="s">
        <v>1001</v>
      </c>
    </row>
    <row r="250" spans="20:21">
      <c r="T250">
        <v>1816</v>
      </c>
      <c r="U250" t="s">
        <v>1002</v>
      </c>
    </row>
    <row r="251" spans="20:21">
      <c r="T251">
        <v>1817</v>
      </c>
      <c r="U251" t="s">
        <v>1003</v>
      </c>
    </row>
    <row r="252" spans="20:21">
      <c r="T252">
        <v>1818</v>
      </c>
      <c r="U252" t="s">
        <v>1004</v>
      </c>
    </row>
    <row r="253" spans="20:21">
      <c r="T253">
        <v>1819</v>
      </c>
      <c r="U253" t="s">
        <v>1005</v>
      </c>
    </row>
    <row r="254" spans="20:21">
      <c r="T254">
        <v>1820</v>
      </c>
      <c r="U254" t="s">
        <v>1006</v>
      </c>
    </row>
    <row r="255" spans="20:21">
      <c r="T255">
        <v>1821</v>
      </c>
      <c r="U255" t="s">
        <v>173</v>
      </c>
    </row>
    <row r="256" spans="20:21">
      <c r="T256">
        <v>1822</v>
      </c>
      <c r="U256" t="s">
        <v>1007</v>
      </c>
    </row>
    <row r="257" spans="20:21">
      <c r="T257">
        <v>1823</v>
      </c>
      <c r="U257" t="s">
        <v>1008</v>
      </c>
    </row>
    <row r="258" spans="20:21">
      <c r="T258">
        <v>1824</v>
      </c>
      <c r="U258" t="s">
        <v>1009</v>
      </c>
    </row>
    <row r="259" spans="20:21">
      <c r="T259">
        <v>1825</v>
      </c>
      <c r="U259" t="s">
        <v>258</v>
      </c>
    </row>
    <row r="260" spans="20:21">
      <c r="T260">
        <v>1828</v>
      </c>
      <c r="U260" t="s">
        <v>225</v>
      </c>
    </row>
    <row r="261" spans="20:21">
      <c r="T261">
        <v>1832</v>
      </c>
      <c r="U261" t="s">
        <v>1010</v>
      </c>
    </row>
    <row r="262" spans="20:21">
      <c r="T262">
        <v>1833</v>
      </c>
      <c r="U262" t="s">
        <v>248</v>
      </c>
    </row>
    <row r="263" spans="20:21">
      <c r="T263">
        <v>1834</v>
      </c>
      <c r="U263" t="s">
        <v>1011</v>
      </c>
    </row>
    <row r="264" spans="20:21">
      <c r="T264">
        <v>1835</v>
      </c>
      <c r="U264" t="s">
        <v>1012</v>
      </c>
    </row>
    <row r="265" spans="20:21">
      <c r="T265">
        <v>1836</v>
      </c>
      <c r="U265" t="s">
        <v>1013</v>
      </c>
    </row>
    <row r="266" spans="20:21">
      <c r="T266">
        <v>1835</v>
      </c>
      <c r="U266" t="s">
        <v>1014</v>
      </c>
    </row>
    <row r="267" spans="20:21">
      <c r="T267">
        <v>1838</v>
      </c>
      <c r="U267" t="s">
        <v>1015</v>
      </c>
    </row>
    <row r="268" spans="20:21">
      <c r="T268">
        <v>1840</v>
      </c>
      <c r="U268" t="s">
        <v>1016</v>
      </c>
    </row>
    <row r="269" spans="20:21">
      <c r="T269">
        <v>1874</v>
      </c>
      <c r="U269" t="s">
        <v>1017</v>
      </c>
    </row>
    <row r="270" spans="20:21">
      <c r="T270">
        <v>1875</v>
      </c>
      <c r="U270" t="s">
        <v>1018</v>
      </c>
    </row>
    <row r="271" spans="20:21">
      <c r="T271">
        <v>1876</v>
      </c>
      <c r="U271" t="s">
        <v>1019</v>
      </c>
    </row>
    <row r="272" spans="20:21">
      <c r="T272">
        <v>1878</v>
      </c>
      <c r="U272" t="s">
        <v>1020</v>
      </c>
    </row>
    <row r="273" spans="20:21">
      <c r="T273">
        <v>1879</v>
      </c>
      <c r="U273" t="s">
        <v>1021</v>
      </c>
    </row>
    <row r="274" spans="20:21">
      <c r="T274">
        <v>1880</v>
      </c>
      <c r="U274" t="s">
        <v>1022</v>
      </c>
    </row>
    <row r="275" spans="20:21">
      <c r="T275">
        <v>1882</v>
      </c>
      <c r="U275" t="s">
        <v>1023</v>
      </c>
    </row>
    <row r="276" spans="20:21">
      <c r="T276">
        <v>1885</v>
      </c>
      <c r="U276" t="s">
        <v>1024</v>
      </c>
    </row>
    <row r="277" spans="20:21">
      <c r="T277">
        <v>1893</v>
      </c>
      <c r="U277" t="s">
        <v>205</v>
      </c>
    </row>
    <row r="278" spans="20:21">
      <c r="T278">
        <v>1894</v>
      </c>
      <c r="U278" t="s">
        <v>143</v>
      </c>
    </row>
    <row r="279" spans="20:21">
      <c r="T279">
        <v>1895</v>
      </c>
      <c r="U279" t="s">
        <v>1025</v>
      </c>
    </row>
    <row r="280" spans="20:21">
      <c r="T280">
        <v>1896</v>
      </c>
      <c r="U280" t="s">
        <v>1026</v>
      </c>
    </row>
    <row r="281" spans="20:21">
      <c r="T281">
        <v>1899</v>
      </c>
      <c r="U281" t="s">
        <v>1027</v>
      </c>
    </row>
    <row r="282" spans="20:21">
      <c r="T282">
        <v>1909</v>
      </c>
      <c r="U282" t="s">
        <v>1028</v>
      </c>
    </row>
    <row r="283" spans="20:21">
      <c r="T283">
        <v>1910</v>
      </c>
      <c r="U283" t="s">
        <v>1029</v>
      </c>
    </row>
    <row r="284" spans="20:21">
      <c r="T284">
        <v>1911</v>
      </c>
      <c r="U284" t="s">
        <v>1030</v>
      </c>
    </row>
    <row r="285" spans="20:21">
      <c r="T285">
        <v>1912</v>
      </c>
      <c r="U285" t="s">
        <v>1031</v>
      </c>
    </row>
    <row r="286" spans="20:21">
      <c r="T286">
        <v>1913</v>
      </c>
      <c r="U286" t="s">
        <v>1032</v>
      </c>
    </row>
    <row r="287" spans="20:21">
      <c r="T287">
        <v>1914</v>
      </c>
      <c r="U287" t="s">
        <v>1033</v>
      </c>
    </row>
    <row r="288" spans="20:21">
      <c r="T288">
        <v>1915</v>
      </c>
      <c r="U288" t="s">
        <v>1034</v>
      </c>
    </row>
    <row r="289" spans="20:21">
      <c r="T289">
        <v>1917</v>
      </c>
      <c r="U289" t="s">
        <v>1035</v>
      </c>
    </row>
    <row r="290" spans="20:21">
      <c r="T290">
        <v>2100</v>
      </c>
      <c r="U290" t="s">
        <v>1036</v>
      </c>
    </row>
    <row r="291" spans="20:21">
      <c r="T291">
        <v>2101</v>
      </c>
      <c r="U291" t="s">
        <v>1037</v>
      </c>
    </row>
    <row r="292" spans="20:21">
      <c r="T292">
        <v>2102</v>
      </c>
      <c r="U292" t="s">
        <v>196</v>
      </c>
    </row>
    <row r="293" spans="20:21">
      <c r="T293">
        <v>2106</v>
      </c>
      <c r="U293" t="s">
        <v>203</v>
      </c>
    </row>
    <row r="294" spans="20:21">
      <c r="T294">
        <v>2107</v>
      </c>
      <c r="U294" t="s">
        <v>226</v>
      </c>
    </row>
    <row r="295" spans="20:21">
      <c r="T295">
        <v>2113</v>
      </c>
      <c r="U295" t="s">
        <v>1038</v>
      </c>
    </row>
    <row r="296" spans="20:21">
      <c r="T296">
        <v>2114</v>
      </c>
      <c r="U296" t="s">
        <v>142</v>
      </c>
    </row>
    <row r="297" spans="20:21">
      <c r="T297">
        <v>2115</v>
      </c>
      <c r="U297" t="s">
        <v>1039</v>
      </c>
    </row>
    <row r="298" spans="20:21">
      <c r="T298">
        <v>2116</v>
      </c>
      <c r="U298" t="s">
        <v>1040</v>
      </c>
    </row>
    <row r="299" spans="20:21">
      <c r="T299">
        <v>2117</v>
      </c>
      <c r="U299" t="s">
        <v>1041</v>
      </c>
    </row>
    <row r="300" spans="20:21">
      <c r="T300">
        <v>2118</v>
      </c>
      <c r="U300" t="s">
        <v>146</v>
      </c>
    </row>
    <row r="301" spans="20:21">
      <c r="T301">
        <v>2119</v>
      </c>
      <c r="U301" t="s">
        <v>1042</v>
      </c>
    </row>
    <row r="302" spans="20:21">
      <c r="T302">
        <v>2120</v>
      </c>
      <c r="U302" t="s">
        <v>1043</v>
      </c>
    </row>
    <row r="303" spans="20:21">
      <c r="T303">
        <v>2124</v>
      </c>
      <c r="U303" t="s">
        <v>1044</v>
      </c>
    </row>
    <row r="304" spans="20:21">
      <c r="T304">
        <v>2125</v>
      </c>
      <c r="U304" t="s">
        <v>1045</v>
      </c>
    </row>
    <row r="305" spans="20:21">
      <c r="T305">
        <v>2129</v>
      </c>
      <c r="U305" t="s">
        <v>1046</v>
      </c>
    </row>
    <row r="306" spans="20:21">
      <c r="T306">
        <v>2130</v>
      </c>
      <c r="U306" t="s">
        <v>1047</v>
      </c>
    </row>
    <row r="307" spans="20:21">
      <c r="T307">
        <v>2131</v>
      </c>
      <c r="U307" t="s">
        <v>1048</v>
      </c>
    </row>
    <row r="308" spans="20:21">
      <c r="T308">
        <v>2198</v>
      </c>
      <c r="U308" t="s">
        <v>1049</v>
      </c>
    </row>
    <row r="309" spans="20:21">
      <c r="T309">
        <v>5200</v>
      </c>
      <c r="U309" t="s">
        <v>252</v>
      </c>
    </row>
    <row r="310" spans="20:21">
      <c r="T310">
        <v>5201</v>
      </c>
      <c r="U310" t="s">
        <v>188</v>
      </c>
    </row>
    <row r="311" spans="20:21">
      <c r="T311">
        <v>5202</v>
      </c>
      <c r="U311" t="s">
        <v>218</v>
      </c>
    </row>
    <row r="312" spans="20:21">
      <c r="T312">
        <v>5203</v>
      </c>
      <c r="U312" t="s">
        <v>174</v>
      </c>
    </row>
    <row r="313" spans="20:21">
      <c r="T313">
        <v>5204</v>
      </c>
      <c r="U313" t="s">
        <v>157</v>
      </c>
    </row>
    <row r="314" spans="20:21">
      <c r="T314">
        <v>5205</v>
      </c>
      <c r="U314" t="s">
        <v>187</v>
      </c>
    </row>
    <row r="315" spans="20:21">
      <c r="T315">
        <v>5206</v>
      </c>
      <c r="U315" t="s">
        <v>1050</v>
      </c>
    </row>
    <row r="316" spans="20:21">
      <c r="T316">
        <v>5207</v>
      </c>
      <c r="U316" t="s">
        <v>163</v>
      </c>
    </row>
    <row r="317" spans="20:21">
      <c r="T317">
        <v>5208</v>
      </c>
      <c r="U317" t="s">
        <v>1051</v>
      </c>
    </row>
    <row r="318" spans="20:21">
      <c r="T318">
        <v>5209</v>
      </c>
      <c r="U318" t="s">
        <v>1052</v>
      </c>
    </row>
    <row r="319" spans="20:21">
      <c r="T319">
        <v>5210</v>
      </c>
      <c r="U319" t="s">
        <v>165</v>
      </c>
    </row>
    <row r="320" spans="20:21">
      <c r="T320">
        <v>5212</v>
      </c>
      <c r="U320" t="s">
        <v>147</v>
      </c>
    </row>
    <row r="321" spans="20:21">
      <c r="T321">
        <v>5213</v>
      </c>
      <c r="U321" t="s">
        <v>1053</v>
      </c>
    </row>
    <row r="322" spans="20:21">
      <c r="T322">
        <v>5213</v>
      </c>
      <c r="U322" t="s">
        <v>1054</v>
      </c>
    </row>
    <row r="323" spans="20:21">
      <c r="T323">
        <v>5215</v>
      </c>
      <c r="U323" t="s">
        <v>200</v>
      </c>
    </row>
    <row r="324" spans="20:21">
      <c r="T324">
        <v>5216</v>
      </c>
      <c r="U324" t="s">
        <v>172</v>
      </c>
    </row>
    <row r="325" spans="20:21">
      <c r="T325">
        <v>5217</v>
      </c>
      <c r="U325" t="s">
        <v>166</v>
      </c>
    </row>
    <row r="326" spans="20:21">
      <c r="T326">
        <v>5218</v>
      </c>
      <c r="U326" t="s">
        <v>1055</v>
      </c>
    </row>
    <row r="327" spans="20:21">
      <c r="T327">
        <v>5219</v>
      </c>
      <c r="U327" t="s">
        <v>153</v>
      </c>
    </row>
    <row r="328" spans="20:21">
      <c r="T328">
        <v>5220</v>
      </c>
      <c r="U328" t="s">
        <v>249</v>
      </c>
    </row>
    <row r="329" spans="20:21">
      <c r="T329">
        <v>5221</v>
      </c>
      <c r="U329" t="s">
        <v>247</v>
      </c>
    </row>
    <row r="330" spans="20:21">
      <c r="T330">
        <v>5222</v>
      </c>
      <c r="U330" t="s">
        <v>202</v>
      </c>
    </row>
    <row r="331" spans="20:21">
      <c r="T331">
        <v>5223</v>
      </c>
      <c r="U331" t="s">
        <v>1056</v>
      </c>
    </row>
    <row r="332" spans="20:21">
      <c r="T332">
        <v>5224</v>
      </c>
      <c r="U332" t="s">
        <v>238</v>
      </c>
    </row>
    <row r="333" spans="20:21">
      <c r="T333">
        <v>5225</v>
      </c>
      <c r="U333" t="s">
        <v>263</v>
      </c>
    </row>
    <row r="334" spans="20:21">
      <c r="T334">
        <v>5227</v>
      </c>
      <c r="U334" t="s">
        <v>237</v>
      </c>
    </row>
    <row r="335" spans="20:21">
      <c r="T335">
        <v>5228</v>
      </c>
      <c r="U335" t="s">
        <v>198</v>
      </c>
    </row>
    <row r="336" spans="20:21">
      <c r="T336">
        <v>5229</v>
      </c>
      <c r="U336" t="s">
        <v>1057</v>
      </c>
    </row>
    <row r="337" spans="20:21">
      <c r="T337">
        <v>5230</v>
      </c>
      <c r="U337" t="s">
        <v>1058</v>
      </c>
    </row>
    <row r="338" spans="20:21">
      <c r="T338">
        <v>5231</v>
      </c>
      <c r="U338" t="s">
        <v>1059</v>
      </c>
    </row>
    <row r="339" spans="20:21">
      <c r="T339">
        <v>5232</v>
      </c>
      <c r="U339" t="s">
        <v>1060</v>
      </c>
    </row>
    <row r="340" spans="20:21">
      <c r="T340">
        <v>5233</v>
      </c>
      <c r="U340" t="s">
        <v>1061</v>
      </c>
    </row>
    <row r="341" spans="20:21">
      <c r="T341">
        <v>5234</v>
      </c>
      <c r="U341" t="s">
        <v>161</v>
      </c>
    </row>
    <row r="342" spans="20:21">
      <c r="T342">
        <v>5235</v>
      </c>
      <c r="U342" t="s">
        <v>1062</v>
      </c>
    </row>
    <row r="343" spans="20:21">
      <c r="T343">
        <v>5236</v>
      </c>
      <c r="U343" t="s">
        <v>158</v>
      </c>
    </row>
    <row r="344" spans="20:21">
      <c r="T344">
        <v>5237</v>
      </c>
      <c r="U344" t="s">
        <v>159</v>
      </c>
    </row>
    <row r="345" spans="20:21">
      <c r="T345">
        <v>5238</v>
      </c>
      <c r="U345" t="s">
        <v>160</v>
      </c>
    </row>
    <row r="346" spans="20:21">
      <c r="T346">
        <v>5239</v>
      </c>
      <c r="U346" t="s">
        <v>1063</v>
      </c>
    </row>
    <row r="347" spans="20:21">
      <c r="T347">
        <v>5240</v>
      </c>
      <c r="U347" t="s">
        <v>244</v>
      </c>
    </row>
    <row r="348" spans="20:21">
      <c r="T348">
        <v>5241</v>
      </c>
      <c r="U348" t="s">
        <v>1064</v>
      </c>
    </row>
    <row r="349" spans="20:21">
      <c r="T349">
        <v>5242</v>
      </c>
      <c r="U349" t="s">
        <v>1065</v>
      </c>
    </row>
    <row r="350" spans="20:21">
      <c r="T350">
        <v>5243</v>
      </c>
      <c r="U350" t="s">
        <v>162</v>
      </c>
    </row>
    <row r="351" spans="20:21">
      <c r="T351">
        <v>5244</v>
      </c>
      <c r="U351" t="s">
        <v>1066</v>
      </c>
    </row>
    <row r="352" spans="20:21">
      <c r="T352">
        <v>5245</v>
      </c>
      <c r="U352" t="s">
        <v>1067</v>
      </c>
    </row>
    <row r="353" spans="20:21">
      <c r="T353">
        <v>5246</v>
      </c>
      <c r="U353" t="s">
        <v>1068</v>
      </c>
    </row>
    <row r="354" spans="20:21">
      <c r="T354">
        <v>5247</v>
      </c>
      <c r="U354" t="s">
        <v>223</v>
      </c>
    </row>
    <row r="355" spans="20:21">
      <c r="T355">
        <v>5248</v>
      </c>
      <c r="U355" t="s">
        <v>141</v>
      </c>
    </row>
    <row r="356" spans="20:21">
      <c r="T356">
        <v>5249</v>
      </c>
      <c r="U356" t="s">
        <v>1069</v>
      </c>
    </row>
    <row r="357" spans="20:21">
      <c r="T357">
        <v>5250</v>
      </c>
      <c r="U357" t="s">
        <v>1070</v>
      </c>
    </row>
    <row r="358" spans="20:21">
      <c r="T358">
        <v>5251</v>
      </c>
      <c r="U358" t="s">
        <v>140</v>
      </c>
    </row>
    <row r="359" spans="20:21">
      <c r="T359">
        <v>5252</v>
      </c>
      <c r="U359" t="s">
        <v>1071</v>
      </c>
    </row>
    <row r="360" spans="20:21">
      <c r="T360">
        <v>5253</v>
      </c>
      <c r="U360" t="s">
        <v>1072</v>
      </c>
    </row>
    <row r="361" spans="20:21">
      <c r="T361">
        <v>5254</v>
      </c>
      <c r="U361" t="s">
        <v>164</v>
      </c>
    </row>
    <row r="362" spans="20:21">
      <c r="T362">
        <v>5255</v>
      </c>
      <c r="U362" t="s">
        <v>1073</v>
      </c>
    </row>
    <row r="363" spans="20:21">
      <c r="T363">
        <v>5256</v>
      </c>
      <c r="U363" t="s">
        <v>1074</v>
      </c>
    </row>
    <row r="364" spans="20:21">
      <c r="T364">
        <v>5257</v>
      </c>
      <c r="U364" t="s">
        <v>1075</v>
      </c>
    </row>
    <row r="365" spans="20:21">
      <c r="T365">
        <v>5258</v>
      </c>
      <c r="U365" t="s">
        <v>1076</v>
      </c>
    </row>
    <row r="366" spans="20:21">
      <c r="T366">
        <v>5259</v>
      </c>
      <c r="U366" t="s">
        <v>1077</v>
      </c>
    </row>
    <row r="367" spans="20:21">
      <c r="T367">
        <v>5260</v>
      </c>
      <c r="U367" t="s">
        <v>194</v>
      </c>
    </row>
    <row r="368" spans="20:21">
      <c r="T368">
        <v>5261</v>
      </c>
      <c r="U368" t="s">
        <v>1078</v>
      </c>
    </row>
    <row r="369" spans="20:21">
      <c r="T369">
        <v>5262</v>
      </c>
      <c r="U369" t="s">
        <v>1079</v>
      </c>
    </row>
    <row r="370" spans="20:21">
      <c r="T370">
        <v>5263</v>
      </c>
      <c r="U370" t="s">
        <v>148</v>
      </c>
    </row>
    <row r="371" spans="20:21">
      <c r="T371">
        <v>5264</v>
      </c>
      <c r="U371" t="s">
        <v>1080</v>
      </c>
    </row>
    <row r="372" spans="20:21">
      <c r="T372">
        <v>5265</v>
      </c>
      <c r="U372" t="s">
        <v>1081</v>
      </c>
    </row>
    <row r="373" spans="20:21">
      <c r="T373">
        <v>5266</v>
      </c>
      <c r="U373" t="s">
        <v>1082</v>
      </c>
    </row>
    <row r="374" spans="20:21">
      <c r="T374">
        <v>5267</v>
      </c>
      <c r="U374" t="s">
        <v>1083</v>
      </c>
    </row>
    <row r="375" spans="20:21">
      <c r="T375">
        <v>5268</v>
      </c>
      <c r="U375" t="s">
        <v>178</v>
      </c>
    </row>
    <row r="376" spans="20:21">
      <c r="T376">
        <v>5269</v>
      </c>
      <c r="U376" t="s">
        <v>1084</v>
      </c>
    </row>
    <row r="377" spans="20:21">
      <c r="T377">
        <v>5270</v>
      </c>
      <c r="U377" t="s">
        <v>1085</v>
      </c>
    </row>
    <row r="378" spans="20:21">
      <c r="T378">
        <v>2509</v>
      </c>
      <c r="U378" t="s">
        <v>228</v>
      </c>
    </row>
    <row r="379" spans="20:21">
      <c r="T379" t="s">
        <v>526</v>
      </c>
      <c r="U379" t="s">
        <v>189</v>
      </c>
    </row>
    <row r="380" spans="20:21">
      <c r="T380" t="s">
        <v>1086</v>
      </c>
      <c r="U380" t="s">
        <v>242</v>
      </c>
    </row>
    <row r="381" spans="20:21">
      <c r="T381" t="s">
        <v>1087</v>
      </c>
      <c r="U381" t="s">
        <v>241</v>
      </c>
    </row>
    <row r="382" spans="20:21">
      <c r="T382" t="s">
        <v>1088</v>
      </c>
      <c r="U382" t="s">
        <v>1089</v>
      </c>
    </row>
    <row r="383" spans="20:21">
      <c r="T383" t="s">
        <v>1090</v>
      </c>
      <c r="U383" t="s">
        <v>1091</v>
      </c>
    </row>
    <row r="384" spans="20:21">
      <c r="T384" t="s">
        <v>1092</v>
      </c>
      <c r="U384" t="s">
        <v>1093</v>
      </c>
    </row>
    <row r="385" spans="20:21">
      <c r="T385" t="s">
        <v>1094</v>
      </c>
      <c r="U385" t="s">
        <v>230</v>
      </c>
    </row>
    <row r="386" spans="20:21">
      <c r="T386" t="s">
        <v>517</v>
      </c>
      <c r="U386" t="s">
        <v>256</v>
      </c>
    </row>
    <row r="387" spans="20:21">
      <c r="T387" t="s">
        <v>1095</v>
      </c>
      <c r="U387" t="s">
        <v>1096</v>
      </c>
    </row>
    <row r="388" spans="20:21">
      <c r="T388" t="s">
        <v>1097</v>
      </c>
      <c r="U388" t="s">
        <v>1098</v>
      </c>
    </row>
    <row r="389" spans="20:21">
      <c r="T389" t="s">
        <v>1099</v>
      </c>
      <c r="U389" t="s">
        <v>1100</v>
      </c>
    </row>
    <row r="390" spans="20:21">
      <c r="T390" t="s">
        <v>1101</v>
      </c>
      <c r="U390" t="s">
        <v>1102</v>
      </c>
    </row>
    <row r="391" spans="20:21">
      <c r="T391" t="s">
        <v>552</v>
      </c>
      <c r="U391" t="s">
        <v>231</v>
      </c>
    </row>
    <row r="392" spans="20:21">
      <c r="T392" t="s">
        <v>618</v>
      </c>
      <c r="U392" t="s">
        <v>232</v>
      </c>
    </row>
    <row r="393" spans="20:21">
      <c r="T393" t="s">
        <v>466</v>
      </c>
      <c r="U393" t="s">
        <v>1103</v>
      </c>
    </row>
    <row r="394" spans="20:21">
      <c r="T394" s="94" t="s">
        <v>1104</v>
      </c>
      <c r="U394" s="95" t="s">
        <v>1105</v>
      </c>
    </row>
    <row r="395" spans="20:21">
      <c r="T395" s="103" t="s">
        <v>1106</v>
      </c>
      <c r="U395" s="104" t="s">
        <v>245</v>
      </c>
    </row>
    <row r="396" spans="20:21">
      <c r="T396" s="98" t="s">
        <v>1107</v>
      </c>
      <c r="U396" s="84" t="s">
        <v>262</v>
      </c>
    </row>
  </sheetData>
  <mergeCells count="1">
    <mergeCell ref="W1:Y1"/>
  </mergeCells>
  <phoneticPr fontId="9" type="noConversion"/>
  <conditionalFormatting sqref="T394:T396">
    <cfRule type="duplicateValues" dxfId="53"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AM112" activePane="bottomRight" state="frozen"/>
      <selection pane="bottomRight" activeCell="A115" sqref="A115"/>
      <selection pane="bottomLeft" activeCell="AS104" sqref="AS104"/>
      <selection pane="topRight" activeCell="AS104" sqref="AS104"/>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271</v>
      </c>
      <c r="B2" s="115" t="s">
        <v>3</v>
      </c>
      <c r="C2" s="115" t="s">
        <v>344</v>
      </c>
      <c r="D2" s="115" t="s">
        <v>273</v>
      </c>
      <c r="E2" s="10" t="s">
        <v>74</v>
      </c>
      <c r="F2" s="10" t="s">
        <v>75</v>
      </c>
      <c r="G2" s="10" t="s">
        <v>76</v>
      </c>
      <c r="H2" s="10" t="s">
        <v>77</v>
      </c>
      <c r="I2" s="10" t="s">
        <v>78</v>
      </c>
      <c r="J2" s="10" t="s">
        <v>79</v>
      </c>
      <c r="K2" s="10" t="s">
        <v>80</v>
      </c>
      <c r="L2" s="10" t="s">
        <v>81</v>
      </c>
      <c r="M2" s="10" t="s">
        <v>82</v>
      </c>
      <c r="N2" s="10" t="s">
        <v>83</v>
      </c>
      <c r="O2" s="10" t="s">
        <v>84</v>
      </c>
      <c r="P2" s="10" t="s">
        <v>85</v>
      </c>
      <c r="Q2" s="10" t="s">
        <v>86</v>
      </c>
      <c r="R2" s="10" t="s">
        <v>87</v>
      </c>
      <c r="S2" s="10" t="s">
        <v>88</v>
      </c>
      <c r="T2" s="10" t="s">
        <v>89</v>
      </c>
      <c r="U2" s="10" t="s">
        <v>90</v>
      </c>
      <c r="V2" s="10" t="s">
        <v>91</v>
      </c>
      <c r="W2" s="10" t="s">
        <v>92</v>
      </c>
      <c r="X2" s="10" t="s">
        <v>93</v>
      </c>
      <c r="Y2" s="10" t="s">
        <v>94</v>
      </c>
      <c r="Z2" s="10" t="s">
        <v>95</v>
      </c>
      <c r="AA2" s="10" t="s">
        <v>96</v>
      </c>
      <c r="AB2" s="10" t="s">
        <v>97</v>
      </c>
      <c r="AC2" s="10" t="s">
        <v>98</v>
      </c>
      <c r="AD2" s="10" t="s">
        <v>99</v>
      </c>
      <c r="AE2" s="10" t="s">
        <v>100</v>
      </c>
      <c r="AF2" s="10" t="s">
        <v>101</v>
      </c>
      <c r="AG2" s="10" t="s">
        <v>102</v>
      </c>
      <c r="AH2" s="10" t="s">
        <v>103</v>
      </c>
      <c r="AI2" s="10" t="s">
        <v>104</v>
      </c>
      <c r="AJ2" s="10" t="s">
        <v>105</v>
      </c>
      <c r="AK2" s="10" t="s">
        <v>106</v>
      </c>
      <c r="AL2" s="10" t="s">
        <v>107</v>
      </c>
      <c r="AM2" s="10" t="s">
        <v>108</v>
      </c>
      <c r="AN2" s="10" t="s">
        <v>109</v>
      </c>
      <c r="AO2" s="10" t="s">
        <v>110</v>
      </c>
      <c r="AP2" s="10" t="s">
        <v>111</v>
      </c>
      <c r="AQ2" s="10" t="s">
        <v>112</v>
      </c>
      <c r="AR2" s="115" t="s">
        <v>1108</v>
      </c>
      <c r="AS2" s="115" t="s">
        <v>341</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1109</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1109</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1109</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1109</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1109</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1109</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1109</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1109</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1109</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1109</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1109</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1109</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1109</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1109</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1109</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1109</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1109</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1109</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1109</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1109</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1109</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1109</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1109</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1109</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1109</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1109</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1109</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1109</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1109</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1109</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1109</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1109</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1109</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1109</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1109</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1109</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1109</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1109</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1109</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1109</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1109</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1109</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1109</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1109</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1109</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1109</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1109</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1109</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1109</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1109</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1109</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1109</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1109</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1109</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1109</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1109</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1109</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1109</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1109</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1109</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1109</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1109</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1109</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1109</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1109</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1109</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1109</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1109</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1109</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1109</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1109</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1109</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1109</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1109</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1109</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1109</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1109</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1109</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1109</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1109</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1109</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1109</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1109</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1109</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1109</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1109</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1109</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1109</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1109</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1109</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1109</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1109</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1109</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1109</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1109</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1109</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1109</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1109</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1109</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1109</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1109</v>
      </c>
    </row>
    <row r="116" spans="1:45">
      <c r="A116" s="144">
        <f t="shared" si="8"/>
        <v>45858</v>
      </c>
      <c r="B116" s="141">
        <f>YEAR(Table7[[#This Row],[Date]])+IF(MONTH(Table7[[#This Row],[Date]])&gt;=4,1,0)</f>
        <v>2026</v>
      </c>
      <c r="C116" s="141">
        <f>YEAR(Table7[[#This Row],[Date]])</f>
        <v>2025</v>
      </c>
      <c r="D116" s="143">
        <f t="shared" si="7"/>
        <v>45839</v>
      </c>
      <c r="AR116" s="141">
        <f t="shared" si="6"/>
        <v>0</v>
      </c>
    </row>
    <row r="117" spans="1:45">
      <c r="A117" s="144">
        <f t="shared" si="8"/>
        <v>45859</v>
      </c>
      <c r="B117" s="141">
        <f>YEAR(Table7[[#This Row],[Date]])+IF(MONTH(Table7[[#This Row],[Date]])&gt;=4,1,0)</f>
        <v>2026</v>
      </c>
      <c r="C117" s="141">
        <f>YEAR(Table7[[#This Row],[Date]])</f>
        <v>2025</v>
      </c>
      <c r="D117" s="143">
        <f t="shared" si="7"/>
        <v>45839</v>
      </c>
      <c r="AR117" s="141">
        <f t="shared" si="6"/>
        <v>0</v>
      </c>
    </row>
    <row r="118" spans="1:45">
      <c r="A118" s="144">
        <f t="shared" si="8"/>
        <v>45860</v>
      </c>
      <c r="B118" s="141">
        <f>YEAR(Table7[[#This Row],[Date]])+IF(MONTH(Table7[[#This Row],[Date]])&gt;=4,1,0)</f>
        <v>2026</v>
      </c>
      <c r="C118" s="141">
        <f>YEAR(Table7[[#This Row],[Date]])</f>
        <v>2025</v>
      </c>
      <c r="D118" s="143">
        <f t="shared" si="7"/>
        <v>45839</v>
      </c>
      <c r="AR118" s="141">
        <f t="shared" si="6"/>
        <v>0</v>
      </c>
    </row>
    <row r="119" spans="1:45">
      <c r="A119" s="144">
        <f t="shared" si="8"/>
        <v>45861</v>
      </c>
      <c r="B119" s="141">
        <f>YEAR(Table7[[#This Row],[Date]])+IF(MONTH(Table7[[#This Row],[Date]])&gt;=4,1,0)</f>
        <v>2026</v>
      </c>
      <c r="C119" s="141">
        <f>YEAR(Table7[[#This Row],[Date]])</f>
        <v>2025</v>
      </c>
      <c r="D119" s="143">
        <f t="shared" si="7"/>
        <v>45839</v>
      </c>
      <c r="AR119" s="141">
        <f t="shared" si="6"/>
        <v>0</v>
      </c>
    </row>
    <row r="120" spans="1:45">
      <c r="A120" s="144">
        <f t="shared" si="8"/>
        <v>45862</v>
      </c>
      <c r="B120" s="141">
        <f>YEAR(Table7[[#This Row],[Date]])+IF(MONTH(Table7[[#This Row],[Date]])&gt;=4,1,0)</f>
        <v>2026</v>
      </c>
      <c r="C120" s="141">
        <f>YEAR(Table7[[#This Row],[Date]])</f>
        <v>2025</v>
      </c>
      <c r="D120" s="143">
        <f t="shared" si="7"/>
        <v>45839</v>
      </c>
      <c r="AR120" s="141">
        <f t="shared" si="6"/>
        <v>0</v>
      </c>
    </row>
    <row r="121" spans="1:45">
      <c r="A121" s="144">
        <f t="shared" si="8"/>
        <v>45863</v>
      </c>
      <c r="B121" s="141">
        <f>YEAR(Table7[[#This Row],[Date]])+IF(MONTH(Table7[[#This Row],[Date]])&gt;=4,1,0)</f>
        <v>2026</v>
      </c>
      <c r="C121" s="141">
        <f>YEAR(Table7[[#This Row],[Date]])</f>
        <v>2025</v>
      </c>
      <c r="D121" s="143">
        <f t="shared" si="7"/>
        <v>45839</v>
      </c>
      <c r="AR121" s="141">
        <f t="shared" si="6"/>
        <v>0</v>
      </c>
    </row>
    <row r="122" spans="1:45">
      <c r="A122" s="144">
        <f t="shared" si="8"/>
        <v>45864</v>
      </c>
      <c r="B122" s="141">
        <f>YEAR(Table7[[#This Row],[Date]])+IF(MONTH(Table7[[#This Row],[Date]])&gt;=4,1,0)</f>
        <v>2026</v>
      </c>
      <c r="C122" s="141">
        <f>YEAR(Table7[[#This Row],[Date]])</f>
        <v>2025</v>
      </c>
      <c r="D122" s="143">
        <f t="shared" si="7"/>
        <v>45839</v>
      </c>
      <c r="AR122" s="141">
        <f t="shared" si="6"/>
        <v>0</v>
      </c>
    </row>
    <row r="123" spans="1:45">
      <c r="A123" s="144">
        <f t="shared" si="8"/>
        <v>45865</v>
      </c>
      <c r="B123" s="141">
        <f>YEAR(Table7[[#This Row],[Date]])+IF(MONTH(Table7[[#This Row],[Date]])&gt;=4,1,0)</f>
        <v>2026</v>
      </c>
      <c r="C123" s="141">
        <f>YEAR(Table7[[#This Row],[Date]])</f>
        <v>2025</v>
      </c>
      <c r="D123" s="143">
        <f t="shared" si="7"/>
        <v>45839</v>
      </c>
      <c r="AR123" s="141">
        <f t="shared" si="6"/>
        <v>0</v>
      </c>
    </row>
    <row r="124" spans="1:45">
      <c r="A124" s="144">
        <f t="shared" si="8"/>
        <v>45866</v>
      </c>
      <c r="B124" s="141">
        <f>YEAR(Table7[[#This Row],[Date]])+IF(MONTH(Table7[[#This Row],[Date]])&gt;=4,1,0)</f>
        <v>2026</v>
      </c>
      <c r="C124" s="141">
        <f>YEAR(Table7[[#This Row],[Date]])</f>
        <v>2025</v>
      </c>
      <c r="D124" s="143">
        <f t="shared" si="7"/>
        <v>45839</v>
      </c>
      <c r="AR124" s="141">
        <f t="shared" si="6"/>
        <v>0</v>
      </c>
    </row>
    <row r="125" spans="1:45">
      <c r="A125" s="144">
        <f t="shared" si="8"/>
        <v>45867</v>
      </c>
      <c r="B125" s="141">
        <f>YEAR(Table7[[#This Row],[Date]])+IF(MONTH(Table7[[#This Row],[Date]])&gt;=4,1,0)</f>
        <v>2026</v>
      </c>
      <c r="C125" s="141">
        <f>YEAR(Table7[[#This Row],[Date]])</f>
        <v>2025</v>
      </c>
      <c r="D125" s="143">
        <f t="shared" si="7"/>
        <v>45839</v>
      </c>
      <c r="AR125" s="141">
        <f t="shared" si="6"/>
        <v>0</v>
      </c>
    </row>
    <row r="126" spans="1:45">
      <c r="A126" s="144">
        <f t="shared" si="8"/>
        <v>45868</v>
      </c>
      <c r="B126" s="141">
        <f>YEAR(Table7[[#This Row],[Date]])+IF(MONTH(Table7[[#This Row],[Date]])&gt;=4,1,0)</f>
        <v>2026</v>
      </c>
      <c r="C126" s="141">
        <f>YEAR(Table7[[#This Row],[Date]])</f>
        <v>2025</v>
      </c>
      <c r="D126" s="143">
        <f t="shared" si="7"/>
        <v>45839</v>
      </c>
      <c r="AR126" s="141">
        <f t="shared" si="6"/>
        <v>0</v>
      </c>
    </row>
    <row r="127" spans="1:45">
      <c r="A127" s="144">
        <f t="shared" si="8"/>
        <v>45869</v>
      </c>
      <c r="B127" s="141">
        <f>YEAR(Table7[[#This Row],[Date]])+IF(MONTH(Table7[[#This Row],[Date]])&gt;=4,1,0)</f>
        <v>2026</v>
      </c>
      <c r="C127" s="141">
        <f>YEAR(Table7[[#This Row],[Date]])</f>
        <v>2025</v>
      </c>
      <c r="D127" s="143">
        <f t="shared" si="7"/>
        <v>45839</v>
      </c>
      <c r="AR127" s="141">
        <f t="shared" si="6"/>
        <v>0</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34" workbookViewId="0">
      <selection activeCell="BF44" sqref="BF44"/>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399" t="s">
        <v>1110</v>
      </c>
      <c r="B1" s="400"/>
      <c r="C1" s="400"/>
      <c r="D1" s="400"/>
      <c r="E1" s="400"/>
      <c r="F1" s="400"/>
      <c r="G1" s="400"/>
      <c r="H1" s="400"/>
      <c r="I1" s="400"/>
      <c r="J1" s="400"/>
      <c r="K1" s="400"/>
      <c r="L1" s="400"/>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c r="AU1" s="400"/>
      <c r="AV1" s="401"/>
      <c r="AW1" s="174"/>
      <c r="AX1" s="174"/>
      <c r="AY1" s="174"/>
      <c r="AZ1" s="174"/>
      <c r="BA1" s="174"/>
      <c r="BB1" s="174"/>
      <c r="BC1" s="174"/>
      <c r="BE1" s="175"/>
    </row>
    <row r="2" spans="1:61" ht="15" customHeight="1">
      <c r="A2" s="402"/>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4"/>
      <c r="AW2" s="176"/>
      <c r="AX2" s="176"/>
      <c r="AY2" s="176"/>
      <c r="AZ2" s="176"/>
      <c r="BA2" s="176"/>
      <c r="BB2" s="176"/>
      <c r="BC2" s="176"/>
      <c r="BE2" s="175"/>
    </row>
    <row r="3" spans="1:61" ht="15" customHeight="1" thickBot="1">
      <c r="A3" s="402"/>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4"/>
      <c r="AW3" s="176"/>
      <c r="AX3" s="176"/>
      <c r="AY3" s="176"/>
      <c r="AZ3" s="176"/>
      <c r="BA3" s="176"/>
      <c r="BB3" s="176"/>
      <c r="BC3" s="176"/>
      <c r="BE3" s="175"/>
    </row>
    <row r="4" spans="1:61" s="185" customFormat="1" ht="69" customHeight="1" thickBot="1">
      <c r="A4" s="177" t="s">
        <v>1111</v>
      </c>
      <c r="B4" s="178" t="s">
        <v>1112</v>
      </c>
      <c r="C4" s="178" t="s">
        <v>1113</v>
      </c>
      <c r="D4" s="178" t="s">
        <v>1114</v>
      </c>
      <c r="E4" s="178" t="s">
        <v>1115</v>
      </c>
      <c r="F4" s="178" t="s">
        <v>1116</v>
      </c>
      <c r="G4" s="178" t="s">
        <v>1117</v>
      </c>
      <c r="H4" s="178" t="s">
        <v>1116</v>
      </c>
      <c r="I4" s="178" t="s">
        <v>1118</v>
      </c>
      <c r="J4" s="178" t="s">
        <v>1116</v>
      </c>
      <c r="K4" s="178" t="s">
        <v>1119</v>
      </c>
      <c r="L4" s="178" t="s">
        <v>1116</v>
      </c>
      <c r="M4" s="178" t="s">
        <v>1120</v>
      </c>
      <c r="N4" s="178" t="s">
        <v>1116</v>
      </c>
      <c r="O4" s="178" t="s">
        <v>1121</v>
      </c>
      <c r="P4" s="178" t="s">
        <v>1116</v>
      </c>
      <c r="Q4" s="178" t="s">
        <v>1122</v>
      </c>
      <c r="R4" s="178" t="s">
        <v>1116</v>
      </c>
      <c r="S4" s="178" t="s">
        <v>1123</v>
      </c>
      <c r="T4" s="178" t="s">
        <v>1116</v>
      </c>
      <c r="U4" s="178" t="s">
        <v>1124</v>
      </c>
      <c r="V4" s="178" t="s">
        <v>1116</v>
      </c>
      <c r="W4" s="178" t="s">
        <v>1125</v>
      </c>
      <c r="X4" s="178" t="s">
        <v>1116</v>
      </c>
      <c r="Y4" s="178" t="s">
        <v>1126</v>
      </c>
      <c r="Z4" s="178" t="s">
        <v>1116</v>
      </c>
      <c r="AA4" s="178" t="s">
        <v>1127</v>
      </c>
      <c r="AB4" s="178" t="s">
        <v>1116</v>
      </c>
      <c r="AC4" s="178" t="s">
        <v>1128</v>
      </c>
      <c r="AD4" s="178" t="s">
        <v>1116</v>
      </c>
      <c r="AE4" s="178" t="s">
        <v>1129</v>
      </c>
      <c r="AF4" s="178" t="s">
        <v>1116</v>
      </c>
      <c r="AG4" s="178" t="s">
        <v>1130</v>
      </c>
      <c r="AH4" s="178" t="s">
        <v>1116</v>
      </c>
      <c r="AI4" s="178" t="s">
        <v>1131</v>
      </c>
      <c r="AJ4" s="178" t="s">
        <v>1116</v>
      </c>
      <c r="AK4" s="178" t="s">
        <v>1132</v>
      </c>
      <c r="AL4" s="178" t="s">
        <v>1133</v>
      </c>
      <c r="AM4" s="178" t="s">
        <v>1116</v>
      </c>
      <c r="AN4" s="178" t="s">
        <v>1132</v>
      </c>
      <c r="AO4" s="179" t="s">
        <v>1134</v>
      </c>
      <c r="AP4" s="179" t="s">
        <v>1135</v>
      </c>
      <c r="AQ4" s="178" t="s">
        <v>1136</v>
      </c>
      <c r="AR4" s="178" t="s">
        <v>1137</v>
      </c>
      <c r="AS4" s="180" t="s">
        <v>1132</v>
      </c>
      <c r="AT4" s="180" t="s">
        <v>1138</v>
      </c>
      <c r="AU4" s="181" t="s">
        <v>1139</v>
      </c>
      <c r="AV4" s="182" t="s">
        <v>1116</v>
      </c>
      <c r="AW4" s="183" t="s">
        <v>1132</v>
      </c>
      <c r="AX4" s="184" t="s">
        <v>1140</v>
      </c>
      <c r="AY4" s="181" t="s">
        <v>1141</v>
      </c>
      <c r="AZ4" s="181" t="s">
        <v>1142</v>
      </c>
      <c r="BA4" s="181" t="s">
        <v>1143</v>
      </c>
      <c r="BB4" s="181" t="s">
        <v>1132</v>
      </c>
      <c r="BC4" s="181" t="s">
        <v>1138</v>
      </c>
      <c r="BD4" s="317" t="s">
        <v>1144</v>
      </c>
      <c r="BE4" s="318" t="s">
        <v>1145</v>
      </c>
      <c r="BF4" s="318" t="s">
        <v>1146</v>
      </c>
      <c r="BG4" s="319" t="s">
        <v>1147</v>
      </c>
      <c r="BH4" s="320" t="s">
        <v>1148</v>
      </c>
      <c r="BI4" s="321" t="s">
        <v>12</v>
      </c>
    </row>
    <row r="5" spans="1:61" s="211" customFormat="1">
      <c r="A5" s="186">
        <v>1</v>
      </c>
      <c r="B5" s="187" t="s">
        <v>1149</v>
      </c>
      <c r="C5" s="188" t="s">
        <v>1150</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1151</v>
      </c>
      <c r="C6" s="214" t="s">
        <v>1150</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1152</v>
      </c>
      <c r="BD6" s="297" t="s">
        <v>1153</v>
      </c>
      <c r="BE6" s="285">
        <v>45773</v>
      </c>
      <c r="BF6" s="286">
        <v>45773</v>
      </c>
      <c r="BG6" s="302">
        <f t="shared" ref="BG6:BG44" si="2">BF6-BE6</f>
        <v>0</v>
      </c>
      <c r="BH6" s="303">
        <f t="shared" ref="BH6:BH18" si="3">IF(BG6&lt;-15,100-((-1*BG6-15)/90)*100,IF(BG6&gt;15,100-((BG6-15)/90)*100,1*100))</f>
        <v>100</v>
      </c>
      <c r="BI6" s="304" t="s">
        <v>1154</v>
      </c>
    </row>
    <row r="7" spans="1:61" s="211" customFormat="1">
      <c r="A7" s="212">
        <v>3</v>
      </c>
      <c r="B7" s="213" t="s">
        <v>1155</v>
      </c>
      <c r="C7" s="214" t="s">
        <v>1150</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1152</v>
      </c>
      <c r="BD7" s="297" t="s">
        <v>1156</v>
      </c>
      <c r="BE7" s="287">
        <v>45774</v>
      </c>
      <c r="BF7" s="286">
        <v>45774</v>
      </c>
      <c r="BG7" s="302">
        <f t="shared" si="2"/>
        <v>0</v>
      </c>
      <c r="BH7" s="303">
        <f t="shared" si="3"/>
        <v>100</v>
      </c>
      <c r="BI7" s="304"/>
    </row>
    <row r="8" spans="1:61" s="211" customFormat="1">
      <c r="A8" s="212">
        <v>4</v>
      </c>
      <c r="B8" s="213" t="s">
        <v>1157</v>
      </c>
      <c r="C8" s="214" t="s">
        <v>1158</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1159</v>
      </c>
      <c r="AU8" s="230">
        <v>45356</v>
      </c>
      <c r="AV8" s="231">
        <v>45359</v>
      </c>
      <c r="AW8" s="232">
        <v>3</v>
      </c>
      <c r="AX8" s="233">
        <v>45605</v>
      </c>
      <c r="AY8" s="234">
        <v>45607</v>
      </c>
      <c r="AZ8" s="234">
        <v>45614</v>
      </c>
      <c r="BA8" s="234">
        <v>45615</v>
      </c>
      <c r="BB8" s="235">
        <v>8</v>
      </c>
      <c r="BC8" s="236" t="s">
        <v>1160</v>
      </c>
      <c r="BD8" s="298" t="s">
        <v>1161</v>
      </c>
      <c r="BE8" s="288">
        <v>45815</v>
      </c>
      <c r="BF8" s="289"/>
      <c r="BG8" s="305">
        <f t="shared" si="2"/>
        <v>-45815</v>
      </c>
      <c r="BH8" s="306">
        <f t="shared" si="3"/>
        <v>-50788.888888888891</v>
      </c>
      <c r="BI8" s="307" t="s">
        <v>1162</v>
      </c>
    </row>
    <row r="9" spans="1:61" s="211" customFormat="1">
      <c r="A9" s="212">
        <v>5</v>
      </c>
      <c r="B9" s="213" t="s">
        <v>1163</v>
      </c>
      <c r="C9" s="214" t="s">
        <v>1158</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1159</v>
      </c>
      <c r="AU9" s="230">
        <v>45357</v>
      </c>
      <c r="AV9" s="231">
        <v>45360</v>
      </c>
      <c r="AW9" s="232">
        <v>3</v>
      </c>
      <c r="AX9" s="233">
        <v>45608</v>
      </c>
      <c r="AY9" s="234">
        <v>45609</v>
      </c>
      <c r="AZ9" s="234">
        <v>45619</v>
      </c>
      <c r="BA9" s="234">
        <v>45620</v>
      </c>
      <c r="BB9" s="235">
        <v>11</v>
      </c>
      <c r="BC9" s="236"/>
      <c r="BD9" s="297" t="s">
        <v>1164</v>
      </c>
      <c r="BE9" s="290">
        <v>45775</v>
      </c>
      <c r="BF9" s="286">
        <v>45775</v>
      </c>
      <c r="BG9" s="302">
        <f t="shared" si="2"/>
        <v>0</v>
      </c>
      <c r="BH9" s="303">
        <f t="shared" si="3"/>
        <v>100</v>
      </c>
      <c r="BI9" s="304"/>
    </row>
    <row r="10" spans="1:61" s="211" customFormat="1">
      <c r="A10" s="212">
        <v>6</v>
      </c>
      <c r="B10" s="213" t="s">
        <v>1165</v>
      </c>
      <c r="C10" s="214" t="s">
        <v>1158</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1159</v>
      </c>
      <c r="AU10" s="230">
        <v>45358</v>
      </c>
      <c r="AV10" s="231">
        <v>45362</v>
      </c>
      <c r="AW10" s="232">
        <v>4</v>
      </c>
      <c r="AX10" s="233">
        <v>45610</v>
      </c>
      <c r="AY10" s="234">
        <v>45611</v>
      </c>
      <c r="AZ10" s="234">
        <v>45617</v>
      </c>
      <c r="BA10" s="234">
        <v>45618</v>
      </c>
      <c r="BB10" s="235">
        <v>7</v>
      </c>
      <c r="BC10" s="236" t="s">
        <v>1152</v>
      </c>
      <c r="BD10" s="298" t="s">
        <v>1166</v>
      </c>
      <c r="BE10" s="288">
        <v>45816</v>
      </c>
      <c r="BF10" s="289"/>
      <c r="BG10" s="305">
        <f t="shared" si="2"/>
        <v>-45816</v>
      </c>
      <c r="BH10" s="306">
        <f t="shared" si="3"/>
        <v>-50790</v>
      </c>
      <c r="BI10" s="307" t="s">
        <v>1167</v>
      </c>
    </row>
    <row r="11" spans="1:61" s="211" customFormat="1">
      <c r="A11" s="212">
        <v>7</v>
      </c>
      <c r="B11" s="213" t="s">
        <v>1168</v>
      </c>
      <c r="C11" s="214" t="s">
        <v>1150</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1152</v>
      </c>
      <c r="BD11" s="297" t="s">
        <v>1169</v>
      </c>
      <c r="BE11" s="291">
        <v>45776</v>
      </c>
      <c r="BF11" s="286">
        <v>45776</v>
      </c>
      <c r="BG11" s="302">
        <f t="shared" si="2"/>
        <v>0</v>
      </c>
      <c r="BH11" s="303">
        <f t="shared" si="3"/>
        <v>100</v>
      </c>
      <c r="BI11" s="304"/>
    </row>
    <row r="12" spans="1:61" s="211" customFormat="1">
      <c r="A12" s="212">
        <v>8</v>
      </c>
      <c r="B12" s="213" t="s">
        <v>1170</v>
      </c>
      <c r="C12" s="214" t="s">
        <v>1150</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1159</v>
      </c>
      <c r="AU12" s="230">
        <v>45360</v>
      </c>
      <c r="AV12" s="231">
        <v>45366</v>
      </c>
      <c r="AW12" s="232">
        <v>6</v>
      </c>
      <c r="AX12" s="233">
        <v>45615</v>
      </c>
      <c r="AY12" s="234">
        <v>45616</v>
      </c>
      <c r="AZ12" s="234">
        <v>45608</v>
      </c>
      <c r="BA12" s="234">
        <v>45610</v>
      </c>
      <c r="BB12" s="235">
        <v>-6</v>
      </c>
      <c r="BC12" s="236" t="s">
        <v>1152</v>
      </c>
      <c r="BD12" s="297" t="s">
        <v>1171</v>
      </c>
      <c r="BE12" s="292">
        <v>45777</v>
      </c>
      <c r="BF12" s="286">
        <v>45777</v>
      </c>
      <c r="BG12" s="302">
        <f t="shared" si="2"/>
        <v>0</v>
      </c>
      <c r="BH12" s="303">
        <f t="shared" si="3"/>
        <v>100</v>
      </c>
      <c r="BI12" s="304"/>
    </row>
    <row r="13" spans="1:61" s="211" customFormat="1">
      <c r="A13" s="212">
        <v>9</v>
      </c>
      <c r="B13" s="213" t="s">
        <v>1172</v>
      </c>
      <c r="C13" s="214" t="s">
        <v>1150</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1152</v>
      </c>
      <c r="BD13" s="297" t="s">
        <v>1173</v>
      </c>
      <c r="BE13" s="292">
        <v>45778</v>
      </c>
      <c r="BF13" s="286">
        <v>45778</v>
      </c>
      <c r="BG13" s="302">
        <f t="shared" si="2"/>
        <v>0</v>
      </c>
      <c r="BH13" s="303">
        <f t="shared" si="3"/>
        <v>100</v>
      </c>
      <c r="BI13" s="304"/>
    </row>
    <row r="14" spans="1:61" s="211" customFormat="1">
      <c r="A14" s="212">
        <v>10</v>
      </c>
      <c r="B14" s="213" t="s">
        <v>1174</v>
      </c>
      <c r="C14" s="214" t="s">
        <v>1150</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1152</v>
      </c>
      <c r="BD14" s="297" t="s">
        <v>1175</v>
      </c>
      <c r="BE14" s="292">
        <v>45779</v>
      </c>
      <c r="BF14" s="286">
        <v>45780</v>
      </c>
      <c r="BG14" s="302">
        <f t="shared" si="2"/>
        <v>1</v>
      </c>
      <c r="BH14" s="303">
        <f t="shared" si="3"/>
        <v>100</v>
      </c>
      <c r="BI14" s="304" t="s">
        <v>1176</v>
      </c>
    </row>
    <row r="15" spans="1:61" s="211" customFormat="1">
      <c r="A15" s="212">
        <v>11</v>
      </c>
      <c r="B15" s="213" t="s">
        <v>1177</v>
      </c>
      <c r="C15" s="214" t="s">
        <v>1158</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1152</v>
      </c>
      <c r="BD15" s="297" t="s">
        <v>1178</v>
      </c>
      <c r="BE15" s="292">
        <v>45780</v>
      </c>
      <c r="BF15" s="286">
        <v>45781</v>
      </c>
      <c r="BG15" s="302">
        <f t="shared" si="2"/>
        <v>1</v>
      </c>
      <c r="BH15" s="303">
        <f t="shared" si="3"/>
        <v>100</v>
      </c>
      <c r="BI15" s="304"/>
    </row>
    <row r="16" spans="1:61" s="211" customFormat="1">
      <c r="A16" s="212">
        <v>12</v>
      </c>
      <c r="B16" s="241" t="s">
        <v>1179</v>
      </c>
      <c r="C16" s="214" t="s">
        <v>1150</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1152</v>
      </c>
      <c r="BD16" s="297" t="s">
        <v>1180</v>
      </c>
      <c r="BE16" s="292">
        <v>45781</v>
      </c>
      <c r="BF16" s="286">
        <v>45783</v>
      </c>
      <c r="BG16" s="302">
        <f t="shared" si="2"/>
        <v>2</v>
      </c>
      <c r="BH16" s="303">
        <f t="shared" si="3"/>
        <v>100</v>
      </c>
      <c r="BI16" s="304" t="s">
        <v>1181</v>
      </c>
    </row>
    <row r="17" spans="1:61" s="211" customFormat="1">
      <c r="A17" s="212">
        <v>13</v>
      </c>
      <c r="B17" s="213" t="s">
        <v>1182</v>
      </c>
      <c r="C17" s="214" t="s">
        <v>1150</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1183</v>
      </c>
      <c r="BD17" s="301" t="s">
        <v>1184</v>
      </c>
      <c r="BE17" s="293">
        <v>45782</v>
      </c>
      <c r="BF17" s="286">
        <v>45784</v>
      </c>
      <c r="BG17" s="302">
        <f t="shared" si="2"/>
        <v>2</v>
      </c>
      <c r="BH17" s="303">
        <f t="shared" si="3"/>
        <v>100</v>
      </c>
      <c r="BI17" s="308"/>
    </row>
    <row r="18" spans="1:61" s="211" customFormat="1">
      <c r="A18" s="212">
        <v>14</v>
      </c>
      <c r="B18" s="213" t="s">
        <v>1185</v>
      </c>
      <c r="C18" s="214" t="s">
        <v>1158</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1186</v>
      </c>
      <c r="AU18" s="230">
        <v>45367</v>
      </c>
      <c r="AV18" s="231">
        <v>45376</v>
      </c>
      <c r="AW18" s="232">
        <v>9</v>
      </c>
      <c r="AX18" s="233">
        <v>45629</v>
      </c>
      <c r="AY18" s="234">
        <v>45630</v>
      </c>
      <c r="AZ18" s="234">
        <v>45634</v>
      </c>
      <c r="BA18" s="234">
        <v>45636</v>
      </c>
      <c r="BB18" s="235">
        <v>6</v>
      </c>
      <c r="BC18" s="236" t="s">
        <v>1187</v>
      </c>
      <c r="BD18" s="297" t="s">
        <v>1188</v>
      </c>
      <c r="BE18" s="293">
        <v>45783</v>
      </c>
      <c r="BF18" s="286">
        <v>45792</v>
      </c>
      <c r="BG18" s="302">
        <f t="shared" si="2"/>
        <v>9</v>
      </c>
      <c r="BH18" s="303">
        <f t="shared" si="3"/>
        <v>100</v>
      </c>
      <c r="BI18" s="304" t="s">
        <v>1189</v>
      </c>
    </row>
    <row r="19" spans="1:61" s="211" customFormat="1">
      <c r="A19" s="212">
        <v>15</v>
      </c>
      <c r="B19" s="241" t="s">
        <v>1190</v>
      </c>
      <c r="C19" s="214" t="s">
        <v>1150</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1191</v>
      </c>
      <c r="AU19" s="230">
        <v>45369</v>
      </c>
      <c r="AV19" s="231">
        <v>45377</v>
      </c>
      <c r="AW19" s="232">
        <v>8</v>
      </c>
      <c r="AX19" s="233">
        <v>45631</v>
      </c>
      <c r="AY19" s="234">
        <v>45632</v>
      </c>
      <c r="AZ19" s="234">
        <v>45638</v>
      </c>
      <c r="BA19" s="234">
        <v>45641</v>
      </c>
      <c r="BB19" s="235">
        <v>9</v>
      </c>
      <c r="BC19" s="236" t="s">
        <v>1192</v>
      </c>
      <c r="BD19" s="297" t="s">
        <v>1193</v>
      </c>
      <c r="BE19" s="293">
        <v>45785</v>
      </c>
      <c r="BF19" s="286">
        <v>45793</v>
      </c>
      <c r="BG19" s="302">
        <f t="shared" si="2"/>
        <v>8</v>
      </c>
      <c r="BH19" s="303">
        <f>IF(BG19&lt;-15,100-((-1*BG19-15)/90)*100,IF(BG19&gt;15,100-((BG19-15)/90)*100,1*100))</f>
        <v>100</v>
      </c>
      <c r="BI19" s="304"/>
    </row>
    <row r="20" spans="1:61" s="211" customFormat="1">
      <c r="A20" s="212">
        <v>16</v>
      </c>
      <c r="B20" s="241" t="s">
        <v>1194</v>
      </c>
      <c r="C20" s="214" t="s">
        <v>1150</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1195</v>
      </c>
      <c r="AU20" s="230">
        <v>45370</v>
      </c>
      <c r="AV20" s="231">
        <v>45367</v>
      </c>
      <c r="AW20" s="232">
        <v>3</v>
      </c>
      <c r="AX20" s="233">
        <v>45633</v>
      </c>
      <c r="AY20" s="234">
        <v>45635</v>
      </c>
      <c r="AZ20" s="234">
        <v>45642</v>
      </c>
      <c r="BA20" s="234">
        <v>45643</v>
      </c>
      <c r="BB20" s="235">
        <v>8</v>
      </c>
      <c r="BC20" s="236" t="s">
        <v>1196</v>
      </c>
      <c r="BD20" s="297" t="s">
        <v>1197</v>
      </c>
      <c r="BE20" s="293">
        <v>45786</v>
      </c>
      <c r="BF20" s="286">
        <v>45794</v>
      </c>
      <c r="BG20" s="302">
        <f t="shared" si="2"/>
        <v>8</v>
      </c>
      <c r="BH20" s="303">
        <f t="shared" ref="BH20:BH44" si="5">IF(BG20&lt;-15,100-((-1*BG20-15)/90)*100,IF(BG20&gt;15,100-((BG20-15)/90)*100,1*100))</f>
        <v>100</v>
      </c>
      <c r="BI20" s="304"/>
    </row>
    <row r="21" spans="1:61" s="211" customFormat="1">
      <c r="A21" s="212">
        <v>17</v>
      </c>
      <c r="B21" s="213" t="s">
        <v>1198</v>
      </c>
      <c r="C21" s="214" t="s">
        <v>1158</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1199</v>
      </c>
      <c r="AU21" s="230">
        <v>45371</v>
      </c>
      <c r="AV21" s="231">
        <v>45378</v>
      </c>
      <c r="AW21" s="232">
        <v>7</v>
      </c>
      <c r="AX21" s="233">
        <v>45636</v>
      </c>
      <c r="AY21" s="234">
        <v>45637</v>
      </c>
      <c r="AZ21" s="234">
        <v>45646</v>
      </c>
      <c r="BA21" s="234">
        <v>45647</v>
      </c>
      <c r="BB21" s="235">
        <v>10</v>
      </c>
      <c r="BC21" s="236" t="s">
        <v>1152</v>
      </c>
      <c r="BD21" s="297" t="s">
        <v>1200</v>
      </c>
      <c r="BE21" s="293">
        <v>45787</v>
      </c>
      <c r="BF21" s="286">
        <v>45795</v>
      </c>
      <c r="BG21" s="302">
        <f t="shared" si="2"/>
        <v>8</v>
      </c>
      <c r="BH21" s="303">
        <f t="shared" si="5"/>
        <v>100</v>
      </c>
      <c r="BI21" s="304" t="s">
        <v>1152</v>
      </c>
    </row>
    <row r="22" spans="1:61" s="211" customFormat="1">
      <c r="A22" s="212">
        <v>18</v>
      </c>
      <c r="B22" s="241" t="s">
        <v>1201</v>
      </c>
      <c r="C22" s="214" t="s">
        <v>1158</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1202</v>
      </c>
      <c r="BC22" s="236" t="s">
        <v>1203</v>
      </c>
      <c r="BD22" s="299" t="s">
        <v>1204</v>
      </c>
      <c r="BE22" s="294">
        <v>45788</v>
      </c>
      <c r="BF22" s="295">
        <v>45797</v>
      </c>
      <c r="BG22" s="309">
        <f t="shared" si="2"/>
        <v>9</v>
      </c>
      <c r="BH22" s="303">
        <f t="shared" si="5"/>
        <v>100</v>
      </c>
      <c r="BI22" s="310"/>
    </row>
    <row r="23" spans="1:61" s="211" customFormat="1">
      <c r="A23" s="212">
        <v>19</v>
      </c>
      <c r="B23" s="241" t="s">
        <v>1205</v>
      </c>
      <c r="C23" s="214" t="s">
        <v>1150</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1152</v>
      </c>
      <c r="BD23" s="297" t="s">
        <v>1206</v>
      </c>
      <c r="BE23" s="294">
        <v>45789</v>
      </c>
      <c r="BF23" s="286">
        <v>45796</v>
      </c>
      <c r="BG23" s="302">
        <f t="shared" si="2"/>
        <v>7</v>
      </c>
      <c r="BH23" s="303">
        <f t="shared" si="5"/>
        <v>100</v>
      </c>
      <c r="BI23" s="304"/>
    </row>
    <row r="24" spans="1:61" s="211" customFormat="1">
      <c r="A24" s="212">
        <v>20</v>
      </c>
      <c r="B24" s="241" t="s">
        <v>1207</v>
      </c>
      <c r="C24" s="214" t="s">
        <v>1150</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1208</v>
      </c>
      <c r="AU24" s="230">
        <v>45376</v>
      </c>
      <c r="AV24" s="231">
        <v>45365</v>
      </c>
      <c r="AW24" s="232">
        <v>11</v>
      </c>
      <c r="AX24" s="233">
        <v>45643</v>
      </c>
      <c r="AY24" s="234">
        <v>45644</v>
      </c>
      <c r="AZ24" s="234">
        <v>45650</v>
      </c>
      <c r="BA24" s="234">
        <v>45652</v>
      </c>
      <c r="BB24" s="235">
        <v>8</v>
      </c>
      <c r="BC24" s="236" t="s">
        <v>1152</v>
      </c>
      <c r="BD24" s="297" t="s">
        <v>1209</v>
      </c>
      <c r="BE24" s="294">
        <v>45790</v>
      </c>
      <c r="BF24" s="286">
        <v>45798</v>
      </c>
      <c r="BG24" s="302">
        <f t="shared" si="2"/>
        <v>8</v>
      </c>
      <c r="BH24" s="303">
        <f t="shared" si="5"/>
        <v>100</v>
      </c>
      <c r="BI24" s="304"/>
    </row>
    <row r="25" spans="1:61" s="211" customFormat="1">
      <c r="A25" s="212">
        <v>21</v>
      </c>
      <c r="B25" s="241" t="s">
        <v>1210</v>
      </c>
      <c r="C25" s="214" t="s">
        <v>1150</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1211</v>
      </c>
      <c r="BD25" s="297" t="s">
        <v>1212</v>
      </c>
      <c r="BE25" s="294">
        <v>45792</v>
      </c>
      <c r="BF25" s="286">
        <v>45799</v>
      </c>
      <c r="BG25" s="302">
        <f t="shared" si="2"/>
        <v>7</v>
      </c>
      <c r="BH25" s="303">
        <f t="shared" si="5"/>
        <v>100</v>
      </c>
      <c r="BI25" s="304"/>
    </row>
    <row r="26" spans="1:61" s="211" customFormat="1">
      <c r="A26" s="212">
        <v>22</v>
      </c>
      <c r="B26" s="241" t="s">
        <v>1213</v>
      </c>
      <c r="C26" s="214" t="s">
        <v>1150</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1152</v>
      </c>
      <c r="BD26" s="297" t="s">
        <v>1214</v>
      </c>
      <c r="BE26" s="294">
        <v>45793</v>
      </c>
      <c r="BF26" s="286">
        <v>45800</v>
      </c>
      <c r="BG26" s="302">
        <f t="shared" si="2"/>
        <v>7</v>
      </c>
      <c r="BH26" s="303">
        <f t="shared" si="5"/>
        <v>100</v>
      </c>
      <c r="BI26" s="304"/>
    </row>
    <row r="27" spans="1:61" s="211" customFormat="1">
      <c r="A27" s="212">
        <v>23</v>
      </c>
      <c r="B27" s="241" t="s">
        <v>1215</v>
      </c>
      <c r="C27" s="214" t="s">
        <v>1150</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1216</v>
      </c>
      <c r="BD27" s="299" t="s">
        <v>1217</v>
      </c>
      <c r="BE27" s="294">
        <v>45794</v>
      </c>
      <c r="BF27" s="286">
        <v>45801</v>
      </c>
      <c r="BG27" s="302">
        <f t="shared" si="2"/>
        <v>7</v>
      </c>
      <c r="BH27" s="303">
        <f t="shared" si="5"/>
        <v>100</v>
      </c>
      <c r="BI27" s="304"/>
    </row>
    <row r="28" spans="1:61" s="211" customFormat="1">
      <c r="A28" s="250">
        <v>24</v>
      </c>
      <c r="B28" s="241" t="s">
        <v>1218</v>
      </c>
      <c r="C28" s="214" t="s">
        <v>1150</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1219</v>
      </c>
      <c r="BD28" s="299" t="s">
        <v>1220</v>
      </c>
      <c r="BE28" s="292">
        <v>45795</v>
      </c>
      <c r="BF28" s="286">
        <v>45802</v>
      </c>
      <c r="BG28" s="302">
        <f t="shared" si="2"/>
        <v>7</v>
      </c>
      <c r="BH28" s="303">
        <f t="shared" si="5"/>
        <v>100</v>
      </c>
      <c r="BI28" s="304"/>
    </row>
    <row r="29" spans="1:61" s="211" customFormat="1">
      <c r="A29" s="186">
        <v>25</v>
      </c>
      <c r="B29" s="252" t="s">
        <v>1221</v>
      </c>
      <c r="C29" s="188" t="s">
        <v>1150</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1222</v>
      </c>
      <c r="AU29" s="230">
        <v>45383</v>
      </c>
      <c r="AV29" s="246">
        <v>45386</v>
      </c>
      <c r="AW29" s="232">
        <v>3</v>
      </c>
      <c r="AX29" s="247">
        <v>45654</v>
      </c>
      <c r="AY29" s="248">
        <v>45656</v>
      </c>
      <c r="AZ29" s="248">
        <v>45664</v>
      </c>
      <c r="BA29" s="248">
        <v>45665</v>
      </c>
      <c r="BB29" s="235">
        <v>9</v>
      </c>
      <c r="BC29" s="249"/>
      <c r="BD29" s="299" t="s">
        <v>1223</v>
      </c>
      <c r="BE29" s="292">
        <v>45796</v>
      </c>
      <c r="BF29" s="286">
        <v>45803</v>
      </c>
      <c r="BG29" s="302">
        <f t="shared" si="2"/>
        <v>7</v>
      </c>
      <c r="BH29" s="303">
        <f t="shared" si="5"/>
        <v>100</v>
      </c>
      <c r="BI29" s="304"/>
    </row>
    <row r="30" spans="1:61" s="211" customFormat="1">
      <c r="A30" s="212">
        <v>26</v>
      </c>
      <c r="B30" s="241" t="s">
        <v>1224</v>
      </c>
      <c r="C30" s="214" t="s">
        <v>1150</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1225</v>
      </c>
      <c r="BD30" s="299" t="s">
        <v>1226</v>
      </c>
      <c r="BE30" s="292">
        <v>45797</v>
      </c>
      <c r="BF30" s="286">
        <v>45803</v>
      </c>
      <c r="BG30" s="302">
        <f t="shared" si="2"/>
        <v>6</v>
      </c>
      <c r="BH30" s="303">
        <f t="shared" si="5"/>
        <v>100</v>
      </c>
      <c r="BI30" s="304"/>
    </row>
    <row r="31" spans="1:61" s="211" customFormat="1">
      <c r="A31" s="212">
        <v>27</v>
      </c>
      <c r="B31" s="241" t="s">
        <v>1227</v>
      </c>
      <c r="C31" s="214" t="s">
        <v>1150</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1152</v>
      </c>
      <c r="BD31" s="299" t="s">
        <v>1228</v>
      </c>
      <c r="BE31" s="292">
        <v>45799</v>
      </c>
      <c r="BF31" s="286">
        <v>45804</v>
      </c>
      <c r="BG31" s="302">
        <f t="shared" si="2"/>
        <v>5</v>
      </c>
      <c r="BH31" s="303">
        <f t="shared" si="5"/>
        <v>100</v>
      </c>
      <c r="BI31" s="304"/>
    </row>
    <row r="32" spans="1:61" s="211" customFormat="1">
      <c r="A32" s="212">
        <v>28</v>
      </c>
      <c r="B32" s="241" t="s">
        <v>1229</v>
      </c>
      <c r="C32" s="214" t="s">
        <v>1158</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1230</v>
      </c>
      <c r="BD32" s="299" t="s">
        <v>1231</v>
      </c>
      <c r="BE32" s="292">
        <v>45800</v>
      </c>
      <c r="BF32" s="286">
        <v>45805</v>
      </c>
      <c r="BG32" s="302">
        <f t="shared" si="2"/>
        <v>5</v>
      </c>
      <c r="BH32" s="303">
        <f t="shared" si="5"/>
        <v>100</v>
      </c>
      <c r="BI32" s="304"/>
    </row>
    <row r="33" spans="1:61" s="211" customFormat="1">
      <c r="A33" s="212">
        <v>29</v>
      </c>
      <c r="B33" s="241" t="s">
        <v>1232</v>
      </c>
      <c r="C33" s="214" t="s">
        <v>1158</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1233</v>
      </c>
      <c r="BD33" s="299" t="s">
        <v>1234</v>
      </c>
      <c r="BE33" s="292">
        <v>45801</v>
      </c>
      <c r="BF33" s="286">
        <v>45806</v>
      </c>
      <c r="BG33" s="302">
        <f t="shared" si="2"/>
        <v>5</v>
      </c>
      <c r="BH33" s="303">
        <f t="shared" si="5"/>
        <v>100</v>
      </c>
      <c r="BI33" s="304"/>
    </row>
    <row r="34" spans="1:61" s="211" customFormat="1">
      <c r="A34" s="212">
        <v>30</v>
      </c>
      <c r="B34" s="241" t="s">
        <v>1235</v>
      </c>
      <c r="C34" s="214" t="s">
        <v>1150</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1152</v>
      </c>
      <c r="BD34" s="299" t="s">
        <v>1236</v>
      </c>
      <c r="BE34" s="292">
        <v>45802</v>
      </c>
      <c r="BF34" s="286">
        <v>45808</v>
      </c>
      <c r="BG34" s="302">
        <f t="shared" si="2"/>
        <v>6</v>
      </c>
      <c r="BH34" s="303">
        <f t="shared" si="5"/>
        <v>100</v>
      </c>
      <c r="BI34" s="304"/>
    </row>
    <row r="35" spans="1:61" s="211" customFormat="1">
      <c r="A35" s="212">
        <v>31</v>
      </c>
      <c r="B35" s="241" t="s">
        <v>1237</v>
      </c>
      <c r="C35" s="214" t="s">
        <v>1150</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1238</v>
      </c>
      <c r="BD35" s="299" t="s">
        <v>1239</v>
      </c>
      <c r="BE35" s="292">
        <v>45803</v>
      </c>
      <c r="BF35" s="286">
        <v>45809</v>
      </c>
      <c r="BG35" s="302">
        <f t="shared" si="2"/>
        <v>6</v>
      </c>
      <c r="BH35" s="303">
        <f t="shared" si="5"/>
        <v>100</v>
      </c>
      <c r="BI35" s="304"/>
    </row>
    <row r="36" spans="1:61" s="211" customFormat="1">
      <c r="A36" s="212">
        <v>32</v>
      </c>
      <c r="B36" s="241" t="s">
        <v>1240</v>
      </c>
      <c r="C36" s="214" t="s">
        <v>1150</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1152</v>
      </c>
      <c r="BD36" s="299" t="s">
        <v>1241</v>
      </c>
      <c r="BE36" s="292">
        <v>45804</v>
      </c>
      <c r="BF36" s="286">
        <v>45810</v>
      </c>
      <c r="BG36" s="302">
        <f t="shared" si="2"/>
        <v>6</v>
      </c>
      <c r="BH36" s="303">
        <f t="shared" si="5"/>
        <v>100</v>
      </c>
      <c r="BI36" s="304"/>
    </row>
    <row r="37" spans="1:61" s="211" customFormat="1">
      <c r="A37" s="212">
        <v>33</v>
      </c>
      <c r="B37" s="241" t="s">
        <v>1242</v>
      </c>
      <c r="C37" s="214" t="s">
        <v>1158</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1152</v>
      </c>
      <c r="BD37" s="299" t="s">
        <v>1243</v>
      </c>
      <c r="BE37" s="292">
        <v>45806</v>
      </c>
      <c r="BF37" s="286">
        <v>45813</v>
      </c>
      <c r="BG37" s="302">
        <f t="shared" si="2"/>
        <v>7</v>
      </c>
      <c r="BH37" s="303">
        <f t="shared" si="5"/>
        <v>100</v>
      </c>
      <c r="BI37" s="304"/>
    </row>
    <row r="38" spans="1:61" s="211" customFormat="1">
      <c r="A38" s="212">
        <v>34</v>
      </c>
      <c r="B38" s="241" t="s">
        <v>1244</v>
      </c>
      <c r="C38" s="214" t="s">
        <v>1150</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1245</v>
      </c>
      <c r="BD38" s="299" t="s">
        <v>1246</v>
      </c>
      <c r="BE38" s="292">
        <v>45807</v>
      </c>
      <c r="BF38" s="286">
        <v>45814</v>
      </c>
      <c r="BG38" s="302">
        <f t="shared" si="2"/>
        <v>7</v>
      </c>
      <c r="BH38" s="303">
        <f t="shared" si="5"/>
        <v>100</v>
      </c>
      <c r="BI38" s="304"/>
    </row>
    <row r="39" spans="1:61" s="211" customFormat="1">
      <c r="A39" s="212">
        <v>35</v>
      </c>
      <c r="B39" s="241" t="s">
        <v>1247</v>
      </c>
      <c r="C39" s="214" t="s">
        <v>1158</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1248</v>
      </c>
      <c r="BD39" s="297" t="s">
        <v>1249</v>
      </c>
      <c r="BE39" s="292">
        <v>45808</v>
      </c>
      <c r="BF39" s="286">
        <v>45815</v>
      </c>
      <c r="BG39" s="302">
        <f t="shared" si="2"/>
        <v>7</v>
      </c>
      <c r="BH39" s="303">
        <f t="shared" si="5"/>
        <v>100</v>
      </c>
      <c r="BI39" s="304"/>
    </row>
    <row r="40" spans="1:61" s="211" customFormat="1">
      <c r="A40" s="212">
        <v>36</v>
      </c>
      <c r="B40" s="241" t="s">
        <v>1250</v>
      </c>
      <c r="C40" s="214" t="s">
        <v>1150</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1152</v>
      </c>
      <c r="BD40" s="297" t="s">
        <v>1251</v>
      </c>
      <c r="BE40" s="292">
        <v>45809</v>
      </c>
      <c r="BF40" s="286">
        <v>45818</v>
      </c>
      <c r="BG40" s="302">
        <f t="shared" si="2"/>
        <v>9</v>
      </c>
      <c r="BH40" s="303">
        <f t="shared" si="5"/>
        <v>100</v>
      </c>
      <c r="BI40" s="304"/>
    </row>
    <row r="41" spans="1:61" s="211" customFormat="1">
      <c r="A41" s="212">
        <v>37</v>
      </c>
      <c r="B41" s="241" t="s">
        <v>1252</v>
      </c>
      <c r="C41" s="214" t="s">
        <v>1158</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1152</v>
      </c>
      <c r="BD41" s="297" t="s">
        <v>1253</v>
      </c>
      <c r="BE41" s="292">
        <v>45810</v>
      </c>
      <c r="BF41" s="286">
        <v>45819</v>
      </c>
      <c r="BG41" s="302">
        <f t="shared" si="2"/>
        <v>9</v>
      </c>
      <c r="BH41" s="303">
        <f t="shared" si="5"/>
        <v>100</v>
      </c>
      <c r="BI41" s="304" t="s">
        <v>1152</v>
      </c>
    </row>
    <row r="42" spans="1:61" s="211" customFormat="1">
      <c r="A42" s="212">
        <v>38</v>
      </c>
      <c r="B42" s="241" t="s">
        <v>1254</v>
      </c>
      <c r="C42" s="214" t="s">
        <v>1158</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1152</v>
      </c>
      <c r="BD42" s="297" t="s">
        <v>1255</v>
      </c>
      <c r="BE42" s="292">
        <v>45811</v>
      </c>
      <c r="BF42" s="286">
        <v>45820</v>
      </c>
      <c r="BG42" s="302">
        <f t="shared" si="2"/>
        <v>9</v>
      </c>
      <c r="BH42" s="303">
        <f t="shared" si="5"/>
        <v>100</v>
      </c>
      <c r="BI42" s="304" t="s">
        <v>1152</v>
      </c>
    </row>
    <row r="43" spans="1:61" s="211" customFormat="1">
      <c r="A43" s="212">
        <v>39</v>
      </c>
      <c r="B43" s="241" t="s">
        <v>1256</v>
      </c>
      <c r="C43" s="214" t="s">
        <v>1150</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1152</v>
      </c>
      <c r="BD43" s="297" t="s">
        <v>1257</v>
      </c>
      <c r="BE43" s="292">
        <v>45813</v>
      </c>
      <c r="BF43" s="286">
        <v>45821</v>
      </c>
      <c r="BG43" s="302">
        <f t="shared" si="2"/>
        <v>8</v>
      </c>
      <c r="BH43" s="303">
        <f t="shared" si="5"/>
        <v>100</v>
      </c>
      <c r="BI43" s="304" t="s">
        <v>1152</v>
      </c>
    </row>
    <row r="44" spans="1:61" s="211" customFormat="1" ht="15.75" thickBot="1">
      <c r="A44" s="260">
        <v>40</v>
      </c>
      <c r="B44" s="261" t="s">
        <v>1258</v>
      </c>
      <c r="C44" s="262" t="s">
        <v>1150</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1259</v>
      </c>
      <c r="BD44" s="300" t="s">
        <v>1260</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85"/>
  <sheetViews>
    <sheetView workbookViewId="0">
      <pane xSplit="2" ySplit="2" topLeftCell="C185" activePane="bottomRight" state="frozen"/>
      <selection pane="bottomRight" activeCell="A185" sqref="A185"/>
      <selection pane="bottomLeft" activeCell="A3" sqref="A3"/>
      <selection pane="topRight" activeCell="C1" sqref="C1"/>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271</v>
      </c>
      <c r="C2" s="105" t="s">
        <v>1261</v>
      </c>
      <c r="D2" s="105" t="s">
        <v>1262</v>
      </c>
      <c r="E2" s="105" t="s">
        <v>1263</v>
      </c>
      <c r="F2" s="105" t="s">
        <v>1264</v>
      </c>
      <c r="G2" s="105" t="s">
        <v>1265</v>
      </c>
    </row>
    <row r="3" spans="1:7">
      <c r="A3" s="1">
        <v>1</v>
      </c>
      <c r="B3" s="106">
        <v>45745</v>
      </c>
      <c r="C3" t="s">
        <v>108</v>
      </c>
      <c r="D3" t="s">
        <v>1266</v>
      </c>
      <c r="E3">
        <v>4</v>
      </c>
      <c r="F3" t="s">
        <v>1267</v>
      </c>
    </row>
    <row r="4" spans="1:7">
      <c r="A4" s="1">
        <f t="shared" ref="A4:A36" si="0">A3+1</f>
        <v>2</v>
      </c>
      <c r="B4" s="106">
        <v>45745</v>
      </c>
      <c r="C4" t="s">
        <v>108</v>
      </c>
      <c r="D4" t="s">
        <v>1268</v>
      </c>
      <c r="E4">
        <v>2</v>
      </c>
      <c r="F4" t="s">
        <v>1267</v>
      </c>
    </row>
    <row r="5" spans="1:7">
      <c r="A5" s="1">
        <f t="shared" si="0"/>
        <v>3</v>
      </c>
      <c r="B5" s="106">
        <v>45746</v>
      </c>
      <c r="C5" t="s">
        <v>107</v>
      </c>
      <c r="D5" t="s">
        <v>1269</v>
      </c>
      <c r="E5">
        <v>1</v>
      </c>
      <c r="F5" t="s">
        <v>1267</v>
      </c>
    </row>
    <row r="6" spans="1:7">
      <c r="A6" s="1">
        <f t="shared" si="0"/>
        <v>4</v>
      </c>
      <c r="B6" s="106">
        <v>45746</v>
      </c>
      <c r="C6" t="s">
        <v>107</v>
      </c>
      <c r="D6" t="s">
        <v>1270</v>
      </c>
      <c r="E6">
        <v>1</v>
      </c>
      <c r="F6" t="s">
        <v>1267</v>
      </c>
    </row>
    <row r="7" spans="1:7">
      <c r="A7" s="1">
        <f t="shared" si="0"/>
        <v>5</v>
      </c>
      <c r="B7" s="106">
        <v>45746</v>
      </c>
      <c r="C7" t="s">
        <v>107</v>
      </c>
      <c r="D7" t="s">
        <v>1271</v>
      </c>
      <c r="E7">
        <v>1</v>
      </c>
      <c r="F7" t="s">
        <v>1267</v>
      </c>
    </row>
    <row r="8" spans="1:7">
      <c r="A8" s="1">
        <f t="shared" si="0"/>
        <v>6</v>
      </c>
      <c r="B8" s="106">
        <v>45746</v>
      </c>
      <c r="C8" t="s">
        <v>74</v>
      </c>
      <c r="D8" t="s">
        <v>1269</v>
      </c>
      <c r="E8">
        <v>1</v>
      </c>
      <c r="F8" t="s">
        <v>1267</v>
      </c>
    </row>
    <row r="9" spans="1:7">
      <c r="A9" s="1">
        <f t="shared" si="0"/>
        <v>7</v>
      </c>
      <c r="B9" s="106">
        <v>45748</v>
      </c>
      <c r="C9" t="s">
        <v>74</v>
      </c>
      <c r="D9" t="s">
        <v>1272</v>
      </c>
      <c r="E9">
        <v>1</v>
      </c>
      <c r="F9" t="s">
        <v>1267</v>
      </c>
    </row>
    <row r="10" spans="1:7">
      <c r="A10" s="1">
        <f t="shared" si="0"/>
        <v>8</v>
      </c>
      <c r="B10" s="106">
        <v>45748</v>
      </c>
      <c r="C10" t="s">
        <v>110</v>
      </c>
      <c r="D10" t="s">
        <v>1273</v>
      </c>
      <c r="E10">
        <v>5</v>
      </c>
      <c r="F10" t="s">
        <v>1274</v>
      </c>
    </row>
    <row r="11" spans="1:7">
      <c r="A11" s="1">
        <f t="shared" si="0"/>
        <v>9</v>
      </c>
      <c r="B11" s="106">
        <v>45748</v>
      </c>
      <c r="C11" t="s">
        <v>108</v>
      </c>
      <c r="D11" t="s">
        <v>1275</v>
      </c>
      <c r="E11">
        <v>1</v>
      </c>
      <c r="F11" t="s">
        <v>1267</v>
      </c>
    </row>
    <row r="12" spans="1:7">
      <c r="A12" s="1">
        <f t="shared" si="0"/>
        <v>10</v>
      </c>
      <c r="B12" s="106">
        <v>45748</v>
      </c>
      <c r="C12" t="s">
        <v>102</v>
      </c>
      <c r="D12" t="s">
        <v>1276</v>
      </c>
      <c r="E12">
        <v>1</v>
      </c>
      <c r="F12" t="s">
        <v>1267</v>
      </c>
    </row>
    <row r="13" spans="1:7">
      <c r="A13" s="1">
        <f t="shared" si="0"/>
        <v>11</v>
      </c>
      <c r="B13" s="106">
        <v>45750</v>
      </c>
      <c r="C13" t="s">
        <v>104</v>
      </c>
      <c r="D13" t="s">
        <v>1277</v>
      </c>
      <c r="E13">
        <v>1</v>
      </c>
      <c r="F13" t="s">
        <v>1267</v>
      </c>
    </row>
    <row r="14" spans="1:7">
      <c r="A14" s="1">
        <f t="shared" si="0"/>
        <v>12</v>
      </c>
      <c r="B14" s="106">
        <v>45750</v>
      </c>
      <c r="C14" t="s">
        <v>105</v>
      </c>
      <c r="D14" t="s">
        <v>1278</v>
      </c>
      <c r="E14">
        <v>1</v>
      </c>
      <c r="F14" t="s">
        <v>1267</v>
      </c>
    </row>
    <row r="15" spans="1:7">
      <c r="A15" s="1">
        <f t="shared" si="0"/>
        <v>13</v>
      </c>
      <c r="B15" s="106">
        <v>45751</v>
      </c>
      <c r="C15" t="s">
        <v>81</v>
      </c>
      <c r="D15" t="s">
        <v>1279</v>
      </c>
      <c r="E15">
        <v>1</v>
      </c>
      <c r="F15" t="s">
        <v>1267</v>
      </c>
    </row>
    <row r="16" spans="1:7">
      <c r="A16" s="1">
        <f t="shared" si="0"/>
        <v>14</v>
      </c>
      <c r="B16" s="106">
        <v>45754</v>
      </c>
      <c r="C16" t="s">
        <v>105</v>
      </c>
      <c r="D16" t="s">
        <v>1280</v>
      </c>
      <c r="E16">
        <v>1</v>
      </c>
      <c r="F16" t="s">
        <v>1281</v>
      </c>
    </row>
    <row r="17" spans="1:6">
      <c r="A17" s="1">
        <f t="shared" si="0"/>
        <v>15</v>
      </c>
      <c r="B17" s="106">
        <v>45754</v>
      </c>
      <c r="C17" t="s">
        <v>105</v>
      </c>
      <c r="D17" t="s">
        <v>1282</v>
      </c>
      <c r="E17">
        <v>15</v>
      </c>
      <c r="F17" t="s">
        <v>1274</v>
      </c>
    </row>
    <row r="18" spans="1:6">
      <c r="A18" s="1">
        <f t="shared" si="0"/>
        <v>16</v>
      </c>
      <c r="B18" s="106">
        <v>45756</v>
      </c>
      <c r="C18" t="s">
        <v>82</v>
      </c>
      <c r="D18" t="s">
        <v>1283</v>
      </c>
      <c r="E18">
        <v>1</v>
      </c>
      <c r="F18" t="s">
        <v>1267</v>
      </c>
    </row>
    <row r="19" spans="1:6">
      <c r="A19" s="1">
        <f t="shared" si="0"/>
        <v>17</v>
      </c>
      <c r="B19" s="106">
        <v>45756</v>
      </c>
      <c r="C19" t="s">
        <v>82</v>
      </c>
      <c r="D19" t="s">
        <v>1284</v>
      </c>
      <c r="E19">
        <v>1</v>
      </c>
      <c r="F19" t="s">
        <v>1267</v>
      </c>
    </row>
    <row r="20" spans="1:6">
      <c r="A20" s="1">
        <f t="shared" si="0"/>
        <v>18</v>
      </c>
      <c r="B20" s="106">
        <v>45756</v>
      </c>
      <c r="C20" t="s">
        <v>77</v>
      </c>
      <c r="D20" t="s">
        <v>1285</v>
      </c>
      <c r="E20">
        <v>1</v>
      </c>
      <c r="F20" t="s">
        <v>1267</v>
      </c>
    </row>
    <row r="21" spans="1:6">
      <c r="A21" s="1">
        <f t="shared" si="0"/>
        <v>19</v>
      </c>
      <c r="B21" s="106">
        <v>45757</v>
      </c>
      <c r="C21" t="s">
        <v>87</v>
      </c>
      <c r="D21" t="s">
        <v>1280</v>
      </c>
      <c r="E21">
        <v>1</v>
      </c>
      <c r="F21" t="s">
        <v>1281</v>
      </c>
    </row>
    <row r="22" spans="1:6">
      <c r="A22" s="1">
        <f t="shared" si="0"/>
        <v>20</v>
      </c>
      <c r="B22" s="106">
        <v>45757</v>
      </c>
      <c r="C22" t="s">
        <v>76</v>
      </c>
      <c r="D22" t="s">
        <v>1286</v>
      </c>
      <c r="E22">
        <v>1</v>
      </c>
      <c r="F22" t="s">
        <v>1267</v>
      </c>
    </row>
    <row r="23" spans="1:6">
      <c r="A23" s="1">
        <f t="shared" si="0"/>
        <v>21</v>
      </c>
      <c r="B23" s="106">
        <v>45758</v>
      </c>
      <c r="C23" t="s">
        <v>91</v>
      </c>
      <c r="D23" t="s">
        <v>1287</v>
      </c>
      <c r="E23">
        <v>1</v>
      </c>
      <c r="F23" t="s">
        <v>1281</v>
      </c>
    </row>
    <row r="24" spans="1:6">
      <c r="A24" s="1">
        <f t="shared" si="0"/>
        <v>22</v>
      </c>
      <c r="B24" s="106">
        <v>45760</v>
      </c>
      <c r="C24" t="s">
        <v>98</v>
      </c>
      <c r="D24" t="s">
        <v>1286</v>
      </c>
      <c r="E24">
        <v>1</v>
      </c>
      <c r="F24" t="s">
        <v>1267</v>
      </c>
    </row>
    <row r="25" spans="1:6">
      <c r="A25" s="1">
        <f t="shared" si="0"/>
        <v>23</v>
      </c>
      <c r="B25" s="106">
        <v>45762</v>
      </c>
      <c r="C25" t="s">
        <v>111</v>
      </c>
      <c r="D25" t="s">
        <v>1280</v>
      </c>
      <c r="E25">
        <v>1</v>
      </c>
      <c r="F25" t="s">
        <v>1281</v>
      </c>
    </row>
    <row r="26" spans="1:6">
      <c r="A26" s="1">
        <f t="shared" si="0"/>
        <v>24</v>
      </c>
      <c r="B26" s="106">
        <v>45762</v>
      </c>
      <c r="C26" t="s">
        <v>111</v>
      </c>
      <c r="D26" t="s">
        <v>1288</v>
      </c>
      <c r="E26">
        <v>1</v>
      </c>
      <c r="F26" t="s">
        <v>1267</v>
      </c>
    </row>
    <row r="27" spans="1:6">
      <c r="A27" s="1">
        <f t="shared" si="0"/>
        <v>25</v>
      </c>
      <c r="B27" s="106">
        <v>45762</v>
      </c>
      <c r="C27" t="s">
        <v>111</v>
      </c>
      <c r="D27" t="s">
        <v>1289</v>
      </c>
      <c r="E27">
        <v>1</v>
      </c>
      <c r="F27" t="s">
        <v>1267</v>
      </c>
    </row>
    <row r="28" spans="1:6">
      <c r="A28" s="1">
        <f t="shared" si="0"/>
        <v>26</v>
      </c>
      <c r="B28" s="106">
        <v>45764</v>
      </c>
      <c r="C28" t="s">
        <v>88</v>
      </c>
      <c r="D28" t="s">
        <v>1290</v>
      </c>
      <c r="E28">
        <v>1</v>
      </c>
      <c r="F28" t="s">
        <v>1267</v>
      </c>
    </row>
    <row r="29" spans="1:6">
      <c r="A29" s="1">
        <f t="shared" si="0"/>
        <v>27</v>
      </c>
      <c r="B29" s="106">
        <v>45766</v>
      </c>
      <c r="C29" t="s">
        <v>96</v>
      </c>
      <c r="D29" t="s">
        <v>1288</v>
      </c>
      <c r="E29">
        <v>1</v>
      </c>
      <c r="F29" t="s">
        <v>1267</v>
      </c>
    </row>
    <row r="30" spans="1:6">
      <c r="A30" s="1">
        <f t="shared" si="0"/>
        <v>28</v>
      </c>
      <c r="B30" s="106">
        <v>45766</v>
      </c>
      <c r="C30" t="s">
        <v>96</v>
      </c>
      <c r="D30" t="s">
        <v>1280</v>
      </c>
      <c r="E30">
        <v>1</v>
      </c>
      <c r="F30" t="s">
        <v>1267</v>
      </c>
    </row>
    <row r="31" spans="1:6">
      <c r="A31" s="1">
        <f t="shared" si="0"/>
        <v>29</v>
      </c>
      <c r="B31" s="106">
        <v>45766</v>
      </c>
      <c r="C31" t="s">
        <v>96</v>
      </c>
      <c r="D31" t="s">
        <v>1291</v>
      </c>
      <c r="E31">
        <v>10</v>
      </c>
      <c r="F31" t="s">
        <v>1274</v>
      </c>
    </row>
    <row r="32" spans="1:6">
      <c r="A32" s="1">
        <f t="shared" si="0"/>
        <v>30</v>
      </c>
      <c r="B32" s="106">
        <v>45768</v>
      </c>
      <c r="C32" t="s">
        <v>89</v>
      </c>
      <c r="D32" t="s">
        <v>1292</v>
      </c>
      <c r="E32">
        <v>3</v>
      </c>
      <c r="F32" t="s">
        <v>1267</v>
      </c>
    </row>
    <row r="33" spans="1:6">
      <c r="A33" s="1">
        <f t="shared" si="0"/>
        <v>31</v>
      </c>
      <c r="B33" s="106">
        <v>45768</v>
      </c>
      <c r="C33" t="s">
        <v>89</v>
      </c>
      <c r="D33" t="s">
        <v>1293</v>
      </c>
      <c r="E33">
        <v>7</v>
      </c>
      <c r="F33" t="s">
        <v>1267</v>
      </c>
    </row>
    <row r="34" spans="1:6">
      <c r="A34" s="1">
        <f t="shared" si="0"/>
        <v>32</v>
      </c>
      <c r="B34" s="106">
        <v>45769</v>
      </c>
      <c r="C34" t="s">
        <v>104</v>
      </c>
      <c r="D34" t="s">
        <v>1294</v>
      </c>
      <c r="E34">
        <v>3</v>
      </c>
      <c r="F34" t="s">
        <v>1267</v>
      </c>
    </row>
    <row r="35" spans="1:6">
      <c r="A35" s="1">
        <f t="shared" si="0"/>
        <v>33</v>
      </c>
      <c r="B35" s="106">
        <v>45769</v>
      </c>
      <c r="C35" t="s">
        <v>86</v>
      </c>
      <c r="D35" t="s">
        <v>1283</v>
      </c>
      <c r="E35">
        <v>1</v>
      </c>
      <c r="F35" t="s">
        <v>1267</v>
      </c>
    </row>
    <row r="36" spans="1:6">
      <c r="A36" s="1">
        <f t="shared" si="0"/>
        <v>34</v>
      </c>
      <c r="B36" s="106">
        <v>45770</v>
      </c>
      <c r="C36" t="s">
        <v>97</v>
      </c>
      <c r="D36" t="s">
        <v>1294</v>
      </c>
      <c r="E36">
        <v>3</v>
      </c>
      <c r="F36" t="s">
        <v>1267</v>
      </c>
    </row>
    <row r="37" spans="1:6">
      <c r="A37" s="1">
        <f t="shared" ref="A37:A100" si="1">A36+1</f>
        <v>35</v>
      </c>
      <c r="B37" s="106">
        <v>45771</v>
      </c>
      <c r="C37" t="s">
        <v>98</v>
      </c>
      <c r="D37" t="s">
        <v>1294</v>
      </c>
      <c r="E37">
        <v>3</v>
      </c>
      <c r="F37" t="s">
        <v>1267</v>
      </c>
    </row>
    <row r="38" spans="1:6">
      <c r="A38" s="1">
        <f t="shared" si="1"/>
        <v>36</v>
      </c>
      <c r="B38" s="106">
        <v>45771</v>
      </c>
      <c r="C38" t="s">
        <v>112</v>
      </c>
      <c r="D38" t="s">
        <v>1294</v>
      </c>
      <c r="E38">
        <v>5</v>
      </c>
      <c r="F38" t="s">
        <v>1267</v>
      </c>
    </row>
    <row r="39" spans="1:6">
      <c r="A39" s="1">
        <f t="shared" si="1"/>
        <v>37</v>
      </c>
      <c r="B39" s="106">
        <v>45772</v>
      </c>
      <c r="C39" t="s">
        <v>92</v>
      </c>
      <c r="D39" t="s">
        <v>1295</v>
      </c>
      <c r="E39">
        <v>1</v>
      </c>
      <c r="F39" t="s">
        <v>1267</v>
      </c>
    </row>
    <row r="40" spans="1:6">
      <c r="A40" s="1">
        <f t="shared" si="1"/>
        <v>38</v>
      </c>
      <c r="B40" s="106">
        <v>45772</v>
      </c>
      <c r="C40" t="s">
        <v>85</v>
      </c>
      <c r="D40" t="s">
        <v>1296</v>
      </c>
      <c r="E40">
        <v>1</v>
      </c>
      <c r="F40" t="s">
        <v>1267</v>
      </c>
    </row>
    <row r="41" spans="1:6">
      <c r="A41" s="1">
        <f t="shared" si="1"/>
        <v>39</v>
      </c>
      <c r="B41" s="106">
        <v>45772</v>
      </c>
      <c r="C41" t="s">
        <v>111</v>
      </c>
      <c r="D41" t="s">
        <v>1280</v>
      </c>
      <c r="E41">
        <v>1</v>
      </c>
      <c r="F41" t="s">
        <v>1267</v>
      </c>
    </row>
    <row r="42" spans="1:6">
      <c r="A42" s="1">
        <f t="shared" si="1"/>
        <v>40</v>
      </c>
      <c r="B42" s="106">
        <v>45773</v>
      </c>
      <c r="C42" t="s">
        <v>79</v>
      </c>
      <c r="D42" t="s">
        <v>1294</v>
      </c>
      <c r="E42">
        <v>3</v>
      </c>
      <c r="F42" t="s">
        <v>1267</v>
      </c>
    </row>
    <row r="43" spans="1:6">
      <c r="A43" s="1">
        <f t="shared" si="1"/>
        <v>41</v>
      </c>
      <c r="B43" s="106">
        <v>45775</v>
      </c>
      <c r="C43" t="s">
        <v>93</v>
      </c>
      <c r="D43" t="s">
        <v>1297</v>
      </c>
      <c r="E43">
        <v>1</v>
      </c>
      <c r="F43" t="s">
        <v>1267</v>
      </c>
    </row>
    <row r="44" spans="1:6">
      <c r="A44" s="1">
        <f t="shared" si="1"/>
        <v>42</v>
      </c>
      <c r="B44" s="106">
        <v>45776</v>
      </c>
      <c r="C44" t="s">
        <v>80</v>
      </c>
      <c r="D44" t="s">
        <v>1298</v>
      </c>
      <c r="E44">
        <v>1</v>
      </c>
      <c r="F44" t="s">
        <v>1267</v>
      </c>
    </row>
    <row r="45" spans="1:6">
      <c r="A45" s="1">
        <f t="shared" si="1"/>
        <v>43</v>
      </c>
      <c r="B45" s="106">
        <v>45776</v>
      </c>
      <c r="C45" t="s">
        <v>95</v>
      </c>
      <c r="D45" t="s">
        <v>1299</v>
      </c>
      <c r="E45">
        <v>1</v>
      </c>
      <c r="F45" t="s">
        <v>1267</v>
      </c>
    </row>
    <row r="46" spans="1:6">
      <c r="A46" s="1">
        <f t="shared" si="1"/>
        <v>44</v>
      </c>
      <c r="B46" s="106">
        <v>45776</v>
      </c>
      <c r="C46" t="s">
        <v>95</v>
      </c>
      <c r="D46" t="s">
        <v>1286</v>
      </c>
      <c r="E46">
        <v>1</v>
      </c>
      <c r="F46" t="s">
        <v>1267</v>
      </c>
    </row>
    <row r="47" spans="1:6">
      <c r="A47" s="1">
        <f t="shared" si="1"/>
        <v>45</v>
      </c>
      <c r="B47" s="106">
        <v>45776</v>
      </c>
      <c r="C47" t="s">
        <v>77</v>
      </c>
      <c r="D47" t="s">
        <v>1300</v>
      </c>
      <c r="E47">
        <v>2</v>
      </c>
      <c r="F47" t="s">
        <v>1267</v>
      </c>
    </row>
    <row r="48" spans="1:6">
      <c r="A48" s="1">
        <f t="shared" si="1"/>
        <v>46</v>
      </c>
      <c r="B48" s="106">
        <v>45776</v>
      </c>
      <c r="C48" t="s">
        <v>77</v>
      </c>
      <c r="D48" t="s">
        <v>1301</v>
      </c>
      <c r="E48">
        <v>2</v>
      </c>
      <c r="F48" t="s">
        <v>1267</v>
      </c>
    </row>
    <row r="49" spans="1:6">
      <c r="A49" s="1">
        <f t="shared" si="1"/>
        <v>47</v>
      </c>
      <c r="B49" s="106">
        <v>45777</v>
      </c>
      <c r="C49" t="s">
        <v>80</v>
      </c>
      <c r="D49" t="s">
        <v>1280</v>
      </c>
      <c r="E49">
        <v>1</v>
      </c>
      <c r="F49" t="s">
        <v>1281</v>
      </c>
    </row>
    <row r="50" spans="1:6">
      <c r="A50" s="1">
        <f t="shared" si="1"/>
        <v>48</v>
      </c>
      <c r="B50" s="106">
        <v>45777</v>
      </c>
      <c r="C50" t="s">
        <v>95</v>
      </c>
      <c r="D50" t="s">
        <v>1302</v>
      </c>
      <c r="E50">
        <v>1</v>
      </c>
      <c r="F50" t="s">
        <v>1267</v>
      </c>
    </row>
    <row r="51" spans="1:6">
      <c r="A51" s="1">
        <f t="shared" si="1"/>
        <v>49</v>
      </c>
      <c r="B51" s="106">
        <v>45777</v>
      </c>
      <c r="C51" t="s">
        <v>95</v>
      </c>
      <c r="D51" t="s">
        <v>1303</v>
      </c>
      <c r="E51">
        <v>1</v>
      </c>
      <c r="F51" t="s">
        <v>1267</v>
      </c>
    </row>
    <row r="52" spans="1:6">
      <c r="A52" s="1">
        <f t="shared" si="1"/>
        <v>50</v>
      </c>
      <c r="B52" s="106">
        <v>45779</v>
      </c>
      <c r="C52" t="s">
        <v>80</v>
      </c>
      <c r="D52" t="s">
        <v>1280</v>
      </c>
      <c r="E52">
        <v>1</v>
      </c>
      <c r="F52" t="s">
        <v>1281</v>
      </c>
    </row>
    <row r="53" spans="1:6">
      <c r="A53" s="1">
        <f t="shared" si="1"/>
        <v>51</v>
      </c>
      <c r="B53" s="106">
        <v>45779</v>
      </c>
      <c r="C53" t="s">
        <v>80</v>
      </c>
      <c r="D53" t="s">
        <v>1291</v>
      </c>
      <c r="E53">
        <v>15</v>
      </c>
      <c r="F53" t="s">
        <v>1274</v>
      </c>
    </row>
    <row r="54" spans="1:6">
      <c r="A54" s="1">
        <f t="shared" si="1"/>
        <v>52</v>
      </c>
      <c r="B54" s="106">
        <v>45779</v>
      </c>
      <c r="C54" t="s">
        <v>91</v>
      </c>
      <c r="D54" t="s">
        <v>1292</v>
      </c>
      <c r="E54">
        <v>3</v>
      </c>
      <c r="F54" t="s">
        <v>1267</v>
      </c>
    </row>
    <row r="55" spans="1:6">
      <c r="A55" s="1">
        <f t="shared" si="1"/>
        <v>53</v>
      </c>
      <c r="B55" s="106">
        <v>45779</v>
      </c>
      <c r="C55" t="s">
        <v>91</v>
      </c>
      <c r="D55" t="s">
        <v>1293</v>
      </c>
      <c r="E55">
        <v>8</v>
      </c>
      <c r="F55" t="s">
        <v>1267</v>
      </c>
    </row>
    <row r="56" spans="1:6">
      <c r="A56" s="1">
        <f t="shared" si="1"/>
        <v>54</v>
      </c>
      <c r="B56" s="106">
        <v>45780</v>
      </c>
      <c r="C56" t="s">
        <v>92</v>
      </c>
      <c r="D56" t="s">
        <v>1280</v>
      </c>
      <c r="E56">
        <v>1</v>
      </c>
      <c r="F56" t="s">
        <v>1281</v>
      </c>
    </row>
    <row r="57" spans="1:6">
      <c r="A57" s="1">
        <f t="shared" si="1"/>
        <v>55</v>
      </c>
      <c r="B57" s="106">
        <v>45782</v>
      </c>
      <c r="C57" t="s">
        <v>74</v>
      </c>
      <c r="D57" t="s">
        <v>1304</v>
      </c>
      <c r="E57">
        <v>2</v>
      </c>
      <c r="F57" t="s">
        <v>1281</v>
      </c>
    </row>
    <row r="58" spans="1:6">
      <c r="A58" s="1">
        <f t="shared" si="1"/>
        <v>56</v>
      </c>
      <c r="B58" s="106">
        <v>45783</v>
      </c>
      <c r="C58" t="s">
        <v>98</v>
      </c>
      <c r="D58" t="s">
        <v>1305</v>
      </c>
      <c r="E58">
        <v>1</v>
      </c>
      <c r="F58" t="s">
        <v>1267</v>
      </c>
    </row>
    <row r="59" spans="1:6">
      <c r="A59" s="1">
        <f t="shared" si="1"/>
        <v>57</v>
      </c>
      <c r="B59" s="106">
        <v>45783</v>
      </c>
      <c r="C59" t="s">
        <v>98</v>
      </c>
      <c r="D59" t="s">
        <v>1291</v>
      </c>
      <c r="E59">
        <v>22</v>
      </c>
      <c r="F59" t="s">
        <v>1274</v>
      </c>
    </row>
    <row r="60" spans="1:6">
      <c r="A60" s="1">
        <f t="shared" si="1"/>
        <v>58</v>
      </c>
      <c r="B60" s="106">
        <v>45785</v>
      </c>
      <c r="C60" t="s">
        <v>95</v>
      </c>
      <c r="D60" t="s">
        <v>1306</v>
      </c>
      <c r="E60">
        <v>1</v>
      </c>
      <c r="F60" t="s">
        <v>1267</v>
      </c>
    </row>
    <row r="61" spans="1:6">
      <c r="A61" s="1">
        <f t="shared" si="1"/>
        <v>59</v>
      </c>
      <c r="B61" s="106">
        <v>45785</v>
      </c>
      <c r="C61" t="s">
        <v>95</v>
      </c>
      <c r="D61" t="s">
        <v>1307</v>
      </c>
      <c r="E61">
        <v>1</v>
      </c>
      <c r="F61" t="s">
        <v>1267</v>
      </c>
    </row>
    <row r="62" spans="1:6">
      <c r="A62" s="1">
        <f t="shared" si="1"/>
        <v>60</v>
      </c>
      <c r="B62" s="106">
        <v>45785</v>
      </c>
      <c r="C62" t="s">
        <v>109</v>
      </c>
      <c r="D62" t="s">
        <v>1280</v>
      </c>
      <c r="E62">
        <v>1</v>
      </c>
      <c r="F62" t="s">
        <v>1267</v>
      </c>
    </row>
    <row r="63" spans="1:6">
      <c r="A63" s="1">
        <f t="shared" si="1"/>
        <v>61</v>
      </c>
      <c r="B63" s="106">
        <v>45786</v>
      </c>
      <c r="C63" t="s">
        <v>109</v>
      </c>
      <c r="D63" t="s">
        <v>1308</v>
      </c>
      <c r="E63">
        <v>1</v>
      </c>
      <c r="F63" t="s">
        <v>1267</v>
      </c>
    </row>
    <row r="64" spans="1:6">
      <c r="A64" s="1">
        <f t="shared" si="1"/>
        <v>62</v>
      </c>
      <c r="B64" s="106">
        <v>45786</v>
      </c>
      <c r="C64" t="s">
        <v>109</v>
      </c>
      <c r="D64" t="s">
        <v>1309</v>
      </c>
      <c r="E64">
        <v>1</v>
      </c>
      <c r="F64" t="s">
        <v>1267</v>
      </c>
    </row>
    <row r="65" spans="1:6">
      <c r="A65" s="1">
        <f t="shared" si="1"/>
        <v>63</v>
      </c>
      <c r="B65" s="106">
        <v>45787</v>
      </c>
      <c r="C65" t="s">
        <v>77</v>
      </c>
      <c r="D65" t="s">
        <v>1310</v>
      </c>
      <c r="E65">
        <v>1</v>
      </c>
      <c r="F65" t="s">
        <v>1267</v>
      </c>
    </row>
    <row r="66" spans="1:6">
      <c r="A66" s="1">
        <f t="shared" si="1"/>
        <v>64</v>
      </c>
      <c r="B66" s="106">
        <v>45787</v>
      </c>
      <c r="C66" t="s">
        <v>77</v>
      </c>
      <c r="D66" t="s">
        <v>1311</v>
      </c>
      <c r="E66">
        <v>1</v>
      </c>
      <c r="F66" t="s">
        <v>1267</v>
      </c>
    </row>
    <row r="67" spans="1:6">
      <c r="A67" s="1">
        <f t="shared" si="1"/>
        <v>65</v>
      </c>
      <c r="B67" s="106">
        <v>45787</v>
      </c>
      <c r="C67" t="s">
        <v>82</v>
      </c>
      <c r="D67" t="s">
        <v>1312</v>
      </c>
      <c r="E67">
        <v>1</v>
      </c>
      <c r="F67" t="s">
        <v>1267</v>
      </c>
    </row>
    <row r="68" spans="1:6">
      <c r="A68" s="1">
        <f t="shared" si="1"/>
        <v>66</v>
      </c>
      <c r="B68" s="106">
        <v>45788</v>
      </c>
      <c r="C68" t="s">
        <v>96</v>
      </c>
      <c r="D68" t="s">
        <v>1313</v>
      </c>
      <c r="E68">
        <v>1</v>
      </c>
      <c r="F68" t="s">
        <v>1267</v>
      </c>
    </row>
    <row r="69" spans="1:6">
      <c r="A69" s="1">
        <f t="shared" si="1"/>
        <v>67</v>
      </c>
      <c r="B69" s="106">
        <v>45788</v>
      </c>
      <c r="C69" t="s">
        <v>96</v>
      </c>
      <c r="D69" t="s">
        <v>1314</v>
      </c>
      <c r="E69">
        <v>1</v>
      </c>
      <c r="F69" t="s">
        <v>1267</v>
      </c>
    </row>
    <row r="70" spans="1:6">
      <c r="A70" s="1">
        <f t="shared" si="1"/>
        <v>68</v>
      </c>
      <c r="B70" s="106">
        <v>45788</v>
      </c>
      <c r="C70" t="s">
        <v>94</v>
      </c>
      <c r="D70" t="s">
        <v>1315</v>
      </c>
      <c r="E70">
        <v>1</v>
      </c>
      <c r="F70" t="s">
        <v>1267</v>
      </c>
    </row>
    <row r="71" spans="1:6">
      <c r="A71" s="1">
        <f t="shared" si="1"/>
        <v>69</v>
      </c>
      <c r="B71" s="106">
        <v>45789</v>
      </c>
      <c r="C71" t="s">
        <v>96</v>
      </c>
      <c r="D71" t="s">
        <v>1314</v>
      </c>
      <c r="E71">
        <v>1</v>
      </c>
      <c r="F71" t="s">
        <v>1267</v>
      </c>
    </row>
    <row r="72" spans="1:6">
      <c r="A72" s="1">
        <f t="shared" si="1"/>
        <v>70</v>
      </c>
      <c r="B72" s="106">
        <v>45789</v>
      </c>
      <c r="C72" t="s">
        <v>77</v>
      </c>
      <c r="D72" t="s">
        <v>1316</v>
      </c>
      <c r="E72">
        <v>1</v>
      </c>
      <c r="F72" t="s">
        <v>1267</v>
      </c>
    </row>
    <row r="73" spans="1:6">
      <c r="A73" s="1">
        <f t="shared" si="1"/>
        <v>71</v>
      </c>
      <c r="B73" s="106">
        <v>45791</v>
      </c>
      <c r="C73" t="s">
        <v>87</v>
      </c>
      <c r="D73" t="s">
        <v>1317</v>
      </c>
      <c r="E73">
        <v>3</v>
      </c>
      <c r="F73" t="s">
        <v>1267</v>
      </c>
    </row>
    <row r="74" spans="1:6">
      <c r="A74" s="1">
        <f t="shared" si="1"/>
        <v>72</v>
      </c>
      <c r="B74" s="106">
        <v>45791</v>
      </c>
      <c r="C74" t="s">
        <v>87</v>
      </c>
      <c r="D74" t="s">
        <v>1318</v>
      </c>
      <c r="E74">
        <v>3</v>
      </c>
      <c r="F74" t="s">
        <v>1267</v>
      </c>
    </row>
    <row r="75" spans="1:6">
      <c r="A75" s="1">
        <f t="shared" si="1"/>
        <v>73</v>
      </c>
      <c r="B75" s="106">
        <v>45791</v>
      </c>
      <c r="C75" t="s">
        <v>87</v>
      </c>
      <c r="D75" t="s">
        <v>1319</v>
      </c>
      <c r="E75">
        <v>2</v>
      </c>
      <c r="F75" t="s">
        <v>1267</v>
      </c>
    </row>
    <row r="76" spans="1:6">
      <c r="A76" s="1">
        <f t="shared" si="1"/>
        <v>74</v>
      </c>
      <c r="B76" s="106">
        <v>45791</v>
      </c>
      <c r="C76" t="s">
        <v>87</v>
      </c>
      <c r="D76" t="s">
        <v>1320</v>
      </c>
      <c r="E76">
        <v>1</v>
      </c>
      <c r="F76" t="s">
        <v>1267</v>
      </c>
    </row>
    <row r="77" spans="1:6">
      <c r="A77" s="1">
        <f t="shared" si="1"/>
        <v>75</v>
      </c>
      <c r="B77" s="106">
        <v>45791</v>
      </c>
      <c r="C77" t="s">
        <v>87</v>
      </c>
      <c r="D77" t="s">
        <v>1321</v>
      </c>
      <c r="E77">
        <v>6</v>
      </c>
      <c r="F77" t="s">
        <v>1267</v>
      </c>
    </row>
    <row r="78" spans="1:6">
      <c r="A78" s="1">
        <f t="shared" si="1"/>
        <v>76</v>
      </c>
      <c r="B78" s="106">
        <v>45791</v>
      </c>
      <c r="C78" t="s">
        <v>77</v>
      </c>
      <c r="D78" t="s">
        <v>1322</v>
      </c>
      <c r="E78">
        <v>1</v>
      </c>
      <c r="F78" t="s">
        <v>1267</v>
      </c>
    </row>
    <row r="79" spans="1:6">
      <c r="A79" s="1">
        <f t="shared" si="1"/>
        <v>77</v>
      </c>
      <c r="B79" s="106">
        <v>45792</v>
      </c>
      <c r="C79" t="s">
        <v>105</v>
      </c>
      <c r="D79" t="s">
        <v>1323</v>
      </c>
      <c r="E79">
        <v>1</v>
      </c>
      <c r="F79" t="s">
        <v>1267</v>
      </c>
    </row>
    <row r="80" spans="1:6">
      <c r="A80" s="1">
        <f t="shared" si="1"/>
        <v>78</v>
      </c>
      <c r="B80" s="106">
        <v>45792</v>
      </c>
      <c r="C80" t="s">
        <v>105</v>
      </c>
      <c r="D80" t="s">
        <v>1324</v>
      </c>
      <c r="E80">
        <v>1</v>
      </c>
      <c r="F80" t="s">
        <v>1267</v>
      </c>
    </row>
    <row r="81" spans="1:6">
      <c r="A81" s="1">
        <f t="shared" si="1"/>
        <v>79</v>
      </c>
      <c r="B81" s="106">
        <v>45792</v>
      </c>
      <c r="C81" t="s">
        <v>112</v>
      </c>
      <c r="D81" t="s">
        <v>1325</v>
      </c>
      <c r="E81">
        <v>1</v>
      </c>
      <c r="F81" t="s">
        <v>1281</v>
      </c>
    </row>
    <row r="82" spans="1:6">
      <c r="A82" s="1">
        <f t="shared" si="1"/>
        <v>80</v>
      </c>
      <c r="B82" s="106">
        <v>45793</v>
      </c>
      <c r="C82" t="s">
        <v>77</v>
      </c>
      <c r="D82" t="s">
        <v>1326</v>
      </c>
      <c r="E82">
        <v>1</v>
      </c>
      <c r="F82" t="s">
        <v>1267</v>
      </c>
    </row>
    <row r="83" spans="1:6">
      <c r="A83" s="1">
        <f t="shared" si="1"/>
        <v>81</v>
      </c>
      <c r="B83" s="106">
        <v>45794</v>
      </c>
      <c r="C83" t="s">
        <v>92</v>
      </c>
      <c r="D83" t="s">
        <v>1305</v>
      </c>
      <c r="E83">
        <v>1</v>
      </c>
      <c r="F83" t="s">
        <v>1267</v>
      </c>
    </row>
    <row r="84" spans="1:6">
      <c r="A84" s="1">
        <f t="shared" si="1"/>
        <v>82</v>
      </c>
      <c r="B84" s="106">
        <v>45794</v>
      </c>
      <c r="C84" t="s">
        <v>79</v>
      </c>
      <c r="D84" t="s">
        <v>1327</v>
      </c>
      <c r="E84">
        <v>1</v>
      </c>
      <c r="F84" t="s">
        <v>1267</v>
      </c>
    </row>
    <row r="85" spans="1:6">
      <c r="A85" s="1">
        <f t="shared" si="1"/>
        <v>83</v>
      </c>
      <c r="B85" s="106">
        <v>45797</v>
      </c>
      <c r="C85" t="s">
        <v>83</v>
      </c>
      <c r="D85" t="s">
        <v>1328</v>
      </c>
      <c r="E85">
        <v>4</v>
      </c>
      <c r="F85" t="s">
        <v>1267</v>
      </c>
    </row>
    <row r="86" spans="1:6">
      <c r="A86" s="1">
        <f t="shared" si="1"/>
        <v>84</v>
      </c>
      <c r="B86" s="106">
        <v>45798</v>
      </c>
      <c r="C86" t="s">
        <v>105</v>
      </c>
      <c r="D86" t="s">
        <v>1329</v>
      </c>
      <c r="E86">
        <v>10</v>
      </c>
      <c r="F86" t="s">
        <v>1274</v>
      </c>
    </row>
    <row r="87" spans="1:6">
      <c r="A87" s="1">
        <f t="shared" si="1"/>
        <v>85</v>
      </c>
      <c r="B87" s="106">
        <v>45799</v>
      </c>
      <c r="C87" t="s">
        <v>110</v>
      </c>
      <c r="D87" t="s">
        <v>1330</v>
      </c>
      <c r="E87">
        <v>26</v>
      </c>
      <c r="F87" t="s">
        <v>1267</v>
      </c>
    </row>
    <row r="88" spans="1:6">
      <c r="A88" s="1">
        <f t="shared" si="1"/>
        <v>86</v>
      </c>
      <c r="B88" s="106">
        <v>45799</v>
      </c>
      <c r="C88" t="s">
        <v>110</v>
      </c>
      <c r="D88" t="s">
        <v>1331</v>
      </c>
      <c r="E88">
        <v>4</v>
      </c>
      <c r="F88" t="s">
        <v>1267</v>
      </c>
    </row>
    <row r="89" spans="1:6">
      <c r="A89" s="1">
        <f t="shared" si="1"/>
        <v>87</v>
      </c>
      <c r="B89" s="106">
        <v>45801</v>
      </c>
      <c r="C89" t="s">
        <v>98</v>
      </c>
      <c r="D89" t="s">
        <v>1332</v>
      </c>
      <c r="E89">
        <v>1</v>
      </c>
      <c r="F89" t="s">
        <v>1267</v>
      </c>
    </row>
    <row r="90" spans="1:6">
      <c r="A90" s="1">
        <f t="shared" si="1"/>
        <v>88</v>
      </c>
      <c r="B90" s="106">
        <v>45803</v>
      </c>
      <c r="C90" t="s">
        <v>97</v>
      </c>
      <c r="D90" t="s">
        <v>1306</v>
      </c>
      <c r="E90">
        <v>1</v>
      </c>
      <c r="F90" t="s">
        <v>1267</v>
      </c>
    </row>
    <row r="91" spans="1:6">
      <c r="A91" s="1">
        <f t="shared" si="1"/>
        <v>89</v>
      </c>
      <c r="B91" s="106">
        <v>45803</v>
      </c>
      <c r="C91" t="s">
        <v>102</v>
      </c>
      <c r="D91" t="s">
        <v>1288</v>
      </c>
      <c r="E91">
        <v>1</v>
      </c>
      <c r="F91" t="s">
        <v>1267</v>
      </c>
    </row>
    <row r="92" spans="1:6">
      <c r="A92" s="1">
        <f t="shared" si="1"/>
        <v>90</v>
      </c>
      <c r="B92" s="106">
        <v>45805</v>
      </c>
      <c r="C92" t="s">
        <v>105</v>
      </c>
      <c r="D92" t="s">
        <v>1333</v>
      </c>
      <c r="E92">
        <v>1</v>
      </c>
      <c r="F92" t="s">
        <v>1267</v>
      </c>
    </row>
    <row r="93" spans="1:6">
      <c r="A93" s="1">
        <f t="shared" si="1"/>
        <v>91</v>
      </c>
      <c r="B93" s="106">
        <v>45806</v>
      </c>
      <c r="C93" t="s">
        <v>105</v>
      </c>
      <c r="D93" t="s">
        <v>1334</v>
      </c>
      <c r="E93">
        <v>2</v>
      </c>
      <c r="F93" t="s">
        <v>1267</v>
      </c>
    </row>
    <row r="94" spans="1:6">
      <c r="A94" s="1">
        <f t="shared" si="1"/>
        <v>92</v>
      </c>
      <c r="B94" s="106">
        <v>45807</v>
      </c>
      <c r="C94" t="s">
        <v>100</v>
      </c>
      <c r="D94" t="s">
        <v>1290</v>
      </c>
      <c r="E94">
        <v>1</v>
      </c>
      <c r="F94" t="s">
        <v>1267</v>
      </c>
    </row>
    <row r="95" spans="1:6">
      <c r="A95" s="1">
        <f t="shared" si="1"/>
        <v>93</v>
      </c>
      <c r="B95" s="106">
        <v>45807</v>
      </c>
      <c r="C95" t="s">
        <v>97</v>
      </c>
      <c r="D95" t="s">
        <v>1335</v>
      </c>
      <c r="E95">
        <v>1</v>
      </c>
      <c r="F95" t="s">
        <v>1281</v>
      </c>
    </row>
    <row r="96" spans="1:6">
      <c r="A96" s="1">
        <f t="shared" si="1"/>
        <v>94</v>
      </c>
      <c r="B96" s="106">
        <v>45807</v>
      </c>
      <c r="C96" t="s">
        <v>89</v>
      </c>
      <c r="D96" t="s">
        <v>1336</v>
      </c>
      <c r="E96">
        <v>1</v>
      </c>
      <c r="F96" t="s">
        <v>1267</v>
      </c>
    </row>
    <row r="97" spans="1:6">
      <c r="A97" s="1">
        <f t="shared" si="1"/>
        <v>95</v>
      </c>
      <c r="B97" s="106">
        <v>45807</v>
      </c>
      <c r="C97" t="s">
        <v>77</v>
      </c>
      <c r="D97" t="s">
        <v>1310</v>
      </c>
      <c r="E97">
        <v>1</v>
      </c>
      <c r="F97" t="s">
        <v>1267</v>
      </c>
    </row>
    <row r="98" spans="1:6">
      <c r="A98" s="1">
        <f t="shared" si="1"/>
        <v>96</v>
      </c>
      <c r="B98" s="106">
        <v>45808</v>
      </c>
      <c r="C98" t="s">
        <v>97</v>
      </c>
      <c r="D98" t="s">
        <v>1337</v>
      </c>
      <c r="E98">
        <v>1</v>
      </c>
      <c r="F98" t="s">
        <v>1267</v>
      </c>
    </row>
    <row r="99" spans="1:6">
      <c r="A99" s="1">
        <f t="shared" si="1"/>
        <v>97</v>
      </c>
      <c r="B99" s="106">
        <v>45810</v>
      </c>
      <c r="C99" t="s">
        <v>77</v>
      </c>
      <c r="D99" t="s">
        <v>1338</v>
      </c>
      <c r="E99">
        <v>1</v>
      </c>
      <c r="F99" t="s">
        <v>1267</v>
      </c>
    </row>
    <row r="100" spans="1:6">
      <c r="A100" s="1">
        <f t="shared" si="1"/>
        <v>98</v>
      </c>
      <c r="B100" s="106">
        <v>45810</v>
      </c>
      <c r="C100" t="s">
        <v>93</v>
      </c>
      <c r="D100" t="s">
        <v>1339</v>
      </c>
      <c r="E100">
        <v>1</v>
      </c>
      <c r="F100" t="s">
        <v>1267</v>
      </c>
    </row>
    <row r="101" spans="1:6">
      <c r="A101" s="1">
        <f t="shared" ref="A101:A164" si="2">A100+1</f>
        <v>99</v>
      </c>
      <c r="B101" s="106">
        <v>45810</v>
      </c>
      <c r="C101" t="s">
        <v>105</v>
      </c>
      <c r="D101" t="s">
        <v>1340</v>
      </c>
      <c r="E101">
        <v>8</v>
      </c>
      <c r="F101" t="s">
        <v>1267</v>
      </c>
    </row>
    <row r="102" spans="1:6">
      <c r="A102" s="1">
        <f t="shared" si="2"/>
        <v>100</v>
      </c>
      <c r="B102" s="106">
        <v>45810</v>
      </c>
      <c r="C102" t="s">
        <v>107</v>
      </c>
      <c r="D102" t="s">
        <v>1341</v>
      </c>
      <c r="E102">
        <v>10</v>
      </c>
      <c r="F102" t="s">
        <v>1267</v>
      </c>
    </row>
    <row r="103" spans="1:6">
      <c r="A103" s="1">
        <f t="shared" si="2"/>
        <v>101</v>
      </c>
      <c r="B103" s="106">
        <v>45811</v>
      </c>
      <c r="C103" t="s">
        <v>93</v>
      </c>
      <c r="D103" t="s">
        <v>1306</v>
      </c>
      <c r="E103">
        <v>1</v>
      </c>
      <c r="F103" t="s">
        <v>1267</v>
      </c>
    </row>
    <row r="104" spans="1:6">
      <c r="A104" s="1">
        <f t="shared" si="2"/>
        <v>102</v>
      </c>
      <c r="B104" s="106">
        <v>45813</v>
      </c>
      <c r="C104" t="s">
        <v>108</v>
      </c>
      <c r="D104" t="s">
        <v>1342</v>
      </c>
      <c r="E104">
        <v>18</v>
      </c>
      <c r="F104" t="s">
        <v>1267</v>
      </c>
    </row>
    <row r="105" spans="1:6">
      <c r="A105" s="1">
        <f t="shared" si="2"/>
        <v>103</v>
      </c>
      <c r="B105" s="106">
        <v>45813</v>
      </c>
      <c r="C105" t="s">
        <v>108</v>
      </c>
      <c r="D105" t="s">
        <v>1331</v>
      </c>
      <c r="E105">
        <v>4</v>
      </c>
      <c r="F105" t="s">
        <v>1267</v>
      </c>
    </row>
    <row r="106" spans="1:6">
      <c r="A106" s="1">
        <f t="shared" si="2"/>
        <v>104</v>
      </c>
      <c r="B106" s="106">
        <v>45814</v>
      </c>
      <c r="C106" t="s">
        <v>87</v>
      </c>
      <c r="D106" t="s">
        <v>1343</v>
      </c>
      <c r="E106">
        <v>1</v>
      </c>
      <c r="F106" t="s">
        <v>1267</v>
      </c>
    </row>
    <row r="107" spans="1:6">
      <c r="A107" s="1">
        <f t="shared" si="2"/>
        <v>105</v>
      </c>
      <c r="B107" s="106">
        <v>45814</v>
      </c>
      <c r="C107" t="s">
        <v>109</v>
      </c>
      <c r="D107" t="s">
        <v>1297</v>
      </c>
      <c r="E107">
        <v>1</v>
      </c>
      <c r="F107" t="s">
        <v>1267</v>
      </c>
    </row>
    <row r="108" spans="1:6">
      <c r="A108" s="1">
        <f t="shared" si="2"/>
        <v>106</v>
      </c>
      <c r="B108" s="106">
        <v>45818</v>
      </c>
      <c r="C108" t="s">
        <v>96</v>
      </c>
      <c r="D108" t="s">
        <v>1328</v>
      </c>
      <c r="E108">
        <v>1</v>
      </c>
      <c r="F108" t="s">
        <v>1267</v>
      </c>
    </row>
    <row r="109" spans="1:6">
      <c r="A109" s="1">
        <f t="shared" si="2"/>
        <v>107</v>
      </c>
      <c r="B109" s="106">
        <v>45818</v>
      </c>
      <c r="C109" t="s">
        <v>96</v>
      </c>
      <c r="D109" t="s">
        <v>1342</v>
      </c>
      <c r="E109">
        <v>2</v>
      </c>
      <c r="F109" t="s">
        <v>1267</v>
      </c>
    </row>
    <row r="110" spans="1:6">
      <c r="A110" s="1">
        <f t="shared" si="2"/>
        <v>108</v>
      </c>
      <c r="B110" s="106">
        <v>45818</v>
      </c>
      <c r="C110" t="s">
        <v>96</v>
      </c>
      <c r="D110" t="s">
        <v>1331</v>
      </c>
      <c r="E110">
        <v>1</v>
      </c>
      <c r="F110" t="s">
        <v>1267</v>
      </c>
    </row>
    <row r="111" spans="1:6">
      <c r="A111" s="1">
        <f t="shared" si="2"/>
        <v>109</v>
      </c>
      <c r="B111" s="106">
        <v>45818</v>
      </c>
      <c r="C111" t="s">
        <v>88</v>
      </c>
      <c r="D111" t="s">
        <v>1344</v>
      </c>
      <c r="E111">
        <v>1</v>
      </c>
      <c r="F111" t="s">
        <v>1267</v>
      </c>
    </row>
    <row r="112" spans="1:6">
      <c r="A112" s="1">
        <f t="shared" si="2"/>
        <v>110</v>
      </c>
      <c r="B112" s="106">
        <v>45818</v>
      </c>
      <c r="C112" t="s">
        <v>89</v>
      </c>
      <c r="D112" t="s">
        <v>1344</v>
      </c>
      <c r="E112">
        <v>1</v>
      </c>
      <c r="F112" t="s">
        <v>1267</v>
      </c>
    </row>
    <row r="113" spans="1:6">
      <c r="A113" s="1">
        <f t="shared" si="2"/>
        <v>111</v>
      </c>
      <c r="B113" s="106">
        <v>45818</v>
      </c>
      <c r="C113" t="s">
        <v>87</v>
      </c>
      <c r="D113" t="s">
        <v>1345</v>
      </c>
      <c r="E113">
        <v>2</v>
      </c>
      <c r="F113" t="s">
        <v>1267</v>
      </c>
    </row>
    <row r="114" spans="1:6">
      <c r="A114" s="1">
        <f t="shared" si="2"/>
        <v>112</v>
      </c>
      <c r="B114" s="106">
        <v>45818</v>
      </c>
      <c r="C114" t="s">
        <v>87</v>
      </c>
      <c r="D114" t="s">
        <v>1346</v>
      </c>
      <c r="E114">
        <v>2</v>
      </c>
      <c r="F114" t="s">
        <v>1267</v>
      </c>
    </row>
    <row r="115" spans="1:6">
      <c r="A115" s="1">
        <f t="shared" si="2"/>
        <v>113</v>
      </c>
      <c r="B115" s="106"/>
    </row>
    <row r="116" spans="1:6">
      <c r="A116" s="1">
        <f>A115+1</f>
        <v>114</v>
      </c>
      <c r="B116" s="106">
        <v>45826</v>
      </c>
      <c r="C116" t="s">
        <v>80</v>
      </c>
      <c r="D116" t="s">
        <v>1347</v>
      </c>
      <c r="E116">
        <v>1</v>
      </c>
      <c r="F116" t="s">
        <v>1267</v>
      </c>
    </row>
    <row r="117" spans="1:6">
      <c r="A117" s="1">
        <f t="shared" si="2"/>
        <v>115</v>
      </c>
      <c r="B117" s="106">
        <v>45826</v>
      </c>
      <c r="C117" t="s">
        <v>80</v>
      </c>
      <c r="D117" t="s">
        <v>1348</v>
      </c>
      <c r="E117">
        <v>1</v>
      </c>
      <c r="F117" t="s">
        <v>1267</v>
      </c>
    </row>
    <row r="118" spans="1:6">
      <c r="A118" s="1">
        <f t="shared" si="2"/>
        <v>116</v>
      </c>
      <c r="B118" s="106">
        <v>45827</v>
      </c>
      <c r="C118" t="s">
        <v>76</v>
      </c>
      <c r="D118" t="s">
        <v>1349</v>
      </c>
      <c r="E118">
        <v>1</v>
      </c>
      <c r="F118" t="s">
        <v>1267</v>
      </c>
    </row>
    <row r="119" spans="1:6">
      <c r="A119" s="1">
        <f t="shared" si="2"/>
        <v>117</v>
      </c>
      <c r="B119" s="106">
        <v>45827</v>
      </c>
      <c r="C119" t="s">
        <v>100</v>
      </c>
      <c r="D119" t="s">
        <v>1350</v>
      </c>
      <c r="E119">
        <v>1</v>
      </c>
      <c r="F119" t="s">
        <v>1267</v>
      </c>
    </row>
    <row r="120" spans="1:6">
      <c r="A120" s="1">
        <f t="shared" si="2"/>
        <v>118</v>
      </c>
      <c r="B120" s="106">
        <v>45828</v>
      </c>
      <c r="C120" t="s">
        <v>84</v>
      </c>
      <c r="D120" t="s">
        <v>1351</v>
      </c>
      <c r="E120">
        <v>1</v>
      </c>
      <c r="F120" t="s">
        <v>1267</v>
      </c>
    </row>
    <row r="121" spans="1:6">
      <c r="A121" s="1">
        <f t="shared" si="2"/>
        <v>119</v>
      </c>
      <c r="B121" s="106">
        <v>45828</v>
      </c>
      <c r="C121" t="s">
        <v>94</v>
      </c>
      <c r="D121" t="s">
        <v>1352</v>
      </c>
      <c r="E121">
        <v>1</v>
      </c>
      <c r="F121" t="s">
        <v>1267</v>
      </c>
    </row>
    <row r="122" spans="1:6">
      <c r="A122" s="1">
        <f t="shared" si="2"/>
        <v>120</v>
      </c>
      <c r="B122" s="106">
        <v>45829</v>
      </c>
      <c r="C122" t="s">
        <v>105</v>
      </c>
      <c r="D122" t="s">
        <v>1349</v>
      </c>
      <c r="E122">
        <v>1</v>
      </c>
      <c r="F122" t="s">
        <v>1267</v>
      </c>
    </row>
    <row r="123" spans="1:6">
      <c r="A123" s="1">
        <f t="shared" si="2"/>
        <v>121</v>
      </c>
      <c r="B123" s="106">
        <v>45829</v>
      </c>
      <c r="C123" t="s">
        <v>85</v>
      </c>
      <c r="D123" t="s">
        <v>1353</v>
      </c>
      <c r="E123">
        <v>1</v>
      </c>
      <c r="F123" t="s">
        <v>1267</v>
      </c>
    </row>
    <row r="124" spans="1:6">
      <c r="A124" s="1">
        <f t="shared" si="2"/>
        <v>122</v>
      </c>
      <c r="B124" s="106">
        <v>45829</v>
      </c>
      <c r="C124" t="s">
        <v>85</v>
      </c>
      <c r="D124" t="s">
        <v>1354</v>
      </c>
      <c r="E124">
        <v>2</v>
      </c>
      <c r="F124" t="s">
        <v>1267</v>
      </c>
    </row>
    <row r="125" spans="1:6">
      <c r="A125" s="1">
        <f t="shared" si="2"/>
        <v>123</v>
      </c>
      <c r="B125" s="106">
        <v>45829</v>
      </c>
      <c r="C125" t="s">
        <v>85</v>
      </c>
      <c r="D125" t="s">
        <v>1355</v>
      </c>
      <c r="E125">
        <v>1</v>
      </c>
      <c r="F125" t="s">
        <v>1267</v>
      </c>
    </row>
    <row r="126" spans="1:6">
      <c r="A126" s="1">
        <f t="shared" si="2"/>
        <v>124</v>
      </c>
      <c r="B126" s="106">
        <v>45829</v>
      </c>
      <c r="C126" t="s">
        <v>83</v>
      </c>
      <c r="D126" t="s">
        <v>1356</v>
      </c>
      <c r="E126">
        <v>6</v>
      </c>
      <c r="F126" t="s">
        <v>1267</v>
      </c>
    </row>
    <row r="127" spans="1:6">
      <c r="A127" s="1">
        <f t="shared" si="2"/>
        <v>125</v>
      </c>
      <c r="B127" s="106">
        <v>45830</v>
      </c>
      <c r="C127" t="s">
        <v>85</v>
      </c>
      <c r="D127" t="s">
        <v>1332</v>
      </c>
      <c r="E127">
        <v>1</v>
      </c>
      <c r="F127" t="s">
        <v>1267</v>
      </c>
    </row>
    <row r="128" spans="1:6">
      <c r="A128" s="1">
        <f t="shared" si="2"/>
        <v>126</v>
      </c>
      <c r="B128" s="106">
        <v>45831</v>
      </c>
      <c r="C128" t="s">
        <v>93</v>
      </c>
      <c r="D128" t="s">
        <v>1270</v>
      </c>
      <c r="E128">
        <v>1</v>
      </c>
      <c r="F128" t="s">
        <v>1267</v>
      </c>
    </row>
    <row r="129" spans="1:6">
      <c r="A129" s="1">
        <f t="shared" si="2"/>
        <v>127</v>
      </c>
      <c r="B129" s="106">
        <v>45833</v>
      </c>
      <c r="C129" t="s">
        <v>89</v>
      </c>
      <c r="D129" t="s">
        <v>1294</v>
      </c>
      <c r="E129">
        <v>2</v>
      </c>
      <c r="F129" t="s">
        <v>1267</v>
      </c>
    </row>
    <row r="130" spans="1:6">
      <c r="A130" s="1">
        <f t="shared" si="2"/>
        <v>128</v>
      </c>
      <c r="B130" s="106">
        <v>45834</v>
      </c>
      <c r="C130" t="s">
        <v>86</v>
      </c>
      <c r="D130" t="s">
        <v>1294</v>
      </c>
      <c r="E130">
        <v>4</v>
      </c>
      <c r="F130" t="s">
        <v>1267</v>
      </c>
    </row>
    <row r="131" spans="1:6">
      <c r="A131" s="1">
        <f t="shared" si="2"/>
        <v>129</v>
      </c>
      <c r="B131" s="106">
        <v>45834</v>
      </c>
      <c r="C131" t="s">
        <v>109</v>
      </c>
      <c r="D131" t="s">
        <v>1357</v>
      </c>
      <c r="E131">
        <v>1</v>
      </c>
      <c r="F131" t="s">
        <v>1267</v>
      </c>
    </row>
    <row r="132" spans="1:6">
      <c r="A132" s="1">
        <f t="shared" si="2"/>
        <v>130</v>
      </c>
      <c r="B132" s="106">
        <v>45834</v>
      </c>
      <c r="C132" t="s">
        <v>109</v>
      </c>
      <c r="D132" t="s">
        <v>1358</v>
      </c>
      <c r="E132">
        <v>90</v>
      </c>
      <c r="F132" t="s">
        <v>1274</v>
      </c>
    </row>
    <row r="133" spans="1:6">
      <c r="A133" s="1">
        <f t="shared" si="2"/>
        <v>131</v>
      </c>
      <c r="B133" s="106">
        <v>45834</v>
      </c>
      <c r="C133" t="s">
        <v>76</v>
      </c>
      <c r="D133" t="s">
        <v>1359</v>
      </c>
      <c r="E133">
        <v>3</v>
      </c>
      <c r="F133" t="s">
        <v>1267</v>
      </c>
    </row>
    <row r="134" spans="1:6">
      <c r="A134" s="1">
        <f t="shared" si="2"/>
        <v>132</v>
      </c>
      <c r="B134" s="106">
        <v>45834</v>
      </c>
      <c r="C134" t="s">
        <v>76</v>
      </c>
      <c r="D134" t="s">
        <v>1354</v>
      </c>
      <c r="E134">
        <v>2</v>
      </c>
      <c r="F134" t="s">
        <v>1267</v>
      </c>
    </row>
    <row r="135" spans="1:6">
      <c r="A135" s="1">
        <f t="shared" si="2"/>
        <v>133</v>
      </c>
      <c r="B135" s="106">
        <v>45834</v>
      </c>
      <c r="C135" t="s">
        <v>75</v>
      </c>
      <c r="D135" t="s">
        <v>1354</v>
      </c>
      <c r="E135">
        <v>2</v>
      </c>
      <c r="F135" t="s">
        <v>1267</v>
      </c>
    </row>
    <row r="136" spans="1:6">
      <c r="A136" s="1">
        <f t="shared" si="2"/>
        <v>134</v>
      </c>
      <c r="B136" s="106">
        <v>45834</v>
      </c>
      <c r="C136" t="s">
        <v>75</v>
      </c>
      <c r="D136" t="s">
        <v>1360</v>
      </c>
      <c r="E136">
        <v>1</v>
      </c>
      <c r="F136" t="s">
        <v>1267</v>
      </c>
    </row>
    <row r="137" spans="1:6">
      <c r="A137" s="1">
        <f t="shared" si="2"/>
        <v>135</v>
      </c>
      <c r="B137" s="106">
        <v>45835</v>
      </c>
      <c r="C137" t="s">
        <v>74</v>
      </c>
      <c r="D137" t="s">
        <v>1360</v>
      </c>
      <c r="E137">
        <v>2</v>
      </c>
      <c r="F137" t="s">
        <v>1267</v>
      </c>
    </row>
    <row r="138" spans="1:6">
      <c r="A138" s="1">
        <f t="shared" si="2"/>
        <v>136</v>
      </c>
      <c r="B138" s="106">
        <v>45835</v>
      </c>
      <c r="C138" t="s">
        <v>74</v>
      </c>
      <c r="D138" t="s">
        <v>1357</v>
      </c>
      <c r="E138">
        <v>1</v>
      </c>
      <c r="F138" t="s">
        <v>1267</v>
      </c>
    </row>
    <row r="139" spans="1:6">
      <c r="A139" s="1">
        <f t="shared" si="2"/>
        <v>137</v>
      </c>
      <c r="B139" s="106">
        <v>45835</v>
      </c>
      <c r="C139" t="s">
        <v>100</v>
      </c>
      <c r="D139" t="s">
        <v>1361</v>
      </c>
      <c r="E139">
        <v>1</v>
      </c>
      <c r="F139" t="s">
        <v>1267</v>
      </c>
    </row>
    <row r="140" spans="1:6">
      <c r="A140" s="1">
        <f t="shared" si="2"/>
        <v>138</v>
      </c>
      <c r="B140" s="106">
        <v>45835</v>
      </c>
      <c r="C140" t="s">
        <v>100</v>
      </c>
      <c r="D140" t="s">
        <v>1362</v>
      </c>
      <c r="E140">
        <v>1</v>
      </c>
      <c r="F140" t="s">
        <v>1267</v>
      </c>
    </row>
    <row r="141" spans="1:6">
      <c r="A141" s="1">
        <f t="shared" si="2"/>
        <v>139</v>
      </c>
      <c r="B141" s="106">
        <v>45835</v>
      </c>
      <c r="C141" t="s">
        <v>100</v>
      </c>
      <c r="D141" t="s">
        <v>1363</v>
      </c>
      <c r="E141">
        <v>1</v>
      </c>
      <c r="F141" t="s">
        <v>1267</v>
      </c>
    </row>
    <row r="142" spans="1:6">
      <c r="A142" s="1">
        <f t="shared" si="2"/>
        <v>140</v>
      </c>
      <c r="B142" s="106">
        <v>45836</v>
      </c>
      <c r="C142" t="s">
        <v>76</v>
      </c>
      <c r="D142" t="s">
        <v>1364</v>
      </c>
      <c r="E142">
        <v>1</v>
      </c>
      <c r="F142" t="s">
        <v>1267</v>
      </c>
    </row>
    <row r="143" spans="1:6">
      <c r="A143" s="1">
        <f t="shared" si="2"/>
        <v>141</v>
      </c>
      <c r="B143" s="106">
        <v>45836</v>
      </c>
      <c r="C143" t="s">
        <v>75</v>
      </c>
      <c r="D143" t="s">
        <v>1365</v>
      </c>
      <c r="E143">
        <v>1</v>
      </c>
      <c r="F143" t="s">
        <v>1267</v>
      </c>
    </row>
    <row r="144" spans="1:6">
      <c r="A144" s="1">
        <f t="shared" si="2"/>
        <v>142</v>
      </c>
      <c r="B144" s="106">
        <v>45839</v>
      </c>
      <c r="C144" t="s">
        <v>104</v>
      </c>
      <c r="D144" t="s">
        <v>1366</v>
      </c>
      <c r="E144">
        <v>1</v>
      </c>
      <c r="F144" t="s">
        <v>1267</v>
      </c>
    </row>
    <row r="145" spans="1:6">
      <c r="A145" s="1">
        <f t="shared" si="2"/>
        <v>143</v>
      </c>
      <c r="B145" s="106">
        <v>45839</v>
      </c>
      <c r="C145" t="s">
        <v>95</v>
      </c>
      <c r="D145" t="s">
        <v>1366</v>
      </c>
      <c r="E145">
        <v>2</v>
      </c>
      <c r="F145" t="s">
        <v>1267</v>
      </c>
    </row>
    <row r="146" spans="1:6">
      <c r="A146" s="1">
        <f t="shared" si="2"/>
        <v>144</v>
      </c>
      <c r="B146" s="106">
        <v>45840</v>
      </c>
      <c r="C146" t="s">
        <v>108</v>
      </c>
      <c r="D146" t="s">
        <v>1366</v>
      </c>
      <c r="E146">
        <v>2</v>
      </c>
      <c r="F146" t="s">
        <v>1267</v>
      </c>
    </row>
    <row r="147" spans="1:6">
      <c r="A147" s="1">
        <f t="shared" si="2"/>
        <v>145</v>
      </c>
      <c r="B147" s="106">
        <v>45842</v>
      </c>
      <c r="C147" t="s">
        <v>77</v>
      </c>
      <c r="D147" t="s">
        <v>1367</v>
      </c>
      <c r="E147">
        <v>1</v>
      </c>
      <c r="F147" t="s">
        <v>1267</v>
      </c>
    </row>
    <row r="148" spans="1:6">
      <c r="A148" s="1">
        <f t="shared" si="2"/>
        <v>146</v>
      </c>
      <c r="B148" s="106">
        <v>45842</v>
      </c>
      <c r="C148" t="s">
        <v>82</v>
      </c>
      <c r="D148" t="s">
        <v>1302</v>
      </c>
      <c r="E148">
        <v>1</v>
      </c>
      <c r="F148" t="s">
        <v>1267</v>
      </c>
    </row>
    <row r="149" spans="1:6">
      <c r="A149" s="1">
        <f t="shared" si="2"/>
        <v>147</v>
      </c>
      <c r="B149" s="106">
        <v>45844</v>
      </c>
      <c r="C149" t="s">
        <v>89</v>
      </c>
      <c r="D149" t="s">
        <v>1356</v>
      </c>
      <c r="E149">
        <v>4</v>
      </c>
      <c r="F149" t="s">
        <v>1267</v>
      </c>
    </row>
    <row r="150" spans="1:6">
      <c r="A150" s="1">
        <f t="shared" si="2"/>
        <v>148</v>
      </c>
      <c r="B150" s="106">
        <v>45844</v>
      </c>
      <c r="C150" t="s">
        <v>89</v>
      </c>
      <c r="D150" t="s">
        <v>1368</v>
      </c>
      <c r="E150">
        <v>240</v>
      </c>
      <c r="F150" t="s">
        <v>1369</v>
      </c>
    </row>
    <row r="151" spans="1:6">
      <c r="A151" s="1">
        <f t="shared" si="2"/>
        <v>149</v>
      </c>
      <c r="B151" s="106">
        <v>45846</v>
      </c>
      <c r="C151" t="s">
        <v>74</v>
      </c>
      <c r="D151" t="s">
        <v>1370</v>
      </c>
      <c r="E151">
        <v>1</v>
      </c>
      <c r="F151" t="s">
        <v>1267</v>
      </c>
    </row>
    <row r="152" spans="1:6">
      <c r="A152" s="1">
        <f t="shared" si="2"/>
        <v>150</v>
      </c>
      <c r="B152" s="106">
        <v>45846</v>
      </c>
      <c r="C152" t="s">
        <v>104</v>
      </c>
      <c r="D152" t="s">
        <v>1371</v>
      </c>
      <c r="E152">
        <v>1</v>
      </c>
      <c r="F152" t="s">
        <v>1267</v>
      </c>
    </row>
    <row r="153" spans="1:6">
      <c r="A153" s="1">
        <f t="shared" si="2"/>
        <v>151</v>
      </c>
      <c r="B153" s="106">
        <v>45847</v>
      </c>
      <c r="C153" t="s">
        <v>90</v>
      </c>
      <c r="D153" t="s">
        <v>1372</v>
      </c>
      <c r="E153">
        <v>1</v>
      </c>
      <c r="F153" t="s">
        <v>1267</v>
      </c>
    </row>
    <row r="154" spans="1:6">
      <c r="A154" s="1">
        <f t="shared" si="2"/>
        <v>152</v>
      </c>
      <c r="B154" s="106">
        <v>45847</v>
      </c>
      <c r="C154" t="s">
        <v>90</v>
      </c>
      <c r="D154" t="s">
        <v>1373</v>
      </c>
      <c r="E154">
        <v>1</v>
      </c>
      <c r="F154" t="s">
        <v>1267</v>
      </c>
    </row>
    <row r="155" spans="1:6">
      <c r="A155" s="1">
        <f t="shared" si="2"/>
        <v>153</v>
      </c>
      <c r="B155" s="106">
        <v>45847</v>
      </c>
      <c r="C155" t="s">
        <v>90</v>
      </c>
      <c r="D155" t="s">
        <v>1374</v>
      </c>
      <c r="E155">
        <v>1</v>
      </c>
      <c r="F155" t="s">
        <v>1267</v>
      </c>
    </row>
    <row r="156" spans="1:6">
      <c r="A156" s="1">
        <f t="shared" si="2"/>
        <v>154</v>
      </c>
      <c r="B156" s="106">
        <v>45847</v>
      </c>
      <c r="C156" t="s">
        <v>90</v>
      </c>
      <c r="D156" t="s">
        <v>1375</v>
      </c>
      <c r="E156">
        <v>1</v>
      </c>
      <c r="F156" t="s">
        <v>1376</v>
      </c>
    </row>
    <row r="157" spans="1:6">
      <c r="A157" s="1">
        <f t="shared" si="2"/>
        <v>155</v>
      </c>
      <c r="B157" s="106">
        <v>45847</v>
      </c>
      <c r="C157" t="s">
        <v>85</v>
      </c>
      <c r="D157" t="s">
        <v>1375</v>
      </c>
      <c r="E157">
        <v>1</v>
      </c>
      <c r="F157" t="s">
        <v>1376</v>
      </c>
    </row>
    <row r="158" spans="1:6">
      <c r="A158" s="1">
        <f t="shared" si="2"/>
        <v>156</v>
      </c>
      <c r="B158" s="106">
        <v>45849</v>
      </c>
      <c r="C158" t="s">
        <v>90</v>
      </c>
      <c r="D158" t="s">
        <v>1377</v>
      </c>
      <c r="E158">
        <v>1</v>
      </c>
      <c r="F158" t="s">
        <v>1267</v>
      </c>
    </row>
    <row r="159" spans="1:6">
      <c r="A159" s="1">
        <f t="shared" si="2"/>
        <v>157</v>
      </c>
      <c r="B159" s="106">
        <v>45854</v>
      </c>
      <c r="C159" t="s">
        <v>90</v>
      </c>
      <c r="D159" t="s">
        <v>1372</v>
      </c>
      <c r="E159">
        <v>1</v>
      </c>
      <c r="F159" t="s">
        <v>1267</v>
      </c>
    </row>
    <row r="160" spans="1:6">
      <c r="A160" s="1">
        <f t="shared" si="2"/>
        <v>158</v>
      </c>
      <c r="B160" s="106">
        <v>45854</v>
      </c>
      <c r="C160" t="s">
        <v>90</v>
      </c>
      <c r="D160" t="s">
        <v>1378</v>
      </c>
      <c r="E160">
        <v>1</v>
      </c>
      <c r="F160" t="s">
        <v>1267</v>
      </c>
    </row>
    <row r="161" spans="1:6">
      <c r="A161" s="1">
        <f t="shared" si="2"/>
        <v>159</v>
      </c>
      <c r="B161" s="106">
        <v>45854</v>
      </c>
      <c r="C161" t="s">
        <v>90</v>
      </c>
      <c r="D161" t="s">
        <v>1375</v>
      </c>
      <c r="E161">
        <v>1</v>
      </c>
      <c r="F161" t="s">
        <v>1267</v>
      </c>
    </row>
    <row r="162" spans="1:6">
      <c r="A162" s="1">
        <f t="shared" si="2"/>
        <v>160</v>
      </c>
      <c r="B162" s="106">
        <v>45854</v>
      </c>
      <c r="C162" t="s">
        <v>90</v>
      </c>
      <c r="D162" t="s">
        <v>1379</v>
      </c>
      <c r="E162">
        <v>1</v>
      </c>
      <c r="F162" t="s">
        <v>1267</v>
      </c>
    </row>
    <row r="163" spans="1:6">
      <c r="A163" s="1">
        <f t="shared" si="2"/>
        <v>161</v>
      </c>
      <c r="B163" s="106">
        <v>45854</v>
      </c>
      <c r="C163" t="s">
        <v>90</v>
      </c>
      <c r="D163" t="s">
        <v>1380</v>
      </c>
      <c r="E163">
        <v>1</v>
      </c>
      <c r="F163" t="s">
        <v>1267</v>
      </c>
    </row>
    <row r="164" spans="1:6">
      <c r="A164" s="1">
        <f t="shared" si="2"/>
        <v>162</v>
      </c>
      <c r="B164" s="106">
        <v>45855</v>
      </c>
      <c r="C164" t="s">
        <v>103</v>
      </c>
      <c r="D164" t="s">
        <v>1372</v>
      </c>
      <c r="E164">
        <v>1</v>
      </c>
      <c r="F164" t="s">
        <v>1267</v>
      </c>
    </row>
    <row r="165" spans="1:6">
      <c r="A165" s="1">
        <f t="shared" ref="A165:A184" si="3">A164+1</f>
        <v>163</v>
      </c>
      <c r="B165" s="106">
        <v>45855</v>
      </c>
      <c r="C165" t="s">
        <v>103</v>
      </c>
      <c r="D165" t="s">
        <v>1378</v>
      </c>
      <c r="E165">
        <v>1</v>
      </c>
      <c r="F165" t="s">
        <v>1267</v>
      </c>
    </row>
    <row r="166" spans="1:6">
      <c r="A166" s="1">
        <f t="shared" si="3"/>
        <v>164</v>
      </c>
      <c r="B166" s="106">
        <v>45855</v>
      </c>
      <c r="C166" t="s">
        <v>103</v>
      </c>
      <c r="D166" t="s">
        <v>1288</v>
      </c>
      <c r="E166">
        <v>1</v>
      </c>
      <c r="F166" t="s">
        <v>1267</v>
      </c>
    </row>
    <row r="167" spans="1:6">
      <c r="A167" s="1">
        <f t="shared" si="3"/>
        <v>165</v>
      </c>
      <c r="B167" s="106">
        <v>45855</v>
      </c>
      <c r="C167" t="s">
        <v>103</v>
      </c>
      <c r="D167" t="s">
        <v>1272</v>
      </c>
      <c r="E167">
        <v>3</v>
      </c>
      <c r="F167" t="s">
        <v>1267</v>
      </c>
    </row>
    <row r="168" spans="1:6">
      <c r="A168" s="1">
        <f t="shared" si="3"/>
        <v>166</v>
      </c>
      <c r="B168" s="106">
        <v>45855</v>
      </c>
      <c r="C168" t="s">
        <v>103</v>
      </c>
      <c r="D168" t="s">
        <v>1381</v>
      </c>
      <c r="E168">
        <v>1</v>
      </c>
      <c r="F168" t="s">
        <v>1267</v>
      </c>
    </row>
    <row r="169" spans="1:6">
      <c r="A169" s="1">
        <f t="shared" si="3"/>
        <v>167</v>
      </c>
      <c r="B169" s="106">
        <v>45855</v>
      </c>
      <c r="C169" t="s">
        <v>103</v>
      </c>
      <c r="D169" t="s">
        <v>1382</v>
      </c>
      <c r="E169">
        <v>1</v>
      </c>
      <c r="F169" t="s">
        <v>1267</v>
      </c>
    </row>
    <row r="170" spans="1:6">
      <c r="A170" s="1">
        <f t="shared" si="3"/>
        <v>168</v>
      </c>
      <c r="B170" s="106">
        <v>45855</v>
      </c>
      <c r="C170" t="s">
        <v>103</v>
      </c>
      <c r="D170" t="s">
        <v>1383</v>
      </c>
      <c r="E170">
        <v>1</v>
      </c>
      <c r="F170" t="s">
        <v>1267</v>
      </c>
    </row>
    <row r="171" spans="1:6">
      <c r="A171" s="1">
        <f t="shared" si="3"/>
        <v>169</v>
      </c>
      <c r="B171" s="106">
        <v>45855</v>
      </c>
      <c r="C171" t="s">
        <v>103</v>
      </c>
      <c r="D171" t="s">
        <v>1384</v>
      </c>
      <c r="E171">
        <v>1</v>
      </c>
      <c r="F171" t="s">
        <v>1267</v>
      </c>
    </row>
    <row r="172" spans="1:6">
      <c r="A172" s="1">
        <f t="shared" si="3"/>
        <v>170</v>
      </c>
      <c r="B172" s="106">
        <v>45855</v>
      </c>
      <c r="C172" t="s">
        <v>103</v>
      </c>
      <c r="D172" t="s">
        <v>1375</v>
      </c>
      <c r="E172">
        <v>1</v>
      </c>
      <c r="F172" t="s">
        <v>1267</v>
      </c>
    </row>
    <row r="173" spans="1:6">
      <c r="A173" s="1">
        <f t="shared" si="3"/>
        <v>171</v>
      </c>
      <c r="B173" s="106">
        <v>45855</v>
      </c>
      <c r="C173" t="s">
        <v>103</v>
      </c>
      <c r="D173" t="s">
        <v>1379</v>
      </c>
      <c r="E173">
        <v>1</v>
      </c>
      <c r="F173" t="s">
        <v>1267</v>
      </c>
    </row>
    <row r="174" spans="1:6">
      <c r="A174" s="1">
        <f t="shared" si="3"/>
        <v>172</v>
      </c>
      <c r="B174" s="106">
        <v>45855</v>
      </c>
      <c r="C174" t="s">
        <v>89</v>
      </c>
      <c r="D174" t="s">
        <v>1288</v>
      </c>
      <c r="E174">
        <v>1</v>
      </c>
      <c r="F174" t="s">
        <v>1267</v>
      </c>
    </row>
    <row r="175" spans="1:6">
      <c r="A175" s="1">
        <f t="shared" si="3"/>
        <v>173</v>
      </c>
      <c r="B175" s="106">
        <v>45856</v>
      </c>
      <c r="C175" t="s">
        <v>85</v>
      </c>
      <c r="D175" t="s">
        <v>1372</v>
      </c>
      <c r="E175">
        <v>1</v>
      </c>
      <c r="F175" t="s">
        <v>1267</v>
      </c>
    </row>
    <row r="176" spans="1:6">
      <c r="A176" s="1">
        <f t="shared" si="3"/>
        <v>174</v>
      </c>
      <c r="B176" s="106">
        <v>45856</v>
      </c>
      <c r="C176" t="s">
        <v>85</v>
      </c>
      <c r="D176" t="s">
        <v>1385</v>
      </c>
      <c r="E176">
        <v>1</v>
      </c>
      <c r="F176" t="s">
        <v>1267</v>
      </c>
    </row>
    <row r="177" spans="1:6">
      <c r="A177" s="1">
        <f t="shared" si="3"/>
        <v>175</v>
      </c>
      <c r="B177" s="106">
        <v>45856</v>
      </c>
      <c r="C177" t="s">
        <v>85</v>
      </c>
      <c r="D177" t="s">
        <v>1386</v>
      </c>
      <c r="E177">
        <v>7</v>
      </c>
      <c r="F177" t="s">
        <v>1267</v>
      </c>
    </row>
    <row r="178" spans="1:6">
      <c r="A178" s="1">
        <f t="shared" si="3"/>
        <v>176</v>
      </c>
      <c r="B178" s="106">
        <v>45856</v>
      </c>
      <c r="C178" t="s">
        <v>85</v>
      </c>
      <c r="D178" t="s">
        <v>1272</v>
      </c>
      <c r="E178">
        <v>2</v>
      </c>
      <c r="F178" t="s">
        <v>1267</v>
      </c>
    </row>
    <row r="179" spans="1:6">
      <c r="A179" s="1">
        <f t="shared" si="3"/>
        <v>177</v>
      </c>
      <c r="B179" s="106">
        <v>45856</v>
      </c>
      <c r="C179" t="s">
        <v>85</v>
      </c>
      <c r="D179" t="s">
        <v>1387</v>
      </c>
      <c r="E179">
        <v>10</v>
      </c>
      <c r="F179" t="s">
        <v>1267</v>
      </c>
    </row>
    <row r="180" spans="1:6">
      <c r="A180" s="1">
        <f t="shared" si="3"/>
        <v>178</v>
      </c>
      <c r="B180" s="106">
        <v>45857</v>
      </c>
      <c r="C180" t="s">
        <v>103</v>
      </c>
      <c r="D180" t="s">
        <v>1346</v>
      </c>
      <c r="E180">
        <v>2</v>
      </c>
      <c r="F180" t="s">
        <v>1267</v>
      </c>
    </row>
    <row r="181" spans="1:6">
      <c r="A181" s="1">
        <f t="shared" si="3"/>
        <v>179</v>
      </c>
      <c r="B181" s="106">
        <v>45857</v>
      </c>
      <c r="C181" t="s">
        <v>103</v>
      </c>
      <c r="D181" t="s">
        <v>1388</v>
      </c>
      <c r="E181">
        <v>2</v>
      </c>
      <c r="F181" t="s">
        <v>1267</v>
      </c>
    </row>
    <row r="182" spans="1:6">
      <c r="A182" s="1">
        <f t="shared" si="3"/>
        <v>180</v>
      </c>
      <c r="B182" s="106">
        <v>45857</v>
      </c>
      <c r="C182" t="s">
        <v>103</v>
      </c>
      <c r="D182" t="s">
        <v>1383</v>
      </c>
      <c r="E182">
        <v>1</v>
      </c>
      <c r="F182" t="s">
        <v>1267</v>
      </c>
    </row>
    <row r="183" spans="1:6">
      <c r="A183" s="1">
        <f t="shared" si="3"/>
        <v>181</v>
      </c>
      <c r="B183" s="106">
        <v>45857</v>
      </c>
      <c r="C183" t="s">
        <v>103</v>
      </c>
      <c r="D183" t="s">
        <v>1389</v>
      </c>
      <c r="E183">
        <v>1</v>
      </c>
      <c r="F183" t="s">
        <v>1267</v>
      </c>
    </row>
    <row r="184" spans="1:6">
      <c r="A184" s="1">
        <f t="shared" si="3"/>
        <v>182</v>
      </c>
      <c r="B184" s="106">
        <v>45857</v>
      </c>
      <c r="C184" t="s">
        <v>103</v>
      </c>
      <c r="D184" t="s">
        <v>1268</v>
      </c>
      <c r="E184">
        <v>1</v>
      </c>
      <c r="F184" t="s">
        <v>1267</v>
      </c>
    </row>
    <row r="185" spans="1:6">
      <c r="A185" s="1">
        <v>183</v>
      </c>
      <c r="B185" s="106">
        <v>45857</v>
      </c>
      <c r="C185" t="s">
        <v>103</v>
      </c>
      <c r="D185" t="s">
        <v>1390</v>
      </c>
      <c r="E185">
        <v>1</v>
      </c>
      <c r="F185" t="s">
        <v>1267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FF9A66E-147B-4023-A1F8-9A2634870787}"/>
</file>

<file path=customXml/itemProps2.xml><?xml version="1.0" encoding="utf-8"?>
<ds:datastoreItem xmlns:ds="http://schemas.openxmlformats.org/officeDocument/2006/customXml" ds:itemID="{E6E189CC-30F2-45D0-9889-4F0D3E12DE92}"/>
</file>

<file path=customXml/itemProps3.xml><?xml version="1.0" encoding="utf-8"?>
<ds:datastoreItem xmlns:ds="http://schemas.openxmlformats.org/officeDocument/2006/customXml" ds:itemID="{79605C45-923F-4866-AF31-FBC254D9D7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Shanker Kumar Pathe</cp:lastModifiedBy>
  <cp:revision/>
  <dcterms:created xsi:type="dcterms:W3CDTF">2015-06-05T18:17:20Z</dcterms:created>
  <dcterms:modified xsi:type="dcterms:W3CDTF">2025-07-20T12:20:16Z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