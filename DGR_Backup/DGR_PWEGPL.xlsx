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0" documentId="13_ncr:1_{C56D755D-FC30-41DA-9F3F-B9077EA4DAA1}"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69" i="23" l="1"/>
  <c r="AA1070" i="23"/>
  <c r="AA1071" i="23"/>
  <c r="AA1072" i="23"/>
  <c r="AA1073" i="23"/>
  <c r="AA1074" i="23"/>
  <c r="AA1075" i="23"/>
  <c r="AA1076"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A64" i="24"/>
  <c r="A65" i="24"/>
  <c r="B65" i="24"/>
  <c r="C65" i="24"/>
  <c r="E65" i="24"/>
  <c r="J65" i="24"/>
  <c r="O65" i="24"/>
  <c r="P65" i="24"/>
  <c r="Q65" i="24"/>
  <c r="B64" i="24"/>
  <c r="C64" i="24"/>
  <c r="E64" i="24"/>
  <c r="J64" i="24"/>
  <c r="O64" i="24"/>
  <c r="P64" i="24"/>
  <c r="Q64" i="24"/>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B828" i="23"/>
  <c r="B829" i="23"/>
  <c r="B830" i="23"/>
  <c r="B831" i="23"/>
  <c r="B832" i="23"/>
  <c r="B833" i="23"/>
  <c r="B834" i="23"/>
  <c r="B835" i="23"/>
  <c r="B836" i="23"/>
  <c r="B837" i="23"/>
  <c r="B838" i="23"/>
  <c r="B839" i="23"/>
  <c r="B840" i="23"/>
  <c r="B841" i="23"/>
  <c r="B842" i="23"/>
  <c r="B843" i="23"/>
  <c r="B844" i="23"/>
  <c r="B845" i="23"/>
  <c r="B846" i="23"/>
  <c r="B847" i="23"/>
  <c r="B848" i="23"/>
  <c r="B849" i="23"/>
  <c r="B850" i="23"/>
  <c r="B851" i="23"/>
  <c r="B852" i="23"/>
  <c r="B853" i="23"/>
  <c r="B854" i="23"/>
  <c r="B855" i="23"/>
  <c r="B856" i="23"/>
  <c r="B857" i="23"/>
  <c r="B858" i="23"/>
  <c r="B859" i="23"/>
  <c r="B860" i="23"/>
  <c r="B861" i="23"/>
  <c r="B862" i="23"/>
  <c r="B863" i="23"/>
  <c r="B864" i="23"/>
  <c r="B865" i="23"/>
  <c r="B866" i="23"/>
  <c r="B867" i="23"/>
  <c r="B868" i="23"/>
  <c r="B869" i="23"/>
  <c r="B870" i="23"/>
  <c r="B871" i="23"/>
  <c r="B872" i="23"/>
  <c r="B873" i="23"/>
  <c r="B874" i="23"/>
  <c r="B875" i="23"/>
  <c r="B876" i="23"/>
  <c r="B877" i="23"/>
  <c r="B878" i="23"/>
  <c r="B879" i="23"/>
  <c r="B880" i="23"/>
  <c r="B881" i="23"/>
  <c r="B882" i="23"/>
  <c r="B883" i="23"/>
  <c r="B884" i="23"/>
  <c r="B885" i="23"/>
  <c r="B886" i="23"/>
  <c r="B887" i="23"/>
  <c r="B888" i="23"/>
  <c r="B889" i="23"/>
  <c r="B890" i="23"/>
  <c r="B891" i="23"/>
  <c r="B892" i="23"/>
  <c r="B893" i="23"/>
  <c r="B894" i="23"/>
  <c r="B895" i="23"/>
  <c r="B896" i="23"/>
  <c r="B897" i="23"/>
  <c r="B898" i="23"/>
  <c r="B899" i="23"/>
  <c r="B900" i="23"/>
  <c r="B901" i="23"/>
  <c r="B902" i="23"/>
  <c r="B903" i="23"/>
  <c r="B904" i="23"/>
  <c r="B905" i="23"/>
  <c r="B906" i="23"/>
  <c r="B907" i="23"/>
  <c r="B908" i="23"/>
  <c r="B909" i="23"/>
  <c r="B910" i="23"/>
  <c r="B911" i="23"/>
  <c r="B912" i="23"/>
  <c r="B913" i="23"/>
  <c r="B914" i="23"/>
  <c r="B915" i="23"/>
  <c r="B916" i="23"/>
  <c r="B917" i="23"/>
  <c r="B918" i="23"/>
  <c r="B919" i="23"/>
  <c r="B920" i="23"/>
  <c r="B921" i="23"/>
  <c r="B922" i="23"/>
  <c r="B923" i="23"/>
  <c r="B924" i="23"/>
  <c r="B925" i="23"/>
  <c r="B926" i="23"/>
  <c r="B927" i="23"/>
  <c r="B928" i="23"/>
  <c r="B929" i="23"/>
  <c r="B930" i="23"/>
  <c r="B931" i="23"/>
  <c r="B932" i="23"/>
  <c r="B933" i="23"/>
  <c r="B934" i="23"/>
  <c r="B935" i="23"/>
  <c r="B936" i="23"/>
  <c r="B937" i="23"/>
  <c r="B938" i="23"/>
  <c r="B939" i="23"/>
  <c r="B940" i="23"/>
  <c r="B941" i="23"/>
  <c r="B942" i="23"/>
  <c r="B943" i="23"/>
  <c r="B944" i="23"/>
  <c r="B945" i="23"/>
  <c r="B946" i="23"/>
  <c r="B947" i="23"/>
  <c r="B948" i="23"/>
  <c r="B949" i="23"/>
  <c r="B950" i="23"/>
  <c r="B951" i="23"/>
  <c r="B952" i="23"/>
  <c r="B953" i="23"/>
  <c r="B954" i="23"/>
  <c r="B955" i="23"/>
  <c r="B956" i="23"/>
  <c r="B957" i="23"/>
  <c r="B958" i="23"/>
  <c r="B959" i="23"/>
  <c r="B960" i="23"/>
  <c r="B961" i="23"/>
  <c r="B962" i="23"/>
  <c r="B963" i="23"/>
  <c r="B964" i="23"/>
  <c r="B965" i="23"/>
  <c r="B966" i="23"/>
  <c r="B967" i="23"/>
  <c r="B968" i="23"/>
  <c r="B969" i="23"/>
  <c r="B970" i="23"/>
  <c r="B971" i="23"/>
  <c r="B972" i="23"/>
  <c r="B973" i="23"/>
  <c r="B974" i="23"/>
  <c r="B975" i="23"/>
  <c r="B976" i="23"/>
  <c r="B977" i="23"/>
  <c r="B978" i="23"/>
  <c r="B979" i="23"/>
  <c r="B980" i="23"/>
  <c r="B981" i="23"/>
  <c r="B982" i="23"/>
  <c r="B983" i="23"/>
  <c r="B984" i="23"/>
  <c r="B985" i="23"/>
  <c r="B986" i="23"/>
  <c r="B987" i="23"/>
  <c r="B988" i="23"/>
  <c r="B989" i="23"/>
  <c r="B990" i="23"/>
  <c r="B991" i="23"/>
  <c r="B992" i="23"/>
  <c r="B993" i="23"/>
  <c r="B994" i="23"/>
  <c r="B995" i="23"/>
  <c r="B996" i="23"/>
  <c r="B997" i="23"/>
  <c r="B998" i="23"/>
  <c r="B999" i="23"/>
  <c r="B1000" i="23"/>
  <c r="B1001" i="23"/>
  <c r="B1002" i="23"/>
  <c r="B1003" i="23"/>
  <c r="B1004" i="23"/>
  <c r="B1005" i="23"/>
  <c r="B1006" i="23"/>
  <c r="B1007" i="23"/>
  <c r="B1008" i="23"/>
  <c r="B1009" i="23"/>
  <c r="B1010" i="23"/>
  <c r="B1011" i="23"/>
  <c r="B1012" i="23"/>
  <c r="B1013" i="23"/>
  <c r="B1014" i="23"/>
  <c r="B1015" i="23"/>
  <c r="B1016" i="23"/>
  <c r="B1017" i="23"/>
  <c r="B1018" i="23"/>
  <c r="B1019" i="23"/>
  <c r="B1020" i="23"/>
  <c r="B1021" i="23"/>
  <c r="B1022" i="23"/>
  <c r="B1023" i="23"/>
  <c r="B1024" i="23"/>
  <c r="B1025" i="23"/>
  <c r="B1026" i="23"/>
  <c r="B1027" i="23"/>
  <c r="B1028" i="23"/>
  <c r="B1029" i="23"/>
  <c r="B1030" i="23"/>
  <c r="B1031" i="23"/>
  <c r="B1032" i="23"/>
  <c r="B1033" i="23"/>
  <c r="B1034" i="23"/>
  <c r="B1035" i="23"/>
  <c r="B1036" i="23"/>
  <c r="B1037" i="23"/>
  <c r="B1038" i="23"/>
  <c r="B1039" i="23"/>
  <c r="B1040" i="23"/>
  <c r="B1041" i="23"/>
  <c r="B1042" i="23"/>
  <c r="B1043" i="23"/>
  <c r="B1044" i="23"/>
  <c r="B1045" i="23"/>
  <c r="B1046" i="23"/>
  <c r="B1047" i="23"/>
  <c r="B1048" i="23"/>
  <c r="B1049" i="23"/>
  <c r="B1050" i="23"/>
  <c r="B1051" i="23"/>
  <c r="B1052" i="23"/>
  <c r="B1053" i="23"/>
  <c r="B1054" i="23"/>
  <c r="B1055" i="23"/>
  <c r="B1056" i="23"/>
  <c r="B1057" i="23"/>
  <c r="B1058" i="23"/>
  <c r="B1059" i="23"/>
  <c r="B1060" i="23"/>
  <c r="B1061" i="23"/>
  <c r="B1062" i="23"/>
  <c r="B1063" i="23"/>
  <c r="B1064" i="23"/>
  <c r="B1065" i="23"/>
  <c r="B1066" i="23"/>
  <c r="B1067" i="23"/>
  <c r="B1068" i="23"/>
  <c r="B1069" i="23"/>
  <c r="B1070" i="23"/>
  <c r="B1071" i="23"/>
  <c r="B1072" i="23"/>
  <c r="B1073" i="23"/>
  <c r="B1074" i="23"/>
  <c r="B1075" i="23"/>
  <c r="B1076" i="23"/>
  <c r="C2" i="23"/>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C828" i="23"/>
  <c r="C829" i="23"/>
  <c r="C830" i="23"/>
  <c r="C831" i="23"/>
  <c r="C832" i="23"/>
  <c r="C833" i="23"/>
  <c r="C834" i="23"/>
  <c r="C835" i="23"/>
  <c r="C836" i="23"/>
  <c r="C837" i="23"/>
  <c r="C838" i="23"/>
  <c r="C839" i="23"/>
  <c r="C840" i="23"/>
  <c r="C841" i="23"/>
  <c r="C842" i="23"/>
  <c r="C843" i="23"/>
  <c r="C844" i="23"/>
  <c r="C845" i="23"/>
  <c r="C846" i="23"/>
  <c r="C847" i="23"/>
  <c r="C848" i="23"/>
  <c r="C849" i="23"/>
  <c r="C850" i="23"/>
  <c r="C851" i="23"/>
  <c r="C852" i="23"/>
  <c r="C853" i="23"/>
  <c r="C854" i="23"/>
  <c r="C855" i="23"/>
  <c r="C856" i="23"/>
  <c r="C857" i="23"/>
  <c r="C858" i="23"/>
  <c r="C859" i="23"/>
  <c r="C860" i="23"/>
  <c r="C861" i="23"/>
  <c r="C862" i="23"/>
  <c r="C863" i="23"/>
  <c r="C864" i="23"/>
  <c r="C865" i="23"/>
  <c r="C866" i="23"/>
  <c r="C867" i="23"/>
  <c r="C868" i="23"/>
  <c r="C869" i="23"/>
  <c r="C870" i="23"/>
  <c r="C871" i="23"/>
  <c r="C872" i="23"/>
  <c r="C873" i="23"/>
  <c r="C874" i="23"/>
  <c r="C875" i="23"/>
  <c r="C876" i="23"/>
  <c r="C877" i="23"/>
  <c r="C878" i="23"/>
  <c r="C879" i="23"/>
  <c r="C880" i="23"/>
  <c r="C881" i="23"/>
  <c r="C882" i="23"/>
  <c r="C883" i="23"/>
  <c r="C884" i="23"/>
  <c r="C885" i="23"/>
  <c r="C886" i="23"/>
  <c r="C887" i="23"/>
  <c r="C888" i="23"/>
  <c r="C889" i="23"/>
  <c r="C890" i="23"/>
  <c r="C891" i="23"/>
  <c r="C892" i="23"/>
  <c r="C893" i="23"/>
  <c r="C894" i="23"/>
  <c r="C895" i="23"/>
  <c r="C896" i="23"/>
  <c r="C897" i="23"/>
  <c r="C898" i="23"/>
  <c r="C899" i="23"/>
  <c r="C900" i="23"/>
  <c r="C901" i="23"/>
  <c r="C902" i="23"/>
  <c r="C903" i="23"/>
  <c r="C904" i="23"/>
  <c r="C905" i="23"/>
  <c r="C906" i="23"/>
  <c r="C907" i="23"/>
  <c r="C908" i="23"/>
  <c r="C909" i="23"/>
  <c r="C910" i="23"/>
  <c r="C911" i="23"/>
  <c r="C912" i="23"/>
  <c r="C913" i="23"/>
  <c r="C914" i="23"/>
  <c r="C915" i="23"/>
  <c r="C916" i="23"/>
  <c r="C917" i="23"/>
  <c r="C918" i="23"/>
  <c r="C919" i="23"/>
  <c r="C920" i="23"/>
  <c r="C921" i="23"/>
  <c r="C922" i="23"/>
  <c r="C923" i="23"/>
  <c r="C924" i="23"/>
  <c r="C925" i="23"/>
  <c r="C926" i="23"/>
  <c r="C927" i="23"/>
  <c r="C928" i="23"/>
  <c r="C929" i="23"/>
  <c r="C930" i="23"/>
  <c r="C931" i="23"/>
  <c r="C932" i="23"/>
  <c r="C933" i="23"/>
  <c r="C934" i="23"/>
  <c r="C935" i="23"/>
  <c r="C936" i="23"/>
  <c r="C937" i="23"/>
  <c r="C938" i="23"/>
  <c r="C939" i="23"/>
  <c r="C940" i="23"/>
  <c r="C941" i="23"/>
  <c r="C942" i="23"/>
  <c r="C943" i="23"/>
  <c r="C944" i="23"/>
  <c r="C945" i="23"/>
  <c r="C946" i="23"/>
  <c r="C947" i="23"/>
  <c r="C948" i="23"/>
  <c r="C949" i="23"/>
  <c r="C950" i="23"/>
  <c r="C951" i="23"/>
  <c r="C952" i="23"/>
  <c r="C953" i="23"/>
  <c r="C954" i="23"/>
  <c r="C955" i="23"/>
  <c r="C956" i="23"/>
  <c r="C957" i="23"/>
  <c r="C958" i="23"/>
  <c r="C959" i="23"/>
  <c r="C960" i="23"/>
  <c r="C961" i="23"/>
  <c r="C962" i="23"/>
  <c r="C963" i="23"/>
  <c r="C964" i="23"/>
  <c r="C965" i="23"/>
  <c r="C966" i="23"/>
  <c r="C967" i="23"/>
  <c r="C968" i="23"/>
  <c r="C969" i="23"/>
  <c r="C970" i="23"/>
  <c r="C971" i="23"/>
  <c r="C972" i="23"/>
  <c r="C973" i="23"/>
  <c r="C974" i="23"/>
  <c r="C975" i="23"/>
  <c r="C976" i="23"/>
  <c r="C977" i="23"/>
  <c r="C978" i="23"/>
  <c r="C979" i="23"/>
  <c r="C980" i="23"/>
  <c r="C981" i="23"/>
  <c r="C982" i="23"/>
  <c r="C983" i="23"/>
  <c r="C984" i="23"/>
  <c r="C985" i="23"/>
  <c r="C986" i="23"/>
  <c r="C987" i="23"/>
  <c r="C988" i="23"/>
  <c r="C989" i="23"/>
  <c r="C990" i="23"/>
  <c r="C991" i="23"/>
  <c r="C992" i="23"/>
  <c r="C993" i="23"/>
  <c r="C994" i="23"/>
  <c r="C995" i="23"/>
  <c r="C996" i="23"/>
  <c r="C997" i="23"/>
  <c r="C998" i="23"/>
  <c r="C999" i="23"/>
  <c r="C1000" i="23"/>
  <c r="C1001" i="23"/>
  <c r="C1002" i="23"/>
  <c r="C1003" i="23"/>
  <c r="C1004" i="23"/>
  <c r="C1005" i="23"/>
  <c r="C1006" i="23"/>
  <c r="C1007" i="23"/>
  <c r="C1008" i="23"/>
  <c r="C1009" i="23"/>
  <c r="C1010" i="23"/>
  <c r="C1011" i="23"/>
  <c r="C1012" i="23"/>
  <c r="C1013" i="23"/>
  <c r="C1014" i="23"/>
  <c r="C1015" i="23"/>
  <c r="C1016" i="23"/>
  <c r="C1017" i="23"/>
  <c r="C1018" i="23"/>
  <c r="C1019" i="23"/>
  <c r="C1020" i="23"/>
  <c r="C1021" i="23"/>
  <c r="C1022" i="23"/>
  <c r="C1023" i="23"/>
  <c r="C1024" i="23"/>
  <c r="C1025" i="23"/>
  <c r="C1026" i="23"/>
  <c r="C1027" i="23"/>
  <c r="C1028" i="23"/>
  <c r="C1029" i="23"/>
  <c r="C1030" i="23"/>
  <c r="C1031" i="23"/>
  <c r="C1032" i="23"/>
  <c r="C1033" i="23"/>
  <c r="C1034" i="23"/>
  <c r="C1035" i="23"/>
  <c r="C1036" i="23"/>
  <c r="C1037" i="23"/>
  <c r="C1038" i="23"/>
  <c r="C1039" i="23"/>
  <c r="C1040" i="23"/>
  <c r="C1041" i="23"/>
  <c r="C1042" i="23"/>
  <c r="C1043" i="23"/>
  <c r="C1044" i="23"/>
  <c r="C1045" i="23"/>
  <c r="C1046" i="23"/>
  <c r="C1047" i="23"/>
  <c r="C1048" i="23"/>
  <c r="C1049" i="23"/>
  <c r="C1050" i="23"/>
  <c r="C1051" i="23"/>
  <c r="C1052" i="23"/>
  <c r="C1053" i="23"/>
  <c r="C1054" i="23"/>
  <c r="C1055" i="23"/>
  <c r="C1056" i="23"/>
  <c r="C1057" i="23"/>
  <c r="C1058" i="23"/>
  <c r="C1059" i="23"/>
  <c r="C1060" i="23"/>
  <c r="C1061" i="23"/>
  <c r="C1062" i="23"/>
  <c r="C1063" i="23"/>
  <c r="C1064" i="23"/>
  <c r="C1065" i="23"/>
  <c r="C1066" i="23"/>
  <c r="C1067" i="23"/>
  <c r="C1068" i="23"/>
  <c r="C1069" i="23"/>
  <c r="C1070" i="23"/>
  <c r="C1071" i="23"/>
  <c r="C1072" i="23"/>
  <c r="C1073" i="23"/>
  <c r="C1074" i="23"/>
  <c r="C1075" i="23"/>
  <c r="C1076" i="23"/>
  <c r="E2"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E828" i="23"/>
  <c r="E829" i="23"/>
  <c r="E830" i="23"/>
  <c r="E831" i="23"/>
  <c r="E832" i="23"/>
  <c r="E833" i="23"/>
  <c r="E834" i="23"/>
  <c r="E835" i="23"/>
  <c r="E836" i="23"/>
  <c r="E837" i="23"/>
  <c r="E838" i="23"/>
  <c r="E839" i="23"/>
  <c r="E840" i="23"/>
  <c r="E841" i="23"/>
  <c r="E842" i="23"/>
  <c r="E843" i="23"/>
  <c r="E844" i="23"/>
  <c r="E845" i="23"/>
  <c r="E846" i="23"/>
  <c r="E847" i="23"/>
  <c r="E848" i="23"/>
  <c r="E849" i="23"/>
  <c r="E850" i="23"/>
  <c r="E851" i="23"/>
  <c r="E852" i="23"/>
  <c r="E853" i="23"/>
  <c r="E854" i="23"/>
  <c r="E855" i="23"/>
  <c r="E856" i="23"/>
  <c r="E857" i="23"/>
  <c r="E858" i="23"/>
  <c r="E859" i="23"/>
  <c r="E860" i="23"/>
  <c r="E861" i="23"/>
  <c r="E862" i="23"/>
  <c r="E863" i="23"/>
  <c r="E864" i="23"/>
  <c r="E865" i="23"/>
  <c r="E866" i="23"/>
  <c r="E867" i="23"/>
  <c r="E868" i="23"/>
  <c r="E869" i="23"/>
  <c r="E870" i="23"/>
  <c r="E871" i="23"/>
  <c r="E872" i="23"/>
  <c r="E873" i="23"/>
  <c r="E874" i="23"/>
  <c r="E875" i="23"/>
  <c r="E876" i="23"/>
  <c r="E877" i="23"/>
  <c r="E878" i="23"/>
  <c r="E879" i="23"/>
  <c r="E880" i="23"/>
  <c r="E881" i="23"/>
  <c r="E882" i="23"/>
  <c r="E883" i="23"/>
  <c r="E884" i="23"/>
  <c r="E885" i="23"/>
  <c r="E886" i="23"/>
  <c r="E887" i="23"/>
  <c r="E888" i="23"/>
  <c r="E889" i="23"/>
  <c r="E890" i="23"/>
  <c r="E891" i="23"/>
  <c r="E892" i="23"/>
  <c r="E893" i="23"/>
  <c r="E894" i="23"/>
  <c r="E895" i="23"/>
  <c r="E896" i="23"/>
  <c r="E897" i="23"/>
  <c r="E898" i="23"/>
  <c r="E899" i="23"/>
  <c r="E900" i="23"/>
  <c r="E901" i="23"/>
  <c r="E902" i="23"/>
  <c r="E903" i="23"/>
  <c r="E904" i="23"/>
  <c r="E905" i="23"/>
  <c r="E906" i="23"/>
  <c r="E907" i="23"/>
  <c r="E908" i="23"/>
  <c r="E909" i="23"/>
  <c r="E910" i="23"/>
  <c r="E911" i="23"/>
  <c r="E912" i="23"/>
  <c r="E913" i="23"/>
  <c r="E914" i="23"/>
  <c r="E915" i="23"/>
  <c r="E916" i="23"/>
  <c r="E917" i="23"/>
  <c r="E918" i="23"/>
  <c r="E919" i="23"/>
  <c r="E920" i="23"/>
  <c r="E921" i="23"/>
  <c r="E922" i="23"/>
  <c r="E923" i="23"/>
  <c r="E924" i="23"/>
  <c r="E925" i="23"/>
  <c r="E926" i="23"/>
  <c r="E927" i="23"/>
  <c r="E928" i="23"/>
  <c r="E929" i="23"/>
  <c r="E930" i="23"/>
  <c r="E931" i="23"/>
  <c r="E932" i="23"/>
  <c r="E933" i="23"/>
  <c r="E934" i="23"/>
  <c r="E935" i="23"/>
  <c r="E936" i="23"/>
  <c r="E937" i="23"/>
  <c r="E938" i="23"/>
  <c r="E939" i="23"/>
  <c r="E940" i="23"/>
  <c r="E941" i="23"/>
  <c r="E942" i="23"/>
  <c r="E943" i="23"/>
  <c r="E944" i="23"/>
  <c r="E945" i="23"/>
  <c r="E946" i="23"/>
  <c r="E947" i="23"/>
  <c r="E948" i="23"/>
  <c r="E949" i="23"/>
  <c r="E950" i="23"/>
  <c r="E951" i="23"/>
  <c r="E952" i="23"/>
  <c r="E953" i="23"/>
  <c r="E954" i="23"/>
  <c r="E955" i="23"/>
  <c r="E956" i="23"/>
  <c r="E957" i="23"/>
  <c r="E958" i="23"/>
  <c r="E959" i="23"/>
  <c r="E960" i="23"/>
  <c r="E961" i="23"/>
  <c r="E962" i="23"/>
  <c r="E963" i="23"/>
  <c r="E964" i="23"/>
  <c r="E965" i="23"/>
  <c r="E966" i="23"/>
  <c r="E967" i="23"/>
  <c r="E968" i="23"/>
  <c r="E969" i="23"/>
  <c r="E970" i="23"/>
  <c r="E971" i="23"/>
  <c r="E972" i="23"/>
  <c r="E973" i="23"/>
  <c r="E974" i="23"/>
  <c r="E975" i="23"/>
  <c r="E976" i="23"/>
  <c r="E977" i="23"/>
  <c r="E978" i="23"/>
  <c r="E979" i="23"/>
  <c r="E980" i="23"/>
  <c r="E981" i="23"/>
  <c r="E982" i="23"/>
  <c r="E983" i="23"/>
  <c r="E984" i="23"/>
  <c r="E985" i="23"/>
  <c r="E986" i="23"/>
  <c r="E987" i="23"/>
  <c r="E988" i="23"/>
  <c r="E989" i="23"/>
  <c r="E990" i="23"/>
  <c r="E991" i="23"/>
  <c r="E992" i="23"/>
  <c r="E993" i="23"/>
  <c r="E994" i="23"/>
  <c r="E995" i="23"/>
  <c r="E996" i="23"/>
  <c r="E997" i="23"/>
  <c r="E998" i="23"/>
  <c r="E999" i="23"/>
  <c r="E1000" i="23"/>
  <c r="E1001" i="23"/>
  <c r="E1002" i="23"/>
  <c r="E1003" i="23"/>
  <c r="E1004" i="23"/>
  <c r="E1005" i="23"/>
  <c r="E1006" i="23"/>
  <c r="E1007" i="23"/>
  <c r="E1008" i="23"/>
  <c r="E1009" i="23"/>
  <c r="E1010" i="23"/>
  <c r="E1011" i="23"/>
  <c r="E1012" i="23"/>
  <c r="E1013" i="23"/>
  <c r="E1014" i="23"/>
  <c r="E1015" i="23"/>
  <c r="E1016" i="23"/>
  <c r="E1017" i="23"/>
  <c r="E1018" i="23"/>
  <c r="E1019" i="23"/>
  <c r="E1020" i="23"/>
  <c r="E1021" i="23"/>
  <c r="E1022" i="23"/>
  <c r="E1023" i="23"/>
  <c r="E1024" i="23"/>
  <c r="E1025" i="23"/>
  <c r="E1026" i="23"/>
  <c r="E1027" i="23"/>
  <c r="E1028" i="23"/>
  <c r="E1029" i="23"/>
  <c r="E1030" i="23"/>
  <c r="E1031" i="23"/>
  <c r="E1032" i="23"/>
  <c r="E1033" i="23"/>
  <c r="E1034" i="23"/>
  <c r="E1035" i="23"/>
  <c r="E1036" i="23"/>
  <c r="E1037" i="23"/>
  <c r="E1038" i="23"/>
  <c r="E1039" i="23"/>
  <c r="E1040" i="23"/>
  <c r="E1041" i="23"/>
  <c r="E1042" i="23"/>
  <c r="E1043" i="23"/>
  <c r="E1044" i="23"/>
  <c r="E1045" i="23"/>
  <c r="E1046" i="23"/>
  <c r="E1047" i="23"/>
  <c r="E1048" i="23"/>
  <c r="E1049" i="23"/>
  <c r="E1050" i="23"/>
  <c r="E1051" i="23"/>
  <c r="E1052" i="23"/>
  <c r="E1053" i="23"/>
  <c r="E1054" i="23"/>
  <c r="E1055" i="23"/>
  <c r="E1056" i="23"/>
  <c r="E1057" i="23"/>
  <c r="E1058" i="23"/>
  <c r="E1059" i="23"/>
  <c r="E1060" i="23"/>
  <c r="E1061" i="23"/>
  <c r="E1062" i="23"/>
  <c r="E1063" i="23"/>
  <c r="E1064" i="23"/>
  <c r="E1065" i="23"/>
  <c r="E1066" i="23"/>
  <c r="E1067" i="23"/>
  <c r="E1068" i="23"/>
  <c r="E1069" i="23"/>
  <c r="E1070" i="23"/>
  <c r="E1071" i="23"/>
  <c r="E1072" i="23"/>
  <c r="E1073" i="23"/>
  <c r="E1074" i="23"/>
  <c r="E1075" i="23"/>
  <c r="E1076"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J849" i="23"/>
  <c r="J850" i="23"/>
  <c r="J851" i="23"/>
  <c r="J852" i="23"/>
  <c r="J853" i="23"/>
  <c r="J854" i="23"/>
  <c r="J855" i="23"/>
  <c r="J856" i="23"/>
  <c r="J857" i="23"/>
  <c r="J858" i="23"/>
  <c r="J859" i="23"/>
  <c r="J860" i="23"/>
  <c r="J861" i="23"/>
  <c r="J862" i="23"/>
  <c r="J863" i="23"/>
  <c r="J864" i="23"/>
  <c r="J865" i="23"/>
  <c r="J866" i="23"/>
  <c r="J867" i="23"/>
  <c r="J868" i="23"/>
  <c r="J869" i="23"/>
  <c r="J870" i="23"/>
  <c r="J871" i="23"/>
  <c r="J872" i="23"/>
  <c r="J873" i="23"/>
  <c r="J874" i="23"/>
  <c r="J875" i="23"/>
  <c r="J876" i="23"/>
  <c r="J877" i="23"/>
  <c r="J878" i="23"/>
  <c r="J879" i="23"/>
  <c r="J880" i="23"/>
  <c r="J881" i="23"/>
  <c r="J882" i="23"/>
  <c r="J883" i="23"/>
  <c r="J884" i="23"/>
  <c r="J885" i="23"/>
  <c r="J886" i="23"/>
  <c r="J887" i="23"/>
  <c r="J888" i="23"/>
  <c r="J889" i="23"/>
  <c r="J890" i="23"/>
  <c r="J891" i="23"/>
  <c r="J892" i="23"/>
  <c r="J893" i="23"/>
  <c r="J894" i="23"/>
  <c r="J895" i="23"/>
  <c r="J896" i="23"/>
  <c r="J897" i="23"/>
  <c r="J898" i="23"/>
  <c r="J899" i="23"/>
  <c r="J900" i="23"/>
  <c r="J901" i="23"/>
  <c r="J902" i="23"/>
  <c r="J903" i="23"/>
  <c r="J904" i="23"/>
  <c r="J905" i="23"/>
  <c r="J906" i="23"/>
  <c r="J907" i="23"/>
  <c r="J908" i="23"/>
  <c r="J909" i="23"/>
  <c r="J910" i="23"/>
  <c r="J911" i="23"/>
  <c r="J912" i="23"/>
  <c r="J913" i="23"/>
  <c r="J914" i="23"/>
  <c r="J915" i="23"/>
  <c r="J916" i="23"/>
  <c r="J917" i="23"/>
  <c r="J918" i="23"/>
  <c r="J919" i="23"/>
  <c r="J920" i="23"/>
  <c r="J921" i="23"/>
  <c r="J922" i="23"/>
  <c r="J923" i="23"/>
  <c r="J924" i="23"/>
  <c r="J925" i="23"/>
  <c r="J926" i="23"/>
  <c r="J927" i="23"/>
  <c r="J928" i="23"/>
  <c r="J929" i="23"/>
  <c r="J930" i="23"/>
  <c r="J931" i="23"/>
  <c r="J932" i="23"/>
  <c r="J933" i="23"/>
  <c r="J934" i="23"/>
  <c r="J935" i="23"/>
  <c r="J936" i="23"/>
  <c r="J937" i="23"/>
  <c r="J938" i="23"/>
  <c r="J939" i="23"/>
  <c r="J940" i="23"/>
  <c r="J941" i="23"/>
  <c r="J942" i="23"/>
  <c r="J943" i="23"/>
  <c r="J944" i="23"/>
  <c r="J945" i="23"/>
  <c r="J946" i="23"/>
  <c r="J947" i="23"/>
  <c r="J948" i="23"/>
  <c r="J949" i="23"/>
  <c r="J950" i="23"/>
  <c r="J951" i="23"/>
  <c r="J952" i="23"/>
  <c r="J953" i="23"/>
  <c r="J954" i="23"/>
  <c r="J955" i="23"/>
  <c r="J956" i="23"/>
  <c r="J957" i="23"/>
  <c r="J958" i="23"/>
  <c r="J959"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J985" i="23"/>
  <c r="J986" i="23"/>
  <c r="J987" i="23"/>
  <c r="J988" i="23"/>
  <c r="J989" i="23"/>
  <c r="J990" i="23"/>
  <c r="J991" i="23"/>
  <c r="J992" i="23"/>
  <c r="J993" i="23"/>
  <c r="J994" i="23"/>
  <c r="J995" i="23"/>
  <c r="J996" i="23"/>
  <c r="J997" i="23"/>
  <c r="J998" i="23"/>
  <c r="J999" i="23"/>
  <c r="J1000" i="23"/>
  <c r="J1001" i="23"/>
  <c r="J1002" i="23"/>
  <c r="J1003" i="23"/>
  <c r="J1004" i="23"/>
  <c r="J1005" i="23"/>
  <c r="J1006" i="23"/>
  <c r="J1007" i="23"/>
  <c r="J1008" i="23"/>
  <c r="J1009" i="23"/>
  <c r="J1010" i="23"/>
  <c r="J1011" i="23"/>
  <c r="J1012" i="23"/>
  <c r="J1013" i="23"/>
  <c r="J1014" i="23"/>
  <c r="J1015" i="23"/>
  <c r="J1016" i="23"/>
  <c r="J1017" i="23"/>
  <c r="J1018" i="23"/>
  <c r="J1019" i="23"/>
  <c r="J1020" i="23"/>
  <c r="J1021" i="23"/>
  <c r="J1022" i="23"/>
  <c r="J1023" i="23"/>
  <c r="J1024" i="23"/>
  <c r="J1025" i="23"/>
  <c r="J1026" i="23"/>
  <c r="J1027" i="23"/>
  <c r="J1028" i="23"/>
  <c r="J1029" i="23"/>
  <c r="J1030" i="23"/>
  <c r="J1031" i="23"/>
  <c r="J1032" i="23"/>
  <c r="J1033" i="23"/>
  <c r="J1034" i="23"/>
  <c r="J1035" i="23"/>
  <c r="J1036" i="23"/>
  <c r="J1037" i="23"/>
  <c r="J1038" i="23"/>
  <c r="J1039" i="23"/>
  <c r="J1040" i="23"/>
  <c r="J1041" i="23"/>
  <c r="J1042" i="23"/>
  <c r="J1043" i="23"/>
  <c r="J1044" i="23"/>
  <c r="J1045" i="23"/>
  <c r="J1046" i="23"/>
  <c r="J1047" i="23"/>
  <c r="J1048" i="23"/>
  <c r="J1049" i="23"/>
  <c r="J1050" i="23"/>
  <c r="J1051" i="23"/>
  <c r="J1052" i="23"/>
  <c r="J1053" i="23"/>
  <c r="J1054" i="23"/>
  <c r="J1055" i="23"/>
  <c r="J1056" i="23"/>
  <c r="J1057" i="23"/>
  <c r="J1058" i="23"/>
  <c r="J1059" i="23"/>
  <c r="J1060" i="23"/>
  <c r="J1061" i="23"/>
  <c r="J1062" i="23"/>
  <c r="J1063" i="23"/>
  <c r="J1064" i="23"/>
  <c r="J1065" i="23"/>
  <c r="J1066" i="23"/>
  <c r="J1067" i="23"/>
  <c r="J1068" i="23"/>
  <c r="J1069" i="23"/>
  <c r="J1070" i="23"/>
  <c r="J1071" i="23"/>
  <c r="J1072" i="23"/>
  <c r="J1073" i="23"/>
  <c r="J1074" i="23"/>
  <c r="J1075" i="23"/>
  <c r="J1076"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L859" i="23"/>
  <c r="L860" i="23"/>
  <c r="L861" i="23"/>
  <c r="L862" i="23"/>
  <c r="L863" i="23"/>
  <c r="L864" i="23"/>
  <c r="L865" i="23"/>
  <c r="L866" i="23"/>
  <c r="L867" i="23"/>
  <c r="L868" i="23"/>
  <c r="L869" i="23"/>
  <c r="L870" i="23"/>
  <c r="L871" i="23"/>
  <c r="L872" i="23"/>
  <c r="L873" i="23"/>
  <c r="L874" i="23"/>
  <c r="L875" i="23"/>
  <c r="L876" i="23"/>
  <c r="L877" i="23"/>
  <c r="L878" i="23"/>
  <c r="L879" i="23"/>
  <c r="L880" i="23"/>
  <c r="L881" i="23"/>
  <c r="L882" i="23"/>
  <c r="L883" i="23"/>
  <c r="L884" i="23"/>
  <c r="L885" i="23"/>
  <c r="L886" i="23"/>
  <c r="L887" i="23"/>
  <c r="L888" i="23"/>
  <c r="L889" i="23"/>
  <c r="L890" i="23"/>
  <c r="L891" i="23"/>
  <c r="L892" i="23"/>
  <c r="L893" i="23"/>
  <c r="L894" i="23"/>
  <c r="L895" i="23"/>
  <c r="L896" i="23"/>
  <c r="L897" i="23"/>
  <c r="L898" i="23"/>
  <c r="L899" i="23"/>
  <c r="L900" i="23"/>
  <c r="L901" i="23"/>
  <c r="L902" i="23"/>
  <c r="L903" i="23"/>
  <c r="L904" i="23"/>
  <c r="L905" i="23"/>
  <c r="L906" i="23"/>
  <c r="L907" i="23"/>
  <c r="L908" i="23"/>
  <c r="L909" i="23"/>
  <c r="L910" i="23"/>
  <c r="L911" i="23"/>
  <c r="L912" i="23"/>
  <c r="L913" i="23"/>
  <c r="L914" i="23"/>
  <c r="L915" i="23"/>
  <c r="L916" i="23"/>
  <c r="L917" i="23"/>
  <c r="L918" i="23"/>
  <c r="L919" i="23"/>
  <c r="L920" i="23"/>
  <c r="L921" i="23"/>
  <c r="L922" i="23"/>
  <c r="L923" i="23"/>
  <c r="L924" i="23"/>
  <c r="L925" i="23"/>
  <c r="L926" i="23"/>
  <c r="L927" i="23"/>
  <c r="L928" i="23"/>
  <c r="L929" i="23"/>
  <c r="L930" i="23"/>
  <c r="L931" i="23"/>
  <c r="L932" i="23"/>
  <c r="L933" i="23"/>
  <c r="L934" i="23"/>
  <c r="L935" i="23"/>
  <c r="L936" i="23"/>
  <c r="L937" i="23"/>
  <c r="L938" i="23"/>
  <c r="L939" i="23"/>
  <c r="L940" i="23"/>
  <c r="L941" i="23"/>
  <c r="L942" i="23"/>
  <c r="L943" i="23"/>
  <c r="L944" i="23"/>
  <c r="L945" i="23"/>
  <c r="L946" i="23"/>
  <c r="L947" i="23"/>
  <c r="L948" i="23"/>
  <c r="L949" i="23"/>
  <c r="L950" i="23"/>
  <c r="L951" i="23"/>
  <c r="L952" i="23"/>
  <c r="L953" i="23"/>
  <c r="L954" i="23"/>
  <c r="L955" i="23"/>
  <c r="L956" i="23"/>
  <c r="L957" i="23"/>
  <c r="L958" i="23"/>
  <c r="L959" i="23"/>
  <c r="L960" i="23"/>
  <c r="L961" i="23"/>
  <c r="L962" i="23"/>
  <c r="L963" i="23"/>
  <c r="L964" i="23"/>
  <c r="L965" i="23"/>
  <c r="L966" i="23"/>
  <c r="L967" i="23"/>
  <c r="L968" i="23"/>
  <c r="L969" i="23"/>
  <c r="L970" i="23"/>
  <c r="L971" i="23"/>
  <c r="L972" i="23"/>
  <c r="L973" i="23"/>
  <c r="L974" i="23"/>
  <c r="L975" i="23"/>
  <c r="L976" i="23"/>
  <c r="L977" i="23"/>
  <c r="L978" i="23"/>
  <c r="L979" i="23"/>
  <c r="L980" i="23"/>
  <c r="L981" i="23"/>
  <c r="L982" i="23"/>
  <c r="L983" i="23"/>
  <c r="L984" i="23"/>
  <c r="L985" i="23"/>
  <c r="L986" i="23"/>
  <c r="L987" i="23"/>
  <c r="L988" i="23"/>
  <c r="L989" i="23"/>
  <c r="L990" i="23"/>
  <c r="L991" i="23"/>
  <c r="L992" i="23"/>
  <c r="L993" i="23"/>
  <c r="L994" i="23"/>
  <c r="L995" i="23"/>
  <c r="L996" i="23"/>
  <c r="L997" i="23"/>
  <c r="L998" i="23"/>
  <c r="L999" i="23"/>
  <c r="L1000" i="23"/>
  <c r="L1001" i="23"/>
  <c r="L1002" i="23"/>
  <c r="L1003" i="23"/>
  <c r="L1004" i="23"/>
  <c r="L1005" i="23"/>
  <c r="L1006" i="23"/>
  <c r="L1007" i="23"/>
  <c r="L1008" i="23"/>
  <c r="L1009" i="23"/>
  <c r="L1010" i="23"/>
  <c r="L1011" i="23"/>
  <c r="L1012" i="23"/>
  <c r="L1013" i="23"/>
  <c r="L1014" i="23"/>
  <c r="L1015" i="23"/>
  <c r="L1016" i="23"/>
  <c r="L1017" i="23"/>
  <c r="L1018" i="23"/>
  <c r="L1019" i="23"/>
  <c r="L1020" i="23"/>
  <c r="L1021" i="23"/>
  <c r="L1022" i="23"/>
  <c r="L1023" i="23"/>
  <c r="L1024" i="23"/>
  <c r="L1025" i="23"/>
  <c r="L1026" i="23"/>
  <c r="L1027" i="23"/>
  <c r="L1028" i="23"/>
  <c r="L1029" i="23"/>
  <c r="L1030" i="23"/>
  <c r="L1031" i="23"/>
  <c r="L1032" i="23"/>
  <c r="L1033" i="23"/>
  <c r="L1034" i="23"/>
  <c r="L1035" i="23"/>
  <c r="L1036" i="23"/>
  <c r="L1037" i="23"/>
  <c r="L1038" i="23"/>
  <c r="L1039" i="23"/>
  <c r="L1040" i="23"/>
  <c r="L1041" i="23"/>
  <c r="L1042" i="23"/>
  <c r="L1043" i="23"/>
  <c r="L1044" i="23"/>
  <c r="L1045" i="23"/>
  <c r="L1046" i="23"/>
  <c r="L1047" i="23"/>
  <c r="L1048" i="23"/>
  <c r="L1049" i="23"/>
  <c r="L1050" i="23"/>
  <c r="L1051" i="23"/>
  <c r="L1052" i="23"/>
  <c r="L1053" i="23"/>
  <c r="L1054" i="23"/>
  <c r="L1055" i="23"/>
  <c r="L1056" i="23"/>
  <c r="L1057" i="23"/>
  <c r="L1058" i="23"/>
  <c r="L1059" i="23"/>
  <c r="L1060" i="23"/>
  <c r="L1061" i="23"/>
  <c r="L1062" i="23"/>
  <c r="L1063" i="23"/>
  <c r="L1064" i="23"/>
  <c r="L1065" i="23"/>
  <c r="L1066" i="23"/>
  <c r="L1067" i="23"/>
  <c r="L1068" i="23"/>
  <c r="L1069" i="23"/>
  <c r="L1070" i="23"/>
  <c r="L1071" i="23"/>
  <c r="L1072" i="23"/>
  <c r="L1073" i="23"/>
  <c r="L1074" i="23"/>
  <c r="L1075" i="23"/>
  <c r="L1076"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0" i="23"/>
  <c r="R681" i="23"/>
  <c r="R682" i="23"/>
  <c r="R683"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R828" i="23"/>
  <c r="R829" i="23"/>
  <c r="R830" i="23"/>
  <c r="R831" i="23"/>
  <c r="R832" i="23"/>
  <c r="R833" i="23"/>
  <c r="R834" i="23"/>
  <c r="R835" i="23"/>
  <c r="R836" i="23"/>
  <c r="R837" i="23"/>
  <c r="R838" i="23"/>
  <c r="R839" i="23"/>
  <c r="R840" i="23"/>
  <c r="R841" i="23"/>
  <c r="R842" i="23"/>
  <c r="R843" i="23"/>
  <c r="R844" i="23"/>
  <c r="R845" i="23"/>
  <c r="R846" i="23"/>
  <c r="R847" i="23"/>
  <c r="R848" i="23"/>
  <c r="R849" i="23"/>
  <c r="R850" i="23"/>
  <c r="R851" i="23"/>
  <c r="R852" i="23"/>
  <c r="R853" i="23"/>
  <c r="R854" i="23"/>
  <c r="R855" i="23"/>
  <c r="R856" i="23"/>
  <c r="R857" i="23"/>
  <c r="R858" i="23"/>
  <c r="R859" i="23"/>
  <c r="R860" i="23"/>
  <c r="R861" i="23"/>
  <c r="R862" i="23"/>
  <c r="R863" i="23"/>
  <c r="R864" i="23"/>
  <c r="R865" i="23"/>
  <c r="R866" i="23"/>
  <c r="R867" i="23"/>
  <c r="R868" i="23"/>
  <c r="R869" i="23"/>
  <c r="R870" i="23"/>
  <c r="R871" i="23"/>
  <c r="R872" i="23"/>
  <c r="R873" i="23"/>
  <c r="R874" i="23"/>
  <c r="R875" i="23"/>
  <c r="R876" i="23"/>
  <c r="R877" i="23"/>
  <c r="R878" i="23"/>
  <c r="R879" i="23"/>
  <c r="R880" i="23"/>
  <c r="R881" i="23"/>
  <c r="R882" i="23"/>
  <c r="R883" i="23"/>
  <c r="R884" i="23"/>
  <c r="R885" i="23"/>
  <c r="R886" i="23"/>
  <c r="R887" i="23"/>
  <c r="R888" i="23"/>
  <c r="R889" i="23"/>
  <c r="R890" i="23"/>
  <c r="R891" i="23"/>
  <c r="R892" i="23"/>
  <c r="R893" i="23"/>
  <c r="R894" i="23"/>
  <c r="R895" i="23"/>
  <c r="R896" i="23"/>
  <c r="R897" i="23"/>
  <c r="R898" i="23"/>
  <c r="R899" i="23"/>
  <c r="R900" i="23"/>
  <c r="R901" i="23"/>
  <c r="R902" i="23"/>
  <c r="R903" i="23"/>
  <c r="R904" i="23"/>
  <c r="R905" i="23"/>
  <c r="R906" i="23"/>
  <c r="R907" i="23"/>
  <c r="R908" i="23"/>
  <c r="R909" i="23"/>
  <c r="R910" i="23"/>
  <c r="R911" i="23"/>
  <c r="R912" i="23"/>
  <c r="R913" i="23"/>
  <c r="R914" i="23"/>
  <c r="R915" i="23"/>
  <c r="R916" i="23"/>
  <c r="R917" i="23"/>
  <c r="R918" i="23"/>
  <c r="R919" i="23"/>
  <c r="R920" i="23"/>
  <c r="R921" i="23"/>
  <c r="R922" i="23"/>
  <c r="R923" i="23"/>
  <c r="R924" i="23"/>
  <c r="R925" i="23"/>
  <c r="R926" i="23"/>
  <c r="R927" i="23"/>
  <c r="R928" i="23"/>
  <c r="R929" i="23"/>
  <c r="R930" i="23"/>
  <c r="R931" i="23"/>
  <c r="R932" i="23"/>
  <c r="R933" i="23"/>
  <c r="R934" i="23"/>
  <c r="R935" i="23"/>
  <c r="R936" i="23"/>
  <c r="R937" i="23"/>
  <c r="R938" i="23"/>
  <c r="R939" i="23"/>
  <c r="R940" i="23"/>
  <c r="R941" i="23"/>
  <c r="R942" i="23"/>
  <c r="R943" i="23"/>
  <c r="R944" i="23"/>
  <c r="R945" i="23"/>
  <c r="R946" i="23"/>
  <c r="R947" i="23"/>
  <c r="R948" i="23"/>
  <c r="R949" i="23"/>
  <c r="R950" i="23"/>
  <c r="R951" i="23"/>
  <c r="R952" i="23"/>
  <c r="R953" i="23"/>
  <c r="R954" i="23"/>
  <c r="R955" i="23"/>
  <c r="R956" i="23"/>
  <c r="R957" i="23"/>
  <c r="R958" i="23"/>
  <c r="R959" i="23"/>
  <c r="R960" i="23"/>
  <c r="R961" i="23"/>
  <c r="R962" i="23"/>
  <c r="R963" i="23"/>
  <c r="R964" i="23"/>
  <c r="R965" i="23"/>
  <c r="R966" i="23"/>
  <c r="R967" i="23"/>
  <c r="R968" i="23"/>
  <c r="R969" i="23"/>
  <c r="R970" i="23"/>
  <c r="R971" i="23"/>
  <c r="R972" i="23"/>
  <c r="R973" i="23"/>
  <c r="R974" i="23"/>
  <c r="R975" i="23"/>
  <c r="R976" i="23"/>
  <c r="R977" i="23"/>
  <c r="R978" i="23"/>
  <c r="R979" i="23"/>
  <c r="R980" i="23"/>
  <c r="R981" i="23"/>
  <c r="R982" i="23"/>
  <c r="R983" i="23"/>
  <c r="R984" i="23"/>
  <c r="R985" i="23"/>
  <c r="R986" i="23"/>
  <c r="R987" i="23"/>
  <c r="R988" i="23"/>
  <c r="R989" i="23"/>
  <c r="R990" i="23"/>
  <c r="R991" i="23"/>
  <c r="R992" i="23"/>
  <c r="R993" i="23"/>
  <c r="R994" i="23"/>
  <c r="R995" i="23"/>
  <c r="R996" i="23"/>
  <c r="R997" i="23"/>
  <c r="R998" i="23"/>
  <c r="R999" i="23"/>
  <c r="R1000" i="23"/>
  <c r="R1001" i="23"/>
  <c r="R1002" i="23"/>
  <c r="R1003" i="23"/>
  <c r="R1004" i="23"/>
  <c r="R1005" i="23"/>
  <c r="R1006" i="23"/>
  <c r="R1007" i="23"/>
  <c r="R1008" i="23"/>
  <c r="R1009" i="23"/>
  <c r="R1010" i="23"/>
  <c r="R1011" i="23"/>
  <c r="R1012" i="23"/>
  <c r="R1013" i="23"/>
  <c r="R1014" i="23"/>
  <c r="R1015" i="23"/>
  <c r="R1016" i="23"/>
  <c r="R1017" i="23"/>
  <c r="R1018" i="23"/>
  <c r="R1019" i="23"/>
  <c r="R1020" i="23"/>
  <c r="R1021" i="23"/>
  <c r="R1022" i="23"/>
  <c r="R1023" i="23"/>
  <c r="R1024" i="23"/>
  <c r="R1025" i="23"/>
  <c r="R1026" i="23"/>
  <c r="R1027" i="23"/>
  <c r="R1028" i="23"/>
  <c r="R1029" i="23"/>
  <c r="R1030" i="23"/>
  <c r="R1031" i="23"/>
  <c r="R1032" i="23"/>
  <c r="R1033" i="23"/>
  <c r="R1034" i="23"/>
  <c r="R1035" i="23"/>
  <c r="R1036" i="23"/>
  <c r="R1037" i="23"/>
  <c r="R1038" i="23"/>
  <c r="R1039" i="23"/>
  <c r="R1040" i="23"/>
  <c r="R1041" i="23"/>
  <c r="R1042" i="23"/>
  <c r="R1043" i="23"/>
  <c r="R1044" i="23"/>
  <c r="R1045" i="23"/>
  <c r="R1046" i="23"/>
  <c r="R1047" i="23"/>
  <c r="R1048" i="23"/>
  <c r="R1049" i="23"/>
  <c r="R1050" i="23"/>
  <c r="R1051" i="23"/>
  <c r="R1052" i="23"/>
  <c r="R1053" i="23"/>
  <c r="R1054" i="23"/>
  <c r="R1055" i="23"/>
  <c r="R1056" i="23"/>
  <c r="R1057" i="23"/>
  <c r="R1058" i="23"/>
  <c r="R1059" i="23"/>
  <c r="R1060" i="23"/>
  <c r="R1061" i="23"/>
  <c r="R1062" i="23"/>
  <c r="R1063" i="23"/>
  <c r="R1064" i="23"/>
  <c r="R1065" i="23"/>
  <c r="R1066" i="23"/>
  <c r="R1067" i="23"/>
  <c r="R1068" i="23"/>
  <c r="R1069" i="23"/>
  <c r="R1070" i="23"/>
  <c r="R1071" i="23"/>
  <c r="R1072" i="23"/>
  <c r="R1073" i="23"/>
  <c r="R1074" i="23"/>
  <c r="R1075" i="23"/>
  <c r="R1076" i="23"/>
  <c r="S2"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0" i="23"/>
  <c r="S681" i="23"/>
  <c r="S682" i="23"/>
  <c r="S683"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828" i="23"/>
  <c r="S829" i="23"/>
  <c r="S830" i="23"/>
  <c r="S831" i="23"/>
  <c r="S832" i="23"/>
  <c r="S833" i="23"/>
  <c r="S834" i="23"/>
  <c r="S835" i="23"/>
  <c r="S836" i="23"/>
  <c r="S837" i="23"/>
  <c r="S838" i="23"/>
  <c r="S839" i="23"/>
  <c r="S840" i="23"/>
  <c r="S841" i="23"/>
  <c r="S842" i="23"/>
  <c r="S843" i="23"/>
  <c r="S844" i="23"/>
  <c r="S845" i="23"/>
  <c r="S846" i="23"/>
  <c r="S847" i="23"/>
  <c r="S848" i="23"/>
  <c r="S849" i="23"/>
  <c r="S850" i="23"/>
  <c r="S851" i="23"/>
  <c r="S852" i="23"/>
  <c r="S853" i="23"/>
  <c r="S854" i="23"/>
  <c r="S855" i="23"/>
  <c r="S856" i="23"/>
  <c r="S857" i="23"/>
  <c r="S858" i="23"/>
  <c r="S859" i="23"/>
  <c r="S860" i="23"/>
  <c r="S861" i="23"/>
  <c r="S862" i="23"/>
  <c r="S863" i="23"/>
  <c r="S864" i="23"/>
  <c r="S865" i="23"/>
  <c r="S866" i="23"/>
  <c r="S867" i="23"/>
  <c r="S868" i="23"/>
  <c r="S869" i="23"/>
  <c r="S870" i="23"/>
  <c r="S871" i="23"/>
  <c r="S872" i="23"/>
  <c r="S873" i="23"/>
  <c r="S874" i="23"/>
  <c r="S875" i="23"/>
  <c r="S876" i="23"/>
  <c r="S877" i="23"/>
  <c r="S878" i="23"/>
  <c r="S879" i="23"/>
  <c r="S880" i="23"/>
  <c r="S881" i="23"/>
  <c r="S882" i="23"/>
  <c r="S883" i="23"/>
  <c r="S884" i="23"/>
  <c r="S885" i="23"/>
  <c r="S886" i="23"/>
  <c r="S887" i="23"/>
  <c r="S888" i="23"/>
  <c r="S889" i="23"/>
  <c r="S890" i="23"/>
  <c r="S891" i="23"/>
  <c r="S892" i="23"/>
  <c r="S893" i="23"/>
  <c r="S894" i="23"/>
  <c r="S895" i="23"/>
  <c r="S896" i="23"/>
  <c r="S897" i="23"/>
  <c r="S898" i="23"/>
  <c r="S899" i="23"/>
  <c r="S900" i="23"/>
  <c r="S901" i="23"/>
  <c r="S902" i="23"/>
  <c r="S903" i="23"/>
  <c r="S904" i="23"/>
  <c r="S905" i="23"/>
  <c r="S906" i="23"/>
  <c r="S907" i="23"/>
  <c r="S908" i="23"/>
  <c r="S909" i="23"/>
  <c r="S910" i="23"/>
  <c r="S911" i="23"/>
  <c r="S912" i="23"/>
  <c r="S913" i="23"/>
  <c r="S914" i="23"/>
  <c r="S915" i="23"/>
  <c r="S916" i="23"/>
  <c r="S917" i="23"/>
  <c r="S918" i="23"/>
  <c r="S919" i="23"/>
  <c r="S920" i="23"/>
  <c r="S921" i="23"/>
  <c r="S922" i="23"/>
  <c r="S923" i="23"/>
  <c r="S924" i="23"/>
  <c r="S925" i="23"/>
  <c r="S926" i="23"/>
  <c r="S927" i="23"/>
  <c r="S928" i="23"/>
  <c r="S929" i="23"/>
  <c r="S930" i="23"/>
  <c r="S931" i="23"/>
  <c r="S932" i="23"/>
  <c r="S933" i="23"/>
  <c r="S934" i="23"/>
  <c r="S935" i="23"/>
  <c r="S936" i="23"/>
  <c r="S937" i="23"/>
  <c r="S938" i="23"/>
  <c r="S939" i="23"/>
  <c r="S940" i="23"/>
  <c r="S941" i="23"/>
  <c r="S942" i="23"/>
  <c r="S943" i="23"/>
  <c r="S944" i="23"/>
  <c r="S945" i="23"/>
  <c r="S946" i="23"/>
  <c r="S947" i="23"/>
  <c r="S948" i="23"/>
  <c r="S949" i="23"/>
  <c r="S950" i="23"/>
  <c r="S951" i="23"/>
  <c r="S952" i="23"/>
  <c r="S953" i="23"/>
  <c r="S954" i="23"/>
  <c r="S955" i="23"/>
  <c r="S956" i="23"/>
  <c r="S957" i="23"/>
  <c r="S958" i="23"/>
  <c r="S959" i="23"/>
  <c r="S960" i="23"/>
  <c r="S961" i="23"/>
  <c r="S962" i="23"/>
  <c r="S963" i="23"/>
  <c r="S964" i="23"/>
  <c r="S965" i="23"/>
  <c r="S966" i="23"/>
  <c r="S967" i="23"/>
  <c r="S968" i="23"/>
  <c r="S969" i="23"/>
  <c r="S970" i="23"/>
  <c r="S971" i="23"/>
  <c r="S972" i="23"/>
  <c r="S973" i="23"/>
  <c r="S974" i="23"/>
  <c r="S975" i="23"/>
  <c r="S976" i="23"/>
  <c r="S977" i="23"/>
  <c r="S978" i="23"/>
  <c r="S979" i="23"/>
  <c r="S980" i="23"/>
  <c r="S981" i="23"/>
  <c r="S982" i="23"/>
  <c r="S983" i="23"/>
  <c r="S984" i="23"/>
  <c r="S985" i="23"/>
  <c r="S986" i="23"/>
  <c r="S987" i="23"/>
  <c r="S988" i="23"/>
  <c r="S989" i="23"/>
  <c r="S990" i="23"/>
  <c r="S991" i="23"/>
  <c r="S992" i="23"/>
  <c r="S993" i="23"/>
  <c r="S994" i="23"/>
  <c r="S995" i="23"/>
  <c r="S996" i="23"/>
  <c r="S997" i="23"/>
  <c r="S998" i="23"/>
  <c r="S999" i="23"/>
  <c r="S1000" i="23"/>
  <c r="S1001" i="23"/>
  <c r="S1002" i="23"/>
  <c r="S1003" i="23"/>
  <c r="S1004" i="23"/>
  <c r="S1005" i="23"/>
  <c r="S1006" i="23"/>
  <c r="S1007" i="23"/>
  <c r="S1008" i="23"/>
  <c r="S1009" i="23"/>
  <c r="S1010" i="23"/>
  <c r="S1011" i="23"/>
  <c r="S1012" i="23"/>
  <c r="S1013" i="23"/>
  <c r="S1014" i="23"/>
  <c r="S1015" i="23"/>
  <c r="S1016" i="23"/>
  <c r="S1017" i="23"/>
  <c r="S1018" i="23"/>
  <c r="S1019" i="23"/>
  <c r="S1020" i="23"/>
  <c r="S1021" i="23"/>
  <c r="S1022" i="23"/>
  <c r="S1023" i="23"/>
  <c r="S1024" i="23"/>
  <c r="S1025" i="23"/>
  <c r="S1026" i="23"/>
  <c r="S1027" i="23"/>
  <c r="S1028" i="23"/>
  <c r="S1029" i="23"/>
  <c r="S1030" i="23"/>
  <c r="S1031" i="23"/>
  <c r="S1032" i="23"/>
  <c r="S1033" i="23"/>
  <c r="S1034" i="23"/>
  <c r="S1035" i="23"/>
  <c r="S1036" i="23"/>
  <c r="S1037" i="23"/>
  <c r="S1038" i="23"/>
  <c r="S1039" i="23"/>
  <c r="S1040" i="23"/>
  <c r="S1041" i="23"/>
  <c r="S1042" i="23"/>
  <c r="S1043" i="23"/>
  <c r="S1044" i="23"/>
  <c r="S1045" i="23"/>
  <c r="S1046" i="23"/>
  <c r="S1047" i="23"/>
  <c r="S1048" i="23"/>
  <c r="S1049" i="23"/>
  <c r="S1050" i="23"/>
  <c r="S1051" i="23"/>
  <c r="S1052" i="23"/>
  <c r="S1053" i="23"/>
  <c r="S1054" i="23"/>
  <c r="S1055" i="23"/>
  <c r="S1056" i="23"/>
  <c r="S1057" i="23"/>
  <c r="S1058" i="23"/>
  <c r="S1059" i="23"/>
  <c r="S1060" i="23"/>
  <c r="S1061" i="23"/>
  <c r="S1062" i="23"/>
  <c r="S1063" i="23"/>
  <c r="S1064" i="23"/>
  <c r="S1065" i="23"/>
  <c r="S1066" i="23"/>
  <c r="S1067" i="23"/>
  <c r="S1068" i="23"/>
  <c r="S1069" i="23"/>
  <c r="S1070" i="23"/>
  <c r="S1071" i="23"/>
  <c r="S1072" i="23"/>
  <c r="S1073" i="23"/>
  <c r="S1074" i="23"/>
  <c r="S1075" i="23"/>
  <c r="S1076" i="23"/>
  <c r="T2" i="23"/>
  <c r="T3" i="23"/>
  <c r="T4" i="23"/>
  <c r="T5" i="23"/>
  <c r="T6" i="23"/>
  <c r="T7" i="23"/>
  <c r="T8" i="23"/>
  <c r="T9" i="23"/>
  <c r="T10" i="23"/>
  <c r="T11" i="23"/>
  <c r="T12" i="23"/>
  <c r="T13" i="23"/>
  <c r="T14" i="23"/>
  <c r="T15" i="23"/>
  <c r="T16" i="23"/>
  <c r="T17"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T47" i="23"/>
  <c r="T48" i="23"/>
  <c r="T49" i="23"/>
  <c r="T50" i="23"/>
  <c r="T51" i="23"/>
  <c r="T52" i="23"/>
  <c r="T53" i="23"/>
  <c r="T54" i="23"/>
  <c r="T55" i="23"/>
  <c r="T56" i="23"/>
  <c r="T57" i="23"/>
  <c r="T58" i="23"/>
  <c r="T59" i="23"/>
  <c r="T60" i="23"/>
  <c r="T61" i="23"/>
  <c r="T62" i="23"/>
  <c r="T63" i="23"/>
  <c r="T64" i="23"/>
  <c r="T65" i="23"/>
  <c r="T66" i="23"/>
  <c r="T67" i="23"/>
  <c r="T68" i="23"/>
  <c r="T69" i="23"/>
  <c r="T70" i="23"/>
  <c r="T71" i="23"/>
  <c r="T72" i="23"/>
  <c r="T73" i="23"/>
  <c r="T74" i="23"/>
  <c r="T75" i="23"/>
  <c r="T76" i="23"/>
  <c r="T77" i="23"/>
  <c r="T78" i="23"/>
  <c r="T79" i="23"/>
  <c r="T80" i="23"/>
  <c r="T81" i="23"/>
  <c r="T82" i="23"/>
  <c r="T83" i="23"/>
  <c r="T84" i="23"/>
  <c r="T85" i="23"/>
  <c r="T86" i="23"/>
  <c r="T87" i="23"/>
  <c r="T88" i="23"/>
  <c r="T89" i="23"/>
  <c r="T90" i="23"/>
  <c r="T91" i="23"/>
  <c r="T92" i="23"/>
  <c r="T93" i="23"/>
  <c r="T94" i="23"/>
  <c r="T95" i="23"/>
  <c r="T96" i="23"/>
  <c r="T97" i="23"/>
  <c r="T98" i="23"/>
  <c r="T99" i="23"/>
  <c r="T100" i="23"/>
  <c r="T101" i="23"/>
  <c r="T102" i="23"/>
  <c r="T103" i="23"/>
  <c r="T104" i="23"/>
  <c r="T105" i="23"/>
  <c r="T106" i="23"/>
  <c r="T107" i="23"/>
  <c r="T108" i="23"/>
  <c r="T109" i="23"/>
  <c r="T110" i="23"/>
  <c r="T111" i="23"/>
  <c r="T112" i="23"/>
  <c r="T113" i="23"/>
  <c r="T114" i="23"/>
  <c r="T115" i="23"/>
  <c r="T116" i="23"/>
  <c r="T117" i="23"/>
  <c r="T118" i="23"/>
  <c r="T119" i="23"/>
  <c r="T120" i="23"/>
  <c r="T121" i="23"/>
  <c r="T122" i="23"/>
  <c r="T123" i="23"/>
  <c r="T124" i="23"/>
  <c r="T125" i="23"/>
  <c r="T126" i="23"/>
  <c r="T127" i="23"/>
  <c r="T128" i="23"/>
  <c r="T129" i="23"/>
  <c r="T130" i="23"/>
  <c r="T131" i="23"/>
  <c r="T132" i="23"/>
  <c r="T133" i="23"/>
  <c r="T134" i="23"/>
  <c r="T135" i="23"/>
  <c r="T136" i="23"/>
  <c r="T137" i="23"/>
  <c r="T138" i="23"/>
  <c r="T139" i="23"/>
  <c r="T140" i="23"/>
  <c r="T141" i="23"/>
  <c r="T142" i="23"/>
  <c r="T143" i="23"/>
  <c r="T144" i="23"/>
  <c r="T145" i="23"/>
  <c r="T146" i="23"/>
  <c r="T147" i="23"/>
  <c r="T148" i="23"/>
  <c r="T149" i="23"/>
  <c r="T150" i="23"/>
  <c r="T151" i="23"/>
  <c r="T152" i="23"/>
  <c r="T153" i="23"/>
  <c r="T154" i="23"/>
  <c r="T155" i="23"/>
  <c r="T156" i="23"/>
  <c r="T157" i="23"/>
  <c r="T158" i="23"/>
  <c r="T159" i="23"/>
  <c r="T160" i="23"/>
  <c r="T161" i="23"/>
  <c r="T162" i="23"/>
  <c r="T163" i="23"/>
  <c r="T164" i="23"/>
  <c r="T165" i="23"/>
  <c r="T166" i="23"/>
  <c r="T167" i="23"/>
  <c r="T168" i="23"/>
  <c r="T169" i="23"/>
  <c r="T170" i="23"/>
  <c r="T171" i="23"/>
  <c r="T172" i="23"/>
  <c r="T173" i="23"/>
  <c r="T174" i="23"/>
  <c r="T175" i="23"/>
  <c r="T176" i="23"/>
  <c r="T177" i="23"/>
  <c r="T178" i="23"/>
  <c r="T179" i="23"/>
  <c r="T180" i="23"/>
  <c r="T181" i="23"/>
  <c r="T182" i="23"/>
  <c r="T183" i="23"/>
  <c r="T184" i="23"/>
  <c r="T185" i="23"/>
  <c r="T186" i="23"/>
  <c r="T187" i="23"/>
  <c r="T188" i="23"/>
  <c r="T189" i="23"/>
  <c r="T190" i="23"/>
  <c r="T191" i="23"/>
  <c r="T192" i="23"/>
  <c r="T193" i="23"/>
  <c r="T194" i="23"/>
  <c r="T195" i="23"/>
  <c r="T196" i="23"/>
  <c r="T197" i="23"/>
  <c r="T198" i="23"/>
  <c r="T199" i="23"/>
  <c r="T200" i="23"/>
  <c r="T201" i="23"/>
  <c r="T202" i="23"/>
  <c r="T203" i="23"/>
  <c r="T204" i="23"/>
  <c r="T205" i="23"/>
  <c r="T206" i="23"/>
  <c r="T207" i="23"/>
  <c r="T208" i="23"/>
  <c r="T209" i="23"/>
  <c r="T210" i="23"/>
  <c r="T211" i="23"/>
  <c r="T212" i="23"/>
  <c r="T213" i="23"/>
  <c r="T214" i="23"/>
  <c r="T215" i="23"/>
  <c r="T216" i="23"/>
  <c r="T217" i="23"/>
  <c r="T218" i="23"/>
  <c r="T219" i="23"/>
  <c r="T220" i="23"/>
  <c r="T221" i="23"/>
  <c r="T222" i="23"/>
  <c r="T223" i="23"/>
  <c r="T224" i="23"/>
  <c r="T225" i="23"/>
  <c r="T226" i="23"/>
  <c r="T227" i="23"/>
  <c r="T228" i="23"/>
  <c r="T229" i="23"/>
  <c r="T230" i="23"/>
  <c r="T231" i="23"/>
  <c r="T232" i="23"/>
  <c r="T233" i="23"/>
  <c r="T234" i="23"/>
  <c r="T235" i="23"/>
  <c r="T236" i="23"/>
  <c r="T237" i="23"/>
  <c r="T238" i="23"/>
  <c r="T239" i="23"/>
  <c r="T240" i="23"/>
  <c r="T241" i="23"/>
  <c r="T242" i="23"/>
  <c r="T243" i="23"/>
  <c r="T244" i="23"/>
  <c r="T245" i="23"/>
  <c r="T246" i="23"/>
  <c r="T247" i="23"/>
  <c r="T248" i="23"/>
  <c r="T249" i="23"/>
  <c r="T250" i="23"/>
  <c r="T251" i="23"/>
  <c r="T252" i="23"/>
  <c r="T253" i="23"/>
  <c r="T254" i="23"/>
  <c r="T255" i="23"/>
  <c r="T256" i="23"/>
  <c r="T257" i="23"/>
  <c r="T258" i="23"/>
  <c r="T259" i="23"/>
  <c r="T260" i="23"/>
  <c r="T261" i="23"/>
  <c r="T262" i="23"/>
  <c r="T263" i="23"/>
  <c r="T264" i="23"/>
  <c r="T265" i="23"/>
  <c r="T266" i="23"/>
  <c r="T267" i="23"/>
  <c r="T268" i="23"/>
  <c r="T269" i="23"/>
  <c r="T270" i="23"/>
  <c r="T271" i="23"/>
  <c r="T272" i="23"/>
  <c r="T273" i="23"/>
  <c r="T274" i="23"/>
  <c r="T275" i="23"/>
  <c r="T276" i="23"/>
  <c r="T277" i="23"/>
  <c r="T278" i="23"/>
  <c r="T279" i="23"/>
  <c r="T280" i="23"/>
  <c r="T281" i="23"/>
  <c r="T282" i="23"/>
  <c r="T283" i="23"/>
  <c r="T284" i="23"/>
  <c r="T285" i="23"/>
  <c r="T286" i="23"/>
  <c r="T287" i="23"/>
  <c r="T288" i="23"/>
  <c r="T289" i="23"/>
  <c r="T290" i="23"/>
  <c r="T291" i="23"/>
  <c r="T292" i="23"/>
  <c r="T293" i="23"/>
  <c r="T294" i="23"/>
  <c r="T295" i="23"/>
  <c r="T296" i="23"/>
  <c r="T297" i="23"/>
  <c r="T298" i="23"/>
  <c r="T299" i="23"/>
  <c r="T300" i="23"/>
  <c r="T301" i="23"/>
  <c r="T302" i="23"/>
  <c r="T303" i="23"/>
  <c r="T304" i="23"/>
  <c r="T305" i="23"/>
  <c r="T306" i="23"/>
  <c r="T307" i="23"/>
  <c r="T308" i="23"/>
  <c r="T309" i="23"/>
  <c r="T310" i="23"/>
  <c r="T311" i="23"/>
  <c r="T312" i="23"/>
  <c r="T313" i="23"/>
  <c r="T314" i="23"/>
  <c r="T315" i="23"/>
  <c r="T316" i="23"/>
  <c r="T317" i="23"/>
  <c r="T318" i="23"/>
  <c r="T319" i="23"/>
  <c r="T320" i="23"/>
  <c r="T321" i="23"/>
  <c r="T322" i="23"/>
  <c r="T323" i="23"/>
  <c r="T324" i="23"/>
  <c r="T325" i="23"/>
  <c r="T326" i="23"/>
  <c r="T327" i="23"/>
  <c r="T328" i="23"/>
  <c r="T329" i="23"/>
  <c r="T330" i="23"/>
  <c r="T331" i="23"/>
  <c r="T332" i="23"/>
  <c r="T333" i="23"/>
  <c r="T334" i="23"/>
  <c r="T335" i="23"/>
  <c r="T336" i="23"/>
  <c r="T337" i="23"/>
  <c r="T338" i="23"/>
  <c r="T339" i="23"/>
  <c r="T340" i="23"/>
  <c r="T341" i="23"/>
  <c r="T342" i="23"/>
  <c r="T343" i="23"/>
  <c r="T344" i="23"/>
  <c r="T345" i="23"/>
  <c r="T346" i="23"/>
  <c r="T347" i="23"/>
  <c r="T348" i="23"/>
  <c r="T349" i="23"/>
  <c r="T350" i="23"/>
  <c r="T351" i="23"/>
  <c r="T352" i="23"/>
  <c r="T353" i="23"/>
  <c r="T354" i="23"/>
  <c r="T355" i="23"/>
  <c r="T356" i="23"/>
  <c r="T357" i="23"/>
  <c r="T358" i="23"/>
  <c r="T359" i="23"/>
  <c r="T360" i="23"/>
  <c r="T361" i="23"/>
  <c r="T362" i="23"/>
  <c r="T363" i="23"/>
  <c r="T364" i="23"/>
  <c r="T365" i="23"/>
  <c r="T366" i="23"/>
  <c r="T367" i="23"/>
  <c r="T368" i="23"/>
  <c r="T369" i="23"/>
  <c r="T370" i="23"/>
  <c r="T371" i="23"/>
  <c r="T372" i="23"/>
  <c r="T373" i="23"/>
  <c r="T374" i="23"/>
  <c r="T375" i="23"/>
  <c r="T376" i="23"/>
  <c r="T377" i="23"/>
  <c r="T378" i="23"/>
  <c r="T379" i="23"/>
  <c r="T380" i="23"/>
  <c r="T381" i="23"/>
  <c r="T382" i="23"/>
  <c r="T383" i="23"/>
  <c r="T384" i="23"/>
  <c r="T385" i="23"/>
  <c r="T386" i="23"/>
  <c r="T387" i="23"/>
  <c r="T388" i="23"/>
  <c r="T389" i="23"/>
  <c r="T390" i="23"/>
  <c r="T391" i="23"/>
  <c r="T392" i="23"/>
  <c r="T393" i="23"/>
  <c r="T394" i="23"/>
  <c r="T395" i="23"/>
  <c r="T396" i="23"/>
  <c r="T397" i="23"/>
  <c r="T398" i="23"/>
  <c r="T399" i="23"/>
  <c r="T400" i="23"/>
  <c r="T401" i="23"/>
  <c r="T402" i="23"/>
  <c r="T403" i="23"/>
  <c r="T404" i="23"/>
  <c r="T405" i="23"/>
  <c r="T406" i="23"/>
  <c r="T407" i="23"/>
  <c r="T408" i="23"/>
  <c r="T409" i="23"/>
  <c r="T410" i="23"/>
  <c r="T411" i="23"/>
  <c r="T412" i="23"/>
  <c r="T413" i="23"/>
  <c r="T414" i="23"/>
  <c r="T415" i="23"/>
  <c r="T416" i="23"/>
  <c r="T417" i="23"/>
  <c r="T418" i="23"/>
  <c r="T419" i="23"/>
  <c r="T420" i="23"/>
  <c r="T421" i="23"/>
  <c r="T422" i="23"/>
  <c r="T423" i="23"/>
  <c r="T424" i="23"/>
  <c r="T425" i="23"/>
  <c r="T426" i="23"/>
  <c r="T427" i="23"/>
  <c r="T428" i="23"/>
  <c r="T429" i="23"/>
  <c r="T430" i="23"/>
  <c r="T431" i="23"/>
  <c r="T432" i="23"/>
  <c r="T433" i="23"/>
  <c r="T434" i="23"/>
  <c r="T435" i="23"/>
  <c r="T436" i="23"/>
  <c r="T437" i="23"/>
  <c r="T438" i="23"/>
  <c r="T439" i="23"/>
  <c r="T440" i="23"/>
  <c r="T441" i="23"/>
  <c r="T442" i="23"/>
  <c r="T443" i="23"/>
  <c r="T444" i="23"/>
  <c r="T445" i="23"/>
  <c r="T446" i="23"/>
  <c r="T447" i="23"/>
  <c r="T448" i="23"/>
  <c r="T449" i="23"/>
  <c r="T450" i="23"/>
  <c r="T451" i="23"/>
  <c r="T452" i="23"/>
  <c r="T453" i="23"/>
  <c r="T454" i="23"/>
  <c r="T455" i="23"/>
  <c r="T456" i="23"/>
  <c r="T457" i="23"/>
  <c r="T458" i="23"/>
  <c r="T459" i="23"/>
  <c r="T460" i="23"/>
  <c r="T461" i="23"/>
  <c r="T462" i="23"/>
  <c r="T463" i="23"/>
  <c r="T464" i="23"/>
  <c r="T465" i="23"/>
  <c r="T466" i="23"/>
  <c r="T467" i="23"/>
  <c r="T468" i="23"/>
  <c r="T469" i="23"/>
  <c r="T470" i="23"/>
  <c r="T471" i="23"/>
  <c r="T472" i="23"/>
  <c r="T473" i="23"/>
  <c r="T474" i="23"/>
  <c r="T475" i="23"/>
  <c r="T476" i="23"/>
  <c r="T477" i="23"/>
  <c r="T478" i="23"/>
  <c r="T479" i="23"/>
  <c r="T480" i="23"/>
  <c r="T481" i="23"/>
  <c r="T482" i="23"/>
  <c r="T483" i="23"/>
  <c r="T484" i="23"/>
  <c r="T485" i="23"/>
  <c r="T486" i="23"/>
  <c r="T487" i="23"/>
  <c r="T488" i="23"/>
  <c r="T489" i="23"/>
  <c r="T490" i="23"/>
  <c r="T491" i="23"/>
  <c r="T492" i="23"/>
  <c r="T493" i="23"/>
  <c r="T494" i="23"/>
  <c r="T495" i="23"/>
  <c r="T496" i="23"/>
  <c r="T497" i="23"/>
  <c r="T498" i="23"/>
  <c r="T499" i="23"/>
  <c r="T500" i="23"/>
  <c r="T501" i="23"/>
  <c r="T502" i="23"/>
  <c r="T503" i="23"/>
  <c r="T504" i="23"/>
  <c r="T505" i="23"/>
  <c r="T506" i="23"/>
  <c r="T507" i="23"/>
  <c r="T508" i="23"/>
  <c r="T509" i="23"/>
  <c r="T510" i="23"/>
  <c r="T511" i="23"/>
  <c r="T512" i="23"/>
  <c r="T513" i="23"/>
  <c r="T514" i="23"/>
  <c r="T515" i="23"/>
  <c r="T516" i="23"/>
  <c r="T517" i="23"/>
  <c r="T518" i="23"/>
  <c r="T519" i="23"/>
  <c r="T520" i="23"/>
  <c r="T521" i="23"/>
  <c r="T522" i="23"/>
  <c r="T523" i="23"/>
  <c r="T524" i="23"/>
  <c r="T525" i="23"/>
  <c r="T526" i="23"/>
  <c r="T527" i="23"/>
  <c r="T528" i="23"/>
  <c r="T529" i="23"/>
  <c r="T530" i="23"/>
  <c r="T531" i="23"/>
  <c r="T532" i="23"/>
  <c r="T533" i="23"/>
  <c r="T534" i="23"/>
  <c r="T535" i="23"/>
  <c r="T536" i="23"/>
  <c r="T537" i="23"/>
  <c r="T538" i="23"/>
  <c r="T539" i="23"/>
  <c r="T540" i="23"/>
  <c r="T541" i="23"/>
  <c r="T542" i="23"/>
  <c r="T543" i="23"/>
  <c r="T544" i="23"/>
  <c r="T545" i="23"/>
  <c r="T546" i="23"/>
  <c r="T547" i="23"/>
  <c r="T548" i="23"/>
  <c r="T549" i="23"/>
  <c r="T550" i="23"/>
  <c r="T551" i="23"/>
  <c r="T552" i="23"/>
  <c r="T553" i="23"/>
  <c r="T554" i="23"/>
  <c r="T555" i="23"/>
  <c r="T556" i="23"/>
  <c r="T557" i="23"/>
  <c r="T558" i="23"/>
  <c r="T559" i="23"/>
  <c r="T560" i="23"/>
  <c r="T561" i="23"/>
  <c r="T562" i="23"/>
  <c r="T563" i="23"/>
  <c r="T564" i="23"/>
  <c r="T565" i="23"/>
  <c r="T566" i="23"/>
  <c r="T567" i="23"/>
  <c r="T568" i="23"/>
  <c r="T569" i="23"/>
  <c r="T570" i="23"/>
  <c r="T571" i="23"/>
  <c r="T572" i="23"/>
  <c r="T573" i="23"/>
  <c r="T574" i="23"/>
  <c r="T575" i="23"/>
  <c r="T576" i="23"/>
  <c r="T577" i="23"/>
  <c r="T578" i="23"/>
  <c r="T579" i="23"/>
  <c r="T580" i="23"/>
  <c r="T581" i="23"/>
  <c r="T582" i="23"/>
  <c r="T583" i="23"/>
  <c r="T584" i="23"/>
  <c r="T585" i="23"/>
  <c r="T586" i="23"/>
  <c r="T587" i="23"/>
  <c r="T588" i="23"/>
  <c r="T589" i="23"/>
  <c r="T590" i="23"/>
  <c r="T591" i="23"/>
  <c r="T592" i="23"/>
  <c r="T593" i="23"/>
  <c r="T594" i="23"/>
  <c r="T595" i="23"/>
  <c r="T596" i="23"/>
  <c r="T597" i="23"/>
  <c r="T598" i="23"/>
  <c r="T599" i="23"/>
  <c r="T600" i="23"/>
  <c r="T601" i="23"/>
  <c r="T602" i="23"/>
  <c r="T603" i="23"/>
  <c r="T604" i="23"/>
  <c r="T605" i="23"/>
  <c r="T606" i="23"/>
  <c r="T607" i="23"/>
  <c r="T608" i="23"/>
  <c r="T609" i="23"/>
  <c r="T610" i="23"/>
  <c r="T611" i="23"/>
  <c r="T612" i="23"/>
  <c r="T613" i="23"/>
  <c r="T614" i="23"/>
  <c r="T615" i="23"/>
  <c r="T616" i="23"/>
  <c r="T617" i="23"/>
  <c r="T618" i="23"/>
  <c r="T619" i="23"/>
  <c r="T620" i="23"/>
  <c r="T621" i="23"/>
  <c r="T622" i="23"/>
  <c r="T623" i="23"/>
  <c r="T624" i="23"/>
  <c r="T625" i="23"/>
  <c r="T626" i="23"/>
  <c r="T627" i="23"/>
  <c r="T628" i="23"/>
  <c r="T629" i="23"/>
  <c r="T630" i="23"/>
  <c r="T631" i="23"/>
  <c r="T632" i="23"/>
  <c r="T633" i="23"/>
  <c r="T634" i="23"/>
  <c r="T635" i="23"/>
  <c r="T636" i="23"/>
  <c r="T637" i="23"/>
  <c r="T638" i="23"/>
  <c r="T639" i="23"/>
  <c r="T640" i="23"/>
  <c r="T641" i="23"/>
  <c r="T642" i="23"/>
  <c r="T643" i="23"/>
  <c r="T644" i="23"/>
  <c r="T645" i="23"/>
  <c r="T646" i="23"/>
  <c r="T647" i="23"/>
  <c r="T648" i="23"/>
  <c r="T649" i="23"/>
  <c r="T650" i="23"/>
  <c r="T651" i="23"/>
  <c r="T652" i="23"/>
  <c r="T653" i="23"/>
  <c r="T654" i="23"/>
  <c r="T655" i="23"/>
  <c r="T656" i="23"/>
  <c r="T657" i="23"/>
  <c r="T658" i="23"/>
  <c r="T659" i="23"/>
  <c r="T660" i="23"/>
  <c r="T661" i="23"/>
  <c r="T662" i="23"/>
  <c r="T663" i="23"/>
  <c r="T664" i="23"/>
  <c r="T665" i="23"/>
  <c r="T666" i="23"/>
  <c r="T667" i="23"/>
  <c r="T668" i="23"/>
  <c r="T669" i="23"/>
  <c r="T670" i="23"/>
  <c r="T671" i="23"/>
  <c r="T672" i="23"/>
  <c r="T673" i="23"/>
  <c r="T674" i="23"/>
  <c r="T675" i="23"/>
  <c r="T676" i="23"/>
  <c r="T677" i="23"/>
  <c r="T678" i="23"/>
  <c r="T679" i="23"/>
  <c r="T680" i="23"/>
  <c r="T681" i="23"/>
  <c r="T682" i="23"/>
  <c r="T683" i="23"/>
  <c r="T684" i="23"/>
  <c r="T685" i="23"/>
  <c r="T686" i="23"/>
  <c r="T687" i="23"/>
  <c r="T688" i="23"/>
  <c r="T689" i="23"/>
  <c r="T690" i="23"/>
  <c r="T691" i="23"/>
  <c r="T692" i="23"/>
  <c r="T693" i="23"/>
  <c r="T694" i="23"/>
  <c r="T695" i="23"/>
  <c r="T696" i="23"/>
  <c r="T697" i="23"/>
  <c r="T698" i="23"/>
  <c r="T699" i="23"/>
  <c r="T700" i="23"/>
  <c r="T701" i="23"/>
  <c r="T702" i="23"/>
  <c r="T703" i="23"/>
  <c r="T704" i="23"/>
  <c r="T705" i="23"/>
  <c r="T706" i="23"/>
  <c r="T707" i="23"/>
  <c r="T708" i="23"/>
  <c r="T709" i="23"/>
  <c r="T710" i="23"/>
  <c r="T711" i="23"/>
  <c r="T712" i="23"/>
  <c r="T713" i="23"/>
  <c r="T714" i="23"/>
  <c r="T715" i="23"/>
  <c r="T716" i="23"/>
  <c r="T717" i="23"/>
  <c r="T718" i="23"/>
  <c r="T719" i="23"/>
  <c r="T720" i="23"/>
  <c r="T721" i="23"/>
  <c r="T722" i="23"/>
  <c r="T723" i="23"/>
  <c r="T724" i="23"/>
  <c r="T725" i="23"/>
  <c r="T726" i="23"/>
  <c r="T727" i="23"/>
  <c r="T728" i="23"/>
  <c r="T729" i="23"/>
  <c r="T730" i="23"/>
  <c r="T731" i="23"/>
  <c r="T732" i="23"/>
  <c r="T733" i="23"/>
  <c r="T734" i="23"/>
  <c r="T735" i="23"/>
  <c r="T736" i="23"/>
  <c r="T737" i="23"/>
  <c r="T738" i="23"/>
  <c r="T739" i="23"/>
  <c r="T740" i="23"/>
  <c r="T741" i="23"/>
  <c r="T742" i="23"/>
  <c r="T743" i="23"/>
  <c r="T744" i="23"/>
  <c r="T745" i="23"/>
  <c r="T746" i="23"/>
  <c r="T747" i="23"/>
  <c r="T748" i="23"/>
  <c r="T749" i="23"/>
  <c r="T750" i="23"/>
  <c r="T751" i="23"/>
  <c r="T752" i="23"/>
  <c r="T753" i="23"/>
  <c r="T754" i="23"/>
  <c r="T755" i="23"/>
  <c r="T756" i="23"/>
  <c r="T757" i="23"/>
  <c r="T758" i="23"/>
  <c r="T759" i="23"/>
  <c r="T760" i="23"/>
  <c r="T761" i="23"/>
  <c r="T762" i="23"/>
  <c r="T763" i="23"/>
  <c r="T764" i="23"/>
  <c r="T765" i="23"/>
  <c r="T766" i="23"/>
  <c r="T767" i="23"/>
  <c r="T768" i="23"/>
  <c r="T769" i="23"/>
  <c r="T770" i="23"/>
  <c r="T771" i="23"/>
  <c r="T772" i="23"/>
  <c r="T773" i="23"/>
  <c r="T774" i="23"/>
  <c r="T775" i="23"/>
  <c r="T776" i="23"/>
  <c r="T777" i="23"/>
  <c r="T778" i="23"/>
  <c r="T779" i="23"/>
  <c r="T780" i="23"/>
  <c r="T781" i="23"/>
  <c r="T782" i="23"/>
  <c r="T783" i="23"/>
  <c r="T784" i="23"/>
  <c r="T785" i="23"/>
  <c r="T786" i="23"/>
  <c r="T787" i="23"/>
  <c r="T788" i="23"/>
  <c r="T789" i="23"/>
  <c r="T790" i="23"/>
  <c r="T791" i="23"/>
  <c r="T792" i="23"/>
  <c r="T793" i="23"/>
  <c r="T794" i="23"/>
  <c r="T795" i="23"/>
  <c r="T796" i="23"/>
  <c r="T797" i="23"/>
  <c r="T798" i="23"/>
  <c r="T799" i="23"/>
  <c r="T800" i="23"/>
  <c r="T801" i="23"/>
  <c r="T802" i="23"/>
  <c r="T803" i="23"/>
  <c r="T804" i="23"/>
  <c r="T805" i="23"/>
  <c r="T806" i="23"/>
  <c r="T807" i="23"/>
  <c r="T808" i="23"/>
  <c r="T809" i="23"/>
  <c r="T810" i="23"/>
  <c r="T811" i="23"/>
  <c r="T812" i="23"/>
  <c r="T813" i="23"/>
  <c r="T814" i="23"/>
  <c r="T815" i="23"/>
  <c r="T816" i="23"/>
  <c r="T817" i="23"/>
  <c r="T818" i="23"/>
  <c r="T819" i="23"/>
  <c r="T820" i="23"/>
  <c r="T821" i="23"/>
  <c r="T822" i="23"/>
  <c r="T823" i="23"/>
  <c r="T824" i="23"/>
  <c r="T825" i="23"/>
  <c r="T826" i="23"/>
  <c r="T827" i="23"/>
  <c r="T828" i="23"/>
  <c r="T829" i="23"/>
  <c r="T830" i="23"/>
  <c r="T831" i="23"/>
  <c r="T832" i="23"/>
  <c r="T833" i="23"/>
  <c r="T834" i="23"/>
  <c r="T835" i="23"/>
  <c r="T836" i="23"/>
  <c r="T837" i="23"/>
  <c r="T838" i="23"/>
  <c r="T839" i="23"/>
  <c r="T840" i="23"/>
  <c r="T841" i="23"/>
  <c r="T842" i="23"/>
  <c r="T843" i="23"/>
  <c r="T844" i="23"/>
  <c r="T845" i="23"/>
  <c r="T846" i="23"/>
  <c r="T847" i="23"/>
  <c r="T848" i="23"/>
  <c r="T849" i="23"/>
  <c r="T850" i="23"/>
  <c r="T851" i="23"/>
  <c r="T852" i="23"/>
  <c r="T853" i="23"/>
  <c r="T854" i="23"/>
  <c r="T855" i="23"/>
  <c r="T856" i="23"/>
  <c r="T857" i="23"/>
  <c r="T858" i="23"/>
  <c r="T859" i="23"/>
  <c r="T860" i="23"/>
  <c r="T861" i="23"/>
  <c r="T862" i="23"/>
  <c r="T863" i="23"/>
  <c r="T864" i="23"/>
  <c r="T865" i="23"/>
  <c r="T866" i="23"/>
  <c r="T867" i="23"/>
  <c r="T868" i="23"/>
  <c r="T869" i="23"/>
  <c r="T870" i="23"/>
  <c r="T871" i="23"/>
  <c r="T872" i="23"/>
  <c r="T873" i="23"/>
  <c r="T874" i="23"/>
  <c r="T875" i="23"/>
  <c r="T876" i="23"/>
  <c r="T877" i="23"/>
  <c r="T878" i="23"/>
  <c r="T879" i="23"/>
  <c r="T880" i="23"/>
  <c r="T881" i="23"/>
  <c r="T882" i="23"/>
  <c r="T883" i="23"/>
  <c r="T884" i="23"/>
  <c r="T885" i="23"/>
  <c r="T886" i="23"/>
  <c r="T887" i="23"/>
  <c r="T888" i="23"/>
  <c r="T889" i="23"/>
  <c r="T890" i="23"/>
  <c r="T891" i="23"/>
  <c r="AA891" i="23" s="1"/>
  <c r="T892" i="23"/>
  <c r="T893" i="23"/>
  <c r="T894" i="23"/>
  <c r="T895" i="23"/>
  <c r="T896" i="23"/>
  <c r="T897" i="23"/>
  <c r="AA897" i="23" s="1"/>
  <c r="T898" i="23"/>
  <c r="T899" i="23"/>
  <c r="T900" i="23"/>
  <c r="T901" i="23"/>
  <c r="T902" i="23"/>
  <c r="T903" i="23"/>
  <c r="T904" i="23"/>
  <c r="T905" i="23"/>
  <c r="T906" i="23"/>
  <c r="T907" i="23"/>
  <c r="T908" i="23"/>
  <c r="T909" i="23"/>
  <c r="T910" i="23"/>
  <c r="T911" i="23"/>
  <c r="T912" i="23"/>
  <c r="T913" i="23"/>
  <c r="T914" i="23"/>
  <c r="T915" i="23"/>
  <c r="T916" i="23"/>
  <c r="T917" i="23"/>
  <c r="T918" i="23"/>
  <c r="T919" i="23"/>
  <c r="T920" i="23"/>
  <c r="T921" i="23"/>
  <c r="AA921" i="23" s="1"/>
  <c r="T922" i="23"/>
  <c r="T923" i="23"/>
  <c r="T924" i="23"/>
  <c r="T925" i="23"/>
  <c r="T926" i="23"/>
  <c r="T927" i="23"/>
  <c r="T928" i="23"/>
  <c r="T929" i="23"/>
  <c r="AA929" i="23" s="1"/>
  <c r="T930" i="23"/>
  <c r="AA930" i="23" s="1"/>
  <c r="T931" i="23"/>
  <c r="T932" i="23"/>
  <c r="AA932" i="23" s="1"/>
  <c r="T933" i="23"/>
  <c r="AA933" i="23" s="1"/>
  <c r="T934" i="23"/>
  <c r="AA934" i="23" s="1"/>
  <c r="T935" i="23"/>
  <c r="T936" i="23"/>
  <c r="T937" i="23"/>
  <c r="T938" i="23"/>
  <c r="T939" i="23"/>
  <c r="T940" i="23"/>
  <c r="T941" i="23"/>
  <c r="T942" i="23"/>
  <c r="T943" i="23"/>
  <c r="T944" i="23"/>
  <c r="AA944" i="23" s="1"/>
  <c r="T945" i="23"/>
  <c r="T946" i="23"/>
  <c r="AA946" i="23" s="1"/>
  <c r="T947" i="23"/>
  <c r="AA947" i="23" s="1"/>
  <c r="T948" i="23"/>
  <c r="T949" i="23"/>
  <c r="T950" i="23"/>
  <c r="AA950" i="23" s="1"/>
  <c r="T951" i="23"/>
  <c r="AA951" i="23" s="1"/>
  <c r="T952" i="23"/>
  <c r="AA952" i="23" s="1"/>
  <c r="T953" i="23"/>
  <c r="AA953" i="23" s="1"/>
  <c r="T954" i="23"/>
  <c r="T955" i="23"/>
  <c r="T956" i="23"/>
  <c r="AA956" i="23" s="1"/>
  <c r="T957" i="23"/>
  <c r="AA957" i="23" s="1"/>
  <c r="T958" i="23"/>
  <c r="AA958" i="23" s="1"/>
  <c r="T959" i="23"/>
  <c r="T960" i="23"/>
  <c r="T961" i="23"/>
  <c r="T962" i="23"/>
  <c r="T963" i="23"/>
  <c r="T964" i="23"/>
  <c r="T965" i="23"/>
  <c r="T966" i="23"/>
  <c r="AA966" i="23" s="1"/>
  <c r="T967" i="23"/>
  <c r="AA967" i="23" s="1"/>
  <c r="T968" i="23"/>
  <c r="AA968" i="23" s="1"/>
  <c r="T969" i="23"/>
  <c r="AA969" i="23" s="1"/>
  <c r="T970" i="23"/>
  <c r="AA970" i="23" s="1"/>
  <c r="T971" i="23"/>
  <c r="T972" i="23"/>
  <c r="T973" i="23"/>
  <c r="T974" i="23"/>
  <c r="T975" i="23"/>
  <c r="T976" i="23"/>
  <c r="T977" i="23"/>
  <c r="T978" i="23"/>
  <c r="T979" i="23"/>
  <c r="T980" i="23"/>
  <c r="T981" i="23"/>
  <c r="T982" i="23"/>
  <c r="T983" i="23"/>
  <c r="T984" i="23"/>
  <c r="T985" i="23"/>
  <c r="AA985" i="23" s="1"/>
  <c r="T986" i="23"/>
  <c r="AA986" i="23" s="1"/>
  <c r="T987" i="23"/>
  <c r="T988" i="23"/>
  <c r="T989" i="23"/>
  <c r="AA989" i="23" s="1"/>
  <c r="T990" i="23"/>
  <c r="T991" i="23"/>
  <c r="T992" i="23"/>
  <c r="T993" i="23"/>
  <c r="T994" i="23"/>
  <c r="T995" i="23"/>
  <c r="T996" i="23"/>
  <c r="T997" i="23"/>
  <c r="T998" i="23"/>
  <c r="T999" i="23"/>
  <c r="T1000" i="23"/>
  <c r="T1001" i="23"/>
  <c r="T1002" i="23"/>
  <c r="T1003" i="23"/>
  <c r="T1004" i="23"/>
  <c r="T1005" i="23"/>
  <c r="T1006" i="23"/>
  <c r="T1007" i="23"/>
  <c r="T1008" i="23"/>
  <c r="T1009" i="23"/>
  <c r="T1010" i="23"/>
  <c r="T1011" i="23"/>
  <c r="T1012" i="23"/>
  <c r="T1013" i="23"/>
  <c r="T1014" i="23"/>
  <c r="AA1014" i="23" s="1"/>
  <c r="T1015" i="23"/>
  <c r="AA1015" i="23" s="1"/>
  <c r="T1016" i="23"/>
  <c r="AA1016" i="23" s="1"/>
  <c r="T1017" i="23"/>
  <c r="T1018" i="23"/>
  <c r="T1019" i="23"/>
  <c r="T1020" i="23"/>
  <c r="T1021" i="23"/>
  <c r="AA1021" i="23" s="1"/>
  <c r="T1022" i="23"/>
  <c r="AA1022" i="23" s="1"/>
  <c r="T1023" i="23"/>
  <c r="T1024" i="23"/>
  <c r="T1025" i="23"/>
  <c r="T1026" i="23"/>
  <c r="T1027" i="23"/>
  <c r="T1028" i="23"/>
  <c r="T1029" i="23"/>
  <c r="T1030" i="23"/>
  <c r="T1031" i="23"/>
  <c r="T1032" i="23"/>
  <c r="T1033" i="23"/>
  <c r="T1034" i="23"/>
  <c r="T1035" i="23"/>
  <c r="AA1035" i="23" s="1"/>
  <c r="T1036" i="23"/>
  <c r="AA1036" i="23" s="1"/>
  <c r="T1037" i="23"/>
  <c r="T1038" i="23"/>
  <c r="T1039" i="23"/>
  <c r="T1040" i="23"/>
  <c r="T1041" i="23"/>
  <c r="T1042" i="23"/>
  <c r="AA1042" i="23" s="1"/>
  <c r="T1043" i="23"/>
  <c r="T1044" i="23"/>
  <c r="AA1044" i="23" s="1"/>
  <c r="T1045" i="23"/>
  <c r="AA1045" i="23" s="1"/>
  <c r="T1046" i="23"/>
  <c r="AA1046" i="23" s="1"/>
  <c r="T1047" i="23"/>
  <c r="T1048" i="23"/>
  <c r="T1049" i="23"/>
  <c r="T1050" i="23"/>
  <c r="T1051" i="23"/>
  <c r="T1052" i="23"/>
  <c r="T1053" i="23"/>
  <c r="AA1053" i="23" s="1"/>
  <c r="T1054" i="23"/>
  <c r="AA1054" i="23" s="1"/>
  <c r="T1055" i="23"/>
  <c r="AA1055" i="23" s="1"/>
  <c r="T1056" i="23"/>
  <c r="AA1056" i="23" s="1"/>
  <c r="T1057" i="23"/>
  <c r="T1058" i="23"/>
  <c r="T1059" i="23"/>
  <c r="AA1059" i="23" s="1"/>
  <c r="T1060" i="23"/>
  <c r="T1061" i="23"/>
  <c r="T1062" i="23"/>
  <c r="T1063" i="23"/>
  <c r="AA1063" i="23" s="1"/>
  <c r="T1064" i="23"/>
  <c r="T1065" i="23"/>
  <c r="T1066" i="23"/>
  <c r="T1067" i="23"/>
  <c r="T1068" i="23"/>
  <c r="T1069" i="23"/>
  <c r="T1070" i="23"/>
  <c r="T1071" i="23"/>
  <c r="T1072" i="23"/>
  <c r="T1073" i="23"/>
  <c r="T1074" i="23"/>
  <c r="T1075" i="23"/>
  <c r="T1076" i="23"/>
  <c r="W2" i="23"/>
  <c r="W3" i="23"/>
  <c r="W4" i="23"/>
  <c r="W5" i="23"/>
  <c r="W6" i="23"/>
  <c r="W7" i="23"/>
  <c r="W8" i="23"/>
  <c r="W9" i="23"/>
  <c r="W10" i="23"/>
  <c r="W11" i="23"/>
  <c r="W12" i="23"/>
  <c r="W13" i="23"/>
  <c r="W14" i="23"/>
  <c r="W15" i="23"/>
  <c r="W16" i="23"/>
  <c r="W17" i="23"/>
  <c r="W18" i="23"/>
  <c r="W19" i="23"/>
  <c r="W20" i="23"/>
  <c r="W21" i="23"/>
  <c r="W22" i="23"/>
  <c r="W23" i="23"/>
  <c r="W24" i="23"/>
  <c r="W25" i="23"/>
  <c r="W26" i="23"/>
  <c r="W27" i="23"/>
  <c r="W28" i="23"/>
  <c r="W29" i="23"/>
  <c r="W30" i="23"/>
  <c r="W31" i="23"/>
  <c r="W32" i="23"/>
  <c r="W33" i="23"/>
  <c r="W34" i="23"/>
  <c r="W35" i="23"/>
  <c r="W36" i="23"/>
  <c r="W37" i="23"/>
  <c r="W38" i="23"/>
  <c r="W39" i="23"/>
  <c r="W40" i="23"/>
  <c r="W41" i="23"/>
  <c r="W42" i="23"/>
  <c r="W43" i="23"/>
  <c r="W44" i="23"/>
  <c r="W45" i="23"/>
  <c r="W46" i="23"/>
  <c r="W47" i="23"/>
  <c r="W48" i="23"/>
  <c r="W49" i="23"/>
  <c r="W50" i="23"/>
  <c r="W51" i="23"/>
  <c r="W52" i="23"/>
  <c r="W53" i="23"/>
  <c r="W54" i="23"/>
  <c r="W55" i="23"/>
  <c r="W56" i="23"/>
  <c r="W57" i="23"/>
  <c r="W58" i="23"/>
  <c r="W59" i="23"/>
  <c r="W60" i="23"/>
  <c r="W61" i="23"/>
  <c r="W62" i="23"/>
  <c r="W63" i="23"/>
  <c r="W64" i="23"/>
  <c r="W65" i="23"/>
  <c r="W66" i="23"/>
  <c r="W67" i="23"/>
  <c r="W68" i="23"/>
  <c r="W69" i="23"/>
  <c r="W70" i="23"/>
  <c r="W71" i="23"/>
  <c r="W72" i="23"/>
  <c r="W73" i="23"/>
  <c r="W74" i="23"/>
  <c r="W75" i="23"/>
  <c r="W76" i="23"/>
  <c r="W77" i="23"/>
  <c r="W78" i="23"/>
  <c r="W79" i="23"/>
  <c r="W80" i="23"/>
  <c r="W81" i="23"/>
  <c r="W82" i="23"/>
  <c r="W83" i="23"/>
  <c r="W84" i="23"/>
  <c r="W85" i="23"/>
  <c r="W86" i="23"/>
  <c r="W87" i="23"/>
  <c r="W88" i="23"/>
  <c r="W89" i="23"/>
  <c r="W90" i="23"/>
  <c r="W91" i="23"/>
  <c r="W92" i="23"/>
  <c r="W93" i="23"/>
  <c r="W94" i="23"/>
  <c r="W95" i="23"/>
  <c r="W96" i="23"/>
  <c r="W97" i="23"/>
  <c r="W98" i="23"/>
  <c r="W99" i="23"/>
  <c r="W100" i="23"/>
  <c r="W101" i="23"/>
  <c r="W102" i="23"/>
  <c r="W103" i="23"/>
  <c r="W104" i="23"/>
  <c r="W105" i="23"/>
  <c r="W106" i="23"/>
  <c r="W107" i="23"/>
  <c r="W108" i="23"/>
  <c r="W109" i="23"/>
  <c r="W110" i="23"/>
  <c r="W111" i="23"/>
  <c r="W112" i="23"/>
  <c r="W113" i="23"/>
  <c r="W114" i="23"/>
  <c r="W115" i="23"/>
  <c r="W116" i="23"/>
  <c r="W117" i="23"/>
  <c r="W118" i="23"/>
  <c r="W119" i="23"/>
  <c r="W120" i="23"/>
  <c r="W121" i="23"/>
  <c r="W122" i="23"/>
  <c r="W123" i="23"/>
  <c r="W124" i="23"/>
  <c r="W125" i="23"/>
  <c r="W126" i="23"/>
  <c r="W127" i="23"/>
  <c r="W128" i="23"/>
  <c r="W129" i="23"/>
  <c r="W130" i="23"/>
  <c r="W131" i="23"/>
  <c r="W132" i="23"/>
  <c r="W133" i="23"/>
  <c r="W134" i="23"/>
  <c r="W135" i="23"/>
  <c r="W136" i="23"/>
  <c r="W137" i="23"/>
  <c r="W138" i="23"/>
  <c r="W139" i="23"/>
  <c r="W140" i="23"/>
  <c r="W141" i="23"/>
  <c r="W142" i="23"/>
  <c r="W143" i="23"/>
  <c r="W144" i="23"/>
  <c r="W145" i="23"/>
  <c r="W146" i="23"/>
  <c r="W147" i="23"/>
  <c r="W148" i="23"/>
  <c r="W149" i="23"/>
  <c r="W150" i="23"/>
  <c r="W151" i="23"/>
  <c r="W152" i="23"/>
  <c r="W153" i="23"/>
  <c r="W154" i="23"/>
  <c r="W155" i="23"/>
  <c r="W156" i="23"/>
  <c r="W157" i="23"/>
  <c r="W158" i="23"/>
  <c r="W159" i="23"/>
  <c r="W160" i="23"/>
  <c r="W161" i="23"/>
  <c r="W162" i="23"/>
  <c r="W163" i="23"/>
  <c r="W164" i="23"/>
  <c r="W165" i="23"/>
  <c r="W166" i="23"/>
  <c r="W167" i="23"/>
  <c r="W168" i="23"/>
  <c r="W169" i="23"/>
  <c r="W170" i="23"/>
  <c r="W171" i="23"/>
  <c r="W172" i="23"/>
  <c r="W173" i="23"/>
  <c r="W174" i="23"/>
  <c r="W175" i="23"/>
  <c r="W176" i="23"/>
  <c r="W177" i="23"/>
  <c r="W178" i="23"/>
  <c r="W179" i="23"/>
  <c r="W180" i="23"/>
  <c r="W181" i="23"/>
  <c r="W182" i="23"/>
  <c r="W183" i="23"/>
  <c r="W184" i="23"/>
  <c r="W185" i="23"/>
  <c r="W186" i="23"/>
  <c r="W187" i="23"/>
  <c r="W188" i="23"/>
  <c r="W189" i="23"/>
  <c r="W190" i="23"/>
  <c r="W191" i="23"/>
  <c r="W192" i="23"/>
  <c r="W193" i="23"/>
  <c r="W194" i="23"/>
  <c r="W195" i="23"/>
  <c r="W196" i="23"/>
  <c r="W197" i="23"/>
  <c r="W198" i="23"/>
  <c r="W199" i="23"/>
  <c r="W200" i="23"/>
  <c r="W201" i="23"/>
  <c r="W202" i="23"/>
  <c r="W203" i="23"/>
  <c r="W204" i="23"/>
  <c r="W205" i="23"/>
  <c r="W206" i="23"/>
  <c r="W207" i="23"/>
  <c r="W208" i="23"/>
  <c r="W209" i="23"/>
  <c r="W210" i="23"/>
  <c r="W211" i="23"/>
  <c r="W212" i="23"/>
  <c r="W213" i="23"/>
  <c r="W214" i="23"/>
  <c r="W215" i="23"/>
  <c r="W216" i="23"/>
  <c r="W217" i="23"/>
  <c r="W218" i="23"/>
  <c r="W219" i="23"/>
  <c r="W220" i="23"/>
  <c r="W221" i="23"/>
  <c r="W222" i="23"/>
  <c r="W223" i="23"/>
  <c r="W224" i="23"/>
  <c r="W225" i="23"/>
  <c r="W226" i="23"/>
  <c r="W227" i="23"/>
  <c r="W228" i="23"/>
  <c r="W229" i="23"/>
  <c r="W230" i="23"/>
  <c r="W231" i="23"/>
  <c r="W232" i="23"/>
  <c r="W233" i="23"/>
  <c r="W234" i="23"/>
  <c r="W235" i="23"/>
  <c r="W236" i="23"/>
  <c r="W237" i="23"/>
  <c r="W238" i="23"/>
  <c r="W239" i="23"/>
  <c r="W240" i="23"/>
  <c r="W241" i="23"/>
  <c r="W242" i="23"/>
  <c r="W243" i="23"/>
  <c r="W244" i="23"/>
  <c r="W245" i="23"/>
  <c r="W246" i="23"/>
  <c r="W247" i="23"/>
  <c r="W248" i="23"/>
  <c r="W249" i="23"/>
  <c r="W250" i="23"/>
  <c r="W251" i="23"/>
  <c r="W252" i="23"/>
  <c r="W253" i="23"/>
  <c r="W254" i="23"/>
  <c r="W255" i="23"/>
  <c r="W256" i="23"/>
  <c r="W257" i="23"/>
  <c r="W258" i="23"/>
  <c r="W259" i="23"/>
  <c r="W260" i="23"/>
  <c r="W261" i="23"/>
  <c r="W262" i="23"/>
  <c r="W263" i="23"/>
  <c r="W264" i="23"/>
  <c r="W265" i="23"/>
  <c r="W266" i="23"/>
  <c r="W267" i="23"/>
  <c r="W268" i="23"/>
  <c r="W269" i="23"/>
  <c r="W270" i="23"/>
  <c r="W271" i="23"/>
  <c r="W272" i="23"/>
  <c r="W273" i="23"/>
  <c r="W274" i="23"/>
  <c r="W275" i="23"/>
  <c r="W276" i="23"/>
  <c r="W277" i="23"/>
  <c r="W278" i="23"/>
  <c r="W279" i="23"/>
  <c r="W280" i="23"/>
  <c r="W281" i="23"/>
  <c r="W282" i="23"/>
  <c r="W283" i="23"/>
  <c r="W284" i="23"/>
  <c r="W285" i="23"/>
  <c r="W286" i="23"/>
  <c r="W287" i="23"/>
  <c r="W288" i="23"/>
  <c r="W289" i="23"/>
  <c r="W290" i="23"/>
  <c r="W291" i="23"/>
  <c r="W292" i="23"/>
  <c r="W293" i="23"/>
  <c r="W294" i="23"/>
  <c r="W295" i="23"/>
  <c r="W296" i="23"/>
  <c r="W297" i="23"/>
  <c r="W298" i="23"/>
  <c r="W299" i="23"/>
  <c r="W300" i="23"/>
  <c r="W301" i="23"/>
  <c r="W302" i="23"/>
  <c r="W303" i="23"/>
  <c r="W304" i="23"/>
  <c r="W305" i="23"/>
  <c r="W306" i="23"/>
  <c r="W307" i="23"/>
  <c r="W308" i="23"/>
  <c r="W309" i="23"/>
  <c r="W310" i="23"/>
  <c r="W311" i="23"/>
  <c r="W312" i="23"/>
  <c r="W313" i="23"/>
  <c r="W314" i="23"/>
  <c r="W315" i="23"/>
  <c r="W316" i="23"/>
  <c r="W317" i="23"/>
  <c r="W318" i="23"/>
  <c r="W319" i="23"/>
  <c r="W320" i="23"/>
  <c r="W321" i="23"/>
  <c r="W322" i="23"/>
  <c r="W323" i="23"/>
  <c r="W324" i="23"/>
  <c r="W325" i="23"/>
  <c r="W326" i="23"/>
  <c r="W327" i="23"/>
  <c r="W328" i="23"/>
  <c r="W329" i="23"/>
  <c r="W330" i="23"/>
  <c r="W331" i="23"/>
  <c r="W332" i="23"/>
  <c r="W333" i="23"/>
  <c r="W334" i="23"/>
  <c r="W335" i="23"/>
  <c r="W336" i="23"/>
  <c r="W337" i="23"/>
  <c r="W338" i="23"/>
  <c r="W339" i="23"/>
  <c r="W340" i="23"/>
  <c r="W341" i="23"/>
  <c r="W342" i="23"/>
  <c r="W343" i="23"/>
  <c r="W344" i="23"/>
  <c r="W345" i="23"/>
  <c r="W346" i="23"/>
  <c r="W347" i="23"/>
  <c r="W348" i="23"/>
  <c r="W349" i="23"/>
  <c r="W350" i="23"/>
  <c r="W351" i="23"/>
  <c r="W352" i="23"/>
  <c r="W353" i="23"/>
  <c r="W354" i="23"/>
  <c r="W355" i="23"/>
  <c r="W356" i="23"/>
  <c r="W357" i="23"/>
  <c r="W358" i="23"/>
  <c r="W359" i="23"/>
  <c r="W360" i="23"/>
  <c r="W361" i="23"/>
  <c r="W362" i="23"/>
  <c r="W363" i="23"/>
  <c r="W364" i="23"/>
  <c r="W365" i="23"/>
  <c r="W366" i="23"/>
  <c r="W367" i="23"/>
  <c r="W368" i="23"/>
  <c r="W369" i="23"/>
  <c r="W370" i="23"/>
  <c r="W371" i="23"/>
  <c r="W372" i="23"/>
  <c r="W373" i="23"/>
  <c r="W374" i="23"/>
  <c r="W375" i="23"/>
  <c r="W376" i="23"/>
  <c r="W377" i="23"/>
  <c r="W378" i="23"/>
  <c r="W379" i="23"/>
  <c r="W380" i="23"/>
  <c r="W381" i="23"/>
  <c r="W382" i="23"/>
  <c r="W383" i="23"/>
  <c r="W384" i="23"/>
  <c r="W385" i="23"/>
  <c r="W386" i="23"/>
  <c r="W387" i="23"/>
  <c r="W388" i="23"/>
  <c r="W389" i="23"/>
  <c r="W390" i="23"/>
  <c r="W391" i="23"/>
  <c r="W392" i="23"/>
  <c r="W393" i="23"/>
  <c r="W394" i="23"/>
  <c r="W395" i="23"/>
  <c r="W396" i="23"/>
  <c r="W397" i="23"/>
  <c r="W398" i="23"/>
  <c r="W399" i="23"/>
  <c r="W400" i="23"/>
  <c r="W401" i="23"/>
  <c r="W402" i="23"/>
  <c r="W403" i="23"/>
  <c r="W404" i="23"/>
  <c r="W405" i="23"/>
  <c r="W406" i="23"/>
  <c r="W407" i="23"/>
  <c r="W408" i="23"/>
  <c r="W409" i="23"/>
  <c r="W410" i="23"/>
  <c r="W411" i="23"/>
  <c r="W412" i="23"/>
  <c r="W413" i="23"/>
  <c r="W414" i="23"/>
  <c r="W415" i="23"/>
  <c r="W416" i="23"/>
  <c r="W417" i="23"/>
  <c r="W418" i="23"/>
  <c r="W419" i="23"/>
  <c r="W420" i="23"/>
  <c r="W421" i="23"/>
  <c r="W422" i="23"/>
  <c r="W423" i="23"/>
  <c r="W424" i="23"/>
  <c r="W425" i="23"/>
  <c r="W426" i="23"/>
  <c r="W427" i="23"/>
  <c r="W428" i="23"/>
  <c r="W429" i="23"/>
  <c r="W430" i="23"/>
  <c r="W431" i="23"/>
  <c r="W432" i="23"/>
  <c r="W433" i="23"/>
  <c r="W434" i="23"/>
  <c r="W435" i="23"/>
  <c r="W436" i="23"/>
  <c r="W437" i="23"/>
  <c r="W438" i="23"/>
  <c r="W439" i="23"/>
  <c r="W440" i="23"/>
  <c r="W441" i="23"/>
  <c r="W442" i="23"/>
  <c r="W443" i="23"/>
  <c r="W444" i="23"/>
  <c r="W445" i="23"/>
  <c r="W446" i="23"/>
  <c r="W447" i="23"/>
  <c r="W448" i="23"/>
  <c r="W449" i="23"/>
  <c r="W450" i="23"/>
  <c r="W451" i="23"/>
  <c r="W452" i="23"/>
  <c r="W453" i="23"/>
  <c r="W454" i="23"/>
  <c r="W455" i="23"/>
  <c r="W456" i="23"/>
  <c r="W457" i="23"/>
  <c r="W458" i="23"/>
  <c r="W459" i="23"/>
  <c r="W460" i="23"/>
  <c r="W461" i="23"/>
  <c r="W462" i="23"/>
  <c r="W463" i="23"/>
  <c r="W464" i="23"/>
  <c r="W465" i="23"/>
  <c r="W466" i="23"/>
  <c r="W467" i="23"/>
  <c r="W468" i="23"/>
  <c r="W469" i="23"/>
  <c r="W470" i="23"/>
  <c r="W471" i="23"/>
  <c r="W472" i="23"/>
  <c r="W473" i="23"/>
  <c r="W474" i="23"/>
  <c r="W475" i="23"/>
  <c r="W476" i="23"/>
  <c r="W477" i="23"/>
  <c r="W478" i="23"/>
  <c r="W479" i="23"/>
  <c r="W480" i="23"/>
  <c r="W481" i="23"/>
  <c r="W482" i="23"/>
  <c r="W483" i="23"/>
  <c r="W484" i="23"/>
  <c r="W485" i="23"/>
  <c r="W486" i="23"/>
  <c r="W487" i="23"/>
  <c r="W488" i="23"/>
  <c r="W489" i="23"/>
  <c r="W490" i="23"/>
  <c r="W491" i="23"/>
  <c r="W492" i="23"/>
  <c r="W493" i="23"/>
  <c r="W494" i="23"/>
  <c r="W495" i="23"/>
  <c r="W496" i="23"/>
  <c r="W497" i="23"/>
  <c r="W498" i="23"/>
  <c r="W499" i="23"/>
  <c r="W500" i="23"/>
  <c r="W501" i="23"/>
  <c r="W502" i="23"/>
  <c r="W503" i="23"/>
  <c r="W504" i="23"/>
  <c r="W505" i="23"/>
  <c r="W506" i="23"/>
  <c r="W507" i="23"/>
  <c r="W508" i="23"/>
  <c r="W509" i="23"/>
  <c r="W510" i="23"/>
  <c r="W511" i="23"/>
  <c r="W512" i="23"/>
  <c r="W513" i="23"/>
  <c r="W514" i="23"/>
  <c r="W515" i="23"/>
  <c r="W516" i="23"/>
  <c r="W517" i="23"/>
  <c r="W518" i="23"/>
  <c r="W519" i="23"/>
  <c r="W520" i="23"/>
  <c r="W521" i="23"/>
  <c r="W522" i="23"/>
  <c r="W523" i="23"/>
  <c r="W524" i="23"/>
  <c r="W525" i="23"/>
  <c r="W526" i="23"/>
  <c r="W527" i="23"/>
  <c r="W528" i="23"/>
  <c r="W529" i="23"/>
  <c r="W530" i="23"/>
  <c r="W531" i="23"/>
  <c r="W532" i="23"/>
  <c r="W533" i="23"/>
  <c r="W534" i="23"/>
  <c r="W535" i="23"/>
  <c r="W536" i="23"/>
  <c r="W537" i="23"/>
  <c r="W538" i="23"/>
  <c r="W539" i="23"/>
  <c r="W540" i="23"/>
  <c r="W541" i="23"/>
  <c r="W542" i="23"/>
  <c r="W543" i="23"/>
  <c r="W544" i="23"/>
  <c r="W545" i="23"/>
  <c r="W546" i="23"/>
  <c r="W547" i="23"/>
  <c r="W548" i="23"/>
  <c r="W549" i="23"/>
  <c r="W550" i="23"/>
  <c r="W551" i="23"/>
  <c r="W552" i="23"/>
  <c r="W553" i="23"/>
  <c r="W554" i="23"/>
  <c r="W555" i="23"/>
  <c r="W556" i="23"/>
  <c r="W557" i="23"/>
  <c r="W558" i="23"/>
  <c r="W559" i="23"/>
  <c r="W560" i="23"/>
  <c r="W561" i="23"/>
  <c r="W562" i="23"/>
  <c r="W563" i="23"/>
  <c r="W564" i="23"/>
  <c r="W565" i="23"/>
  <c r="W566" i="23"/>
  <c r="W567" i="23"/>
  <c r="W568" i="23"/>
  <c r="W569" i="23"/>
  <c r="W570" i="23"/>
  <c r="W571" i="23"/>
  <c r="W572" i="23"/>
  <c r="W573" i="23"/>
  <c r="W574" i="23"/>
  <c r="W575" i="23"/>
  <c r="W576" i="23"/>
  <c r="W577" i="23"/>
  <c r="W578" i="23"/>
  <c r="W579" i="23"/>
  <c r="W580" i="23"/>
  <c r="W581" i="23"/>
  <c r="W582" i="23"/>
  <c r="W583" i="23"/>
  <c r="W584" i="23"/>
  <c r="W585" i="23"/>
  <c r="W586" i="23"/>
  <c r="W587" i="23"/>
  <c r="W588" i="23"/>
  <c r="W589" i="23"/>
  <c r="W590" i="23"/>
  <c r="W591" i="23"/>
  <c r="W592" i="23"/>
  <c r="W593" i="23"/>
  <c r="W594" i="23"/>
  <c r="W595" i="23"/>
  <c r="W596" i="23"/>
  <c r="W597" i="23"/>
  <c r="W598" i="23"/>
  <c r="W599" i="23"/>
  <c r="W600" i="23"/>
  <c r="W601" i="23"/>
  <c r="W602" i="23"/>
  <c r="W603" i="23"/>
  <c r="W604" i="23"/>
  <c r="W605" i="23"/>
  <c r="W606" i="23"/>
  <c r="W607" i="23"/>
  <c r="W608" i="23"/>
  <c r="W609" i="23"/>
  <c r="W610" i="23"/>
  <c r="W611" i="23"/>
  <c r="W612" i="23"/>
  <c r="W613" i="23"/>
  <c r="W614" i="23"/>
  <c r="W615" i="23"/>
  <c r="W616" i="23"/>
  <c r="W617" i="23"/>
  <c r="W618" i="23"/>
  <c r="W619" i="23"/>
  <c r="W620" i="23"/>
  <c r="W621" i="23"/>
  <c r="W622" i="23"/>
  <c r="W623" i="23"/>
  <c r="W624" i="23"/>
  <c r="W625" i="23"/>
  <c r="W626" i="23"/>
  <c r="W627" i="23"/>
  <c r="W628" i="23"/>
  <c r="W629" i="23"/>
  <c r="W630" i="23"/>
  <c r="W631" i="23"/>
  <c r="W632" i="23"/>
  <c r="W633" i="23"/>
  <c r="W634" i="23"/>
  <c r="W635" i="23"/>
  <c r="W636" i="23"/>
  <c r="W637" i="23"/>
  <c r="W638" i="23"/>
  <c r="W639" i="23"/>
  <c r="W640" i="23"/>
  <c r="W641" i="23"/>
  <c r="W642" i="23"/>
  <c r="W643" i="23"/>
  <c r="W644" i="23"/>
  <c r="W645" i="23"/>
  <c r="W646" i="23"/>
  <c r="W647" i="23"/>
  <c r="W648" i="23"/>
  <c r="W649" i="23"/>
  <c r="W650" i="23"/>
  <c r="W651" i="23"/>
  <c r="W652" i="23"/>
  <c r="W653" i="23"/>
  <c r="W654" i="23"/>
  <c r="W655" i="23"/>
  <c r="W656" i="23"/>
  <c r="W657" i="23"/>
  <c r="W658" i="23"/>
  <c r="W659" i="23"/>
  <c r="W660" i="23"/>
  <c r="W661" i="23"/>
  <c r="W662" i="23"/>
  <c r="W663" i="23"/>
  <c r="W664" i="23"/>
  <c r="W665" i="23"/>
  <c r="W666" i="23"/>
  <c r="W667" i="23"/>
  <c r="W668" i="23"/>
  <c r="W669" i="23"/>
  <c r="W670" i="23"/>
  <c r="W671" i="23"/>
  <c r="W672" i="23"/>
  <c r="W673" i="23"/>
  <c r="W674" i="23"/>
  <c r="W675" i="23"/>
  <c r="W676" i="23"/>
  <c r="W677" i="23"/>
  <c r="W678" i="23"/>
  <c r="W679" i="23"/>
  <c r="W680" i="23"/>
  <c r="W681" i="23"/>
  <c r="W682" i="23"/>
  <c r="W683" i="23"/>
  <c r="W684" i="23"/>
  <c r="W685" i="23"/>
  <c r="W686" i="23"/>
  <c r="W687" i="23"/>
  <c r="W688" i="23"/>
  <c r="W689" i="23"/>
  <c r="W690" i="23"/>
  <c r="W691" i="23"/>
  <c r="W692" i="23"/>
  <c r="W693" i="23"/>
  <c r="W694" i="23"/>
  <c r="W695" i="23"/>
  <c r="W696" i="23"/>
  <c r="W697" i="23"/>
  <c r="W698" i="23"/>
  <c r="W699" i="23"/>
  <c r="W700" i="23"/>
  <c r="W701" i="23"/>
  <c r="W702" i="23"/>
  <c r="W703" i="23"/>
  <c r="W704" i="23"/>
  <c r="W705" i="23"/>
  <c r="W706" i="23"/>
  <c r="W707" i="23"/>
  <c r="W708" i="23"/>
  <c r="W709" i="23"/>
  <c r="W710" i="23"/>
  <c r="W711" i="23"/>
  <c r="W712" i="23"/>
  <c r="W713" i="23"/>
  <c r="W714" i="23"/>
  <c r="W715" i="23"/>
  <c r="W716" i="23"/>
  <c r="W717" i="23"/>
  <c r="W718" i="23"/>
  <c r="W719" i="23"/>
  <c r="W720" i="23"/>
  <c r="W721" i="23"/>
  <c r="W722" i="23"/>
  <c r="W723" i="23"/>
  <c r="W724" i="23"/>
  <c r="W725" i="23"/>
  <c r="W726" i="23"/>
  <c r="W727" i="23"/>
  <c r="W728" i="23"/>
  <c r="W729" i="23"/>
  <c r="W730" i="23"/>
  <c r="W731" i="23"/>
  <c r="W732" i="23"/>
  <c r="W733" i="23"/>
  <c r="W734" i="23"/>
  <c r="W735" i="23"/>
  <c r="W736" i="23"/>
  <c r="W737" i="23"/>
  <c r="W738" i="23"/>
  <c r="W739" i="23"/>
  <c r="W740" i="23"/>
  <c r="W741" i="23"/>
  <c r="W742" i="23"/>
  <c r="W743" i="23"/>
  <c r="W744" i="23"/>
  <c r="W745" i="23"/>
  <c r="W746" i="23"/>
  <c r="W747" i="23"/>
  <c r="W748" i="23"/>
  <c r="W749" i="23"/>
  <c r="W750" i="23"/>
  <c r="W751" i="23"/>
  <c r="W752" i="23"/>
  <c r="W753" i="23"/>
  <c r="W754" i="23"/>
  <c r="W755" i="23"/>
  <c r="W756" i="23"/>
  <c r="W757" i="23"/>
  <c r="W758" i="23"/>
  <c r="W759" i="23"/>
  <c r="W760" i="23"/>
  <c r="W761" i="23"/>
  <c r="W762" i="23"/>
  <c r="W763" i="23"/>
  <c r="W764" i="23"/>
  <c r="W765" i="23"/>
  <c r="W766" i="23"/>
  <c r="W767" i="23"/>
  <c r="W768" i="23"/>
  <c r="W769" i="23"/>
  <c r="W770" i="23"/>
  <c r="W771" i="23"/>
  <c r="W772" i="23"/>
  <c r="W773" i="23"/>
  <c r="W774" i="23"/>
  <c r="W775" i="23"/>
  <c r="W776" i="23"/>
  <c r="W777" i="23"/>
  <c r="W778" i="23"/>
  <c r="W779" i="23"/>
  <c r="W780" i="23"/>
  <c r="W781" i="23"/>
  <c r="W782" i="23"/>
  <c r="W783" i="23"/>
  <c r="W784" i="23"/>
  <c r="W785" i="23"/>
  <c r="W786" i="23"/>
  <c r="W787" i="23"/>
  <c r="W788" i="23"/>
  <c r="W789" i="23"/>
  <c r="W790" i="23"/>
  <c r="W791" i="23"/>
  <c r="W792" i="23"/>
  <c r="W793" i="23"/>
  <c r="W794" i="23"/>
  <c r="W795" i="23"/>
  <c r="W796" i="23"/>
  <c r="W797" i="23"/>
  <c r="W798" i="23"/>
  <c r="W799" i="23"/>
  <c r="W800" i="23"/>
  <c r="W801" i="23"/>
  <c r="W802" i="23"/>
  <c r="W803" i="23"/>
  <c r="W804" i="23"/>
  <c r="W805" i="23"/>
  <c r="W806" i="23"/>
  <c r="W807" i="23"/>
  <c r="W808" i="23"/>
  <c r="W809" i="23"/>
  <c r="W810" i="23"/>
  <c r="W811" i="23"/>
  <c r="W812" i="23"/>
  <c r="W813" i="23"/>
  <c r="W814" i="23"/>
  <c r="W815" i="23"/>
  <c r="W816" i="23"/>
  <c r="W817" i="23"/>
  <c r="W818" i="23"/>
  <c r="W819" i="23"/>
  <c r="W820" i="23"/>
  <c r="W821" i="23"/>
  <c r="W822" i="23"/>
  <c r="W823" i="23"/>
  <c r="W824" i="23"/>
  <c r="W825" i="23"/>
  <c r="W826" i="23"/>
  <c r="W827" i="23"/>
  <c r="W828" i="23"/>
  <c r="W829" i="23"/>
  <c r="W830" i="23"/>
  <c r="W831" i="23"/>
  <c r="W832" i="23"/>
  <c r="W833" i="23"/>
  <c r="W834" i="23"/>
  <c r="W835" i="23"/>
  <c r="W836" i="23"/>
  <c r="W837" i="23"/>
  <c r="W838" i="23"/>
  <c r="W839" i="23"/>
  <c r="W840" i="23"/>
  <c r="W841" i="23"/>
  <c r="W842" i="23"/>
  <c r="W843" i="23"/>
  <c r="W844" i="23"/>
  <c r="W845" i="23"/>
  <c r="W846" i="23"/>
  <c r="W847" i="23"/>
  <c r="W848" i="23"/>
  <c r="W849" i="23"/>
  <c r="W850" i="23"/>
  <c r="W851" i="23"/>
  <c r="W852" i="23"/>
  <c r="W853" i="23"/>
  <c r="W854" i="23"/>
  <c r="W855" i="23"/>
  <c r="W856" i="23"/>
  <c r="W857" i="23"/>
  <c r="W858" i="23"/>
  <c r="W859" i="23"/>
  <c r="W860" i="23"/>
  <c r="W861" i="23"/>
  <c r="W862" i="23"/>
  <c r="W863" i="23"/>
  <c r="W864" i="23"/>
  <c r="W865" i="23"/>
  <c r="W866" i="23"/>
  <c r="W867" i="23"/>
  <c r="W868" i="23"/>
  <c r="W869" i="23"/>
  <c r="W870" i="23"/>
  <c r="W871" i="23"/>
  <c r="W872" i="23"/>
  <c r="W873" i="23"/>
  <c r="W874" i="23"/>
  <c r="W875" i="23"/>
  <c r="W876" i="23"/>
  <c r="W877" i="23"/>
  <c r="W878" i="23"/>
  <c r="W879" i="23"/>
  <c r="W880" i="23"/>
  <c r="W881" i="23"/>
  <c r="W882" i="23"/>
  <c r="W883" i="23"/>
  <c r="W884" i="23"/>
  <c r="W885" i="23"/>
  <c r="W886" i="23"/>
  <c r="W887" i="23"/>
  <c r="W888" i="23"/>
  <c r="W889" i="23"/>
  <c r="W890" i="23"/>
  <c r="W891" i="23"/>
  <c r="W892" i="23"/>
  <c r="W893" i="23"/>
  <c r="W894" i="23"/>
  <c r="W895" i="23"/>
  <c r="W896" i="23"/>
  <c r="W897" i="23"/>
  <c r="W898" i="23"/>
  <c r="W899" i="23"/>
  <c r="W900" i="23"/>
  <c r="W901" i="23"/>
  <c r="W902" i="23"/>
  <c r="W903" i="23"/>
  <c r="W904" i="23"/>
  <c r="W905" i="23"/>
  <c r="W906" i="23"/>
  <c r="W907" i="23"/>
  <c r="W908" i="23"/>
  <c r="W909" i="23"/>
  <c r="W910" i="23"/>
  <c r="W911" i="23"/>
  <c r="W912" i="23"/>
  <c r="W913" i="23"/>
  <c r="W914" i="23"/>
  <c r="W915" i="23"/>
  <c r="W916" i="23"/>
  <c r="W917" i="23"/>
  <c r="W918" i="23"/>
  <c r="W919" i="23"/>
  <c r="W920" i="23"/>
  <c r="W921" i="23"/>
  <c r="W922" i="23"/>
  <c r="W923" i="23"/>
  <c r="W924" i="23"/>
  <c r="W925" i="23"/>
  <c r="W926" i="23"/>
  <c r="W927" i="23"/>
  <c r="W928" i="23"/>
  <c r="W929" i="23"/>
  <c r="W930" i="23"/>
  <c r="W931" i="23"/>
  <c r="W932" i="23"/>
  <c r="W933" i="23"/>
  <c r="W934" i="23"/>
  <c r="W935" i="23"/>
  <c r="W936" i="23"/>
  <c r="W937" i="23"/>
  <c r="W938" i="23"/>
  <c r="W939" i="23"/>
  <c r="W940" i="23"/>
  <c r="W941" i="23"/>
  <c r="W942" i="23"/>
  <c r="W943" i="23"/>
  <c r="W944" i="23"/>
  <c r="W945" i="23"/>
  <c r="W946" i="23"/>
  <c r="W947" i="23"/>
  <c r="W948" i="23"/>
  <c r="W949" i="23"/>
  <c r="W950" i="23"/>
  <c r="W951" i="23"/>
  <c r="W952" i="23"/>
  <c r="W953" i="23"/>
  <c r="W954" i="23"/>
  <c r="W955" i="23"/>
  <c r="W956" i="23"/>
  <c r="W957" i="23"/>
  <c r="W958" i="23"/>
  <c r="W959" i="23"/>
  <c r="W960" i="23"/>
  <c r="W961" i="23"/>
  <c r="W962" i="23"/>
  <c r="W963" i="23"/>
  <c r="W964" i="23"/>
  <c r="W965" i="23"/>
  <c r="W966" i="23"/>
  <c r="W967" i="23"/>
  <c r="W968" i="23"/>
  <c r="W969" i="23"/>
  <c r="W970" i="23"/>
  <c r="W971" i="23"/>
  <c r="W972" i="23"/>
  <c r="W973" i="23"/>
  <c r="W974" i="23"/>
  <c r="W975" i="23"/>
  <c r="W976" i="23"/>
  <c r="W977" i="23"/>
  <c r="W978" i="23"/>
  <c r="W979" i="23"/>
  <c r="W980" i="23"/>
  <c r="W981" i="23"/>
  <c r="W982" i="23"/>
  <c r="W983" i="23"/>
  <c r="W984" i="23"/>
  <c r="W985" i="23"/>
  <c r="W986" i="23"/>
  <c r="W987" i="23"/>
  <c r="W988" i="23"/>
  <c r="W989" i="23"/>
  <c r="W990" i="23"/>
  <c r="W991" i="23"/>
  <c r="W992" i="23"/>
  <c r="W993" i="23"/>
  <c r="W994" i="23"/>
  <c r="W995" i="23"/>
  <c r="W996" i="23"/>
  <c r="W997" i="23"/>
  <c r="W998" i="23"/>
  <c r="W999" i="23"/>
  <c r="W1000" i="23"/>
  <c r="W1001" i="23"/>
  <c r="W1002" i="23"/>
  <c r="W1003" i="23"/>
  <c r="W1004" i="23"/>
  <c r="W1005" i="23"/>
  <c r="W1006" i="23"/>
  <c r="W1007" i="23"/>
  <c r="W1008" i="23"/>
  <c r="W1009" i="23"/>
  <c r="W1010" i="23"/>
  <c r="W1011" i="23"/>
  <c r="W1012" i="23"/>
  <c r="W1013" i="23"/>
  <c r="W1014" i="23"/>
  <c r="W1015" i="23"/>
  <c r="W1016" i="23"/>
  <c r="W1017" i="23"/>
  <c r="W1018" i="23"/>
  <c r="W1019" i="23"/>
  <c r="W1020" i="23"/>
  <c r="W1021" i="23"/>
  <c r="W1022" i="23"/>
  <c r="W1023" i="23"/>
  <c r="W1024" i="23"/>
  <c r="W1025" i="23"/>
  <c r="W1026" i="23"/>
  <c r="W1027" i="23"/>
  <c r="W1028" i="23"/>
  <c r="W1029" i="23"/>
  <c r="W1030" i="23"/>
  <c r="W1031" i="23"/>
  <c r="W1032" i="23"/>
  <c r="W1033" i="23"/>
  <c r="W1034" i="23"/>
  <c r="W1035" i="23"/>
  <c r="W1036" i="23"/>
  <c r="W1037" i="23"/>
  <c r="W1038" i="23"/>
  <c r="W1039" i="23"/>
  <c r="W1040" i="23"/>
  <c r="W1041" i="23"/>
  <c r="W1042" i="23"/>
  <c r="W1043" i="23"/>
  <c r="W1044" i="23"/>
  <c r="W1045" i="23"/>
  <c r="W1046" i="23"/>
  <c r="W1047" i="23"/>
  <c r="W1048" i="23"/>
  <c r="W1049" i="23"/>
  <c r="W1050" i="23"/>
  <c r="W1051" i="23"/>
  <c r="W1052" i="23"/>
  <c r="W1053" i="23"/>
  <c r="W1054" i="23"/>
  <c r="W1055" i="23"/>
  <c r="W1056" i="23"/>
  <c r="W1057" i="23"/>
  <c r="W1058" i="23"/>
  <c r="W1059" i="23"/>
  <c r="W1060" i="23"/>
  <c r="W1061" i="23"/>
  <c r="W1062" i="23"/>
  <c r="W1063" i="23"/>
  <c r="W1064" i="23"/>
  <c r="W1065" i="23"/>
  <c r="W1066" i="23"/>
  <c r="W1067" i="23"/>
  <c r="W1068" i="23"/>
  <c r="W1069" i="23"/>
  <c r="W1070" i="23"/>
  <c r="W1071" i="23"/>
  <c r="W1072" i="23"/>
  <c r="W1073" i="23"/>
  <c r="W1074" i="23"/>
  <c r="W1075" i="23"/>
  <c r="W1076" i="23"/>
  <c r="I1076" i="23"/>
  <c r="H1076" i="23"/>
  <c r="I1075" i="23"/>
  <c r="H1075" i="23"/>
  <c r="I1074" i="23"/>
  <c r="H1074" i="23"/>
  <c r="I1073" i="23"/>
  <c r="H1073" i="23"/>
  <c r="I1072" i="23"/>
  <c r="H1072" i="23"/>
  <c r="I1071" i="23"/>
  <c r="H1071" i="23"/>
  <c r="I1070" i="23"/>
  <c r="H1070" i="23"/>
  <c r="I1069" i="23"/>
  <c r="H1069" i="23"/>
  <c r="A1069" i="23"/>
  <c r="A1070" i="23" s="1"/>
  <c r="A1071" i="23" s="1"/>
  <c r="A1072" i="23" s="1"/>
  <c r="A1073" i="23" s="1"/>
  <c r="A1074" i="23" s="1"/>
  <c r="A1075" i="23" s="1"/>
  <c r="A1076" i="23" s="1"/>
  <c r="AA1065" i="23"/>
  <c r="AA1066" i="23"/>
  <c r="AA1067" i="23"/>
  <c r="AA1068" i="23"/>
  <c r="I1068" i="23"/>
  <c r="H1068" i="23"/>
  <c r="I1067" i="23"/>
  <c r="H1067" i="23"/>
  <c r="I1066" i="23"/>
  <c r="H1066" i="23"/>
  <c r="I1065" i="23"/>
  <c r="H1065" i="23"/>
  <c r="I1064" i="23"/>
  <c r="H1064" i="23"/>
  <c r="I1063" i="23"/>
  <c r="H1063" i="23"/>
  <c r="I1062" i="23"/>
  <c r="H1062" i="23"/>
  <c r="I1061" i="23"/>
  <c r="H1061" i="23"/>
  <c r="I1060" i="23"/>
  <c r="H1060" i="23"/>
  <c r="I1059" i="23"/>
  <c r="H1059" i="23"/>
  <c r="I1058" i="23"/>
  <c r="H1058" i="23"/>
  <c r="I1057" i="23"/>
  <c r="H1057" i="23"/>
  <c r="I1056" i="23"/>
  <c r="H1056" i="23"/>
  <c r="I1055" i="23"/>
  <c r="H1055" i="23"/>
  <c r="I1054" i="23"/>
  <c r="H1054" i="23"/>
  <c r="I1053" i="23"/>
  <c r="H1053" i="23"/>
  <c r="I1052" i="23"/>
  <c r="H1052" i="23"/>
  <c r="A63" i="24"/>
  <c r="B63" i="24"/>
  <c r="C63" i="24"/>
  <c r="E63" i="24"/>
  <c r="J63" i="24"/>
  <c r="O63" i="24"/>
  <c r="P63" i="24"/>
  <c r="Q63" i="24"/>
  <c r="A62" i="24"/>
  <c r="A60" i="24"/>
  <c r="A61" i="24" s="1"/>
  <c r="B62" i="24"/>
  <c r="C62" i="24"/>
  <c r="E62" i="24"/>
  <c r="J62" i="24"/>
  <c r="O62" i="24"/>
  <c r="P62" i="24"/>
  <c r="Q62" i="24"/>
  <c r="I1051" i="23"/>
  <c r="H1051" i="23"/>
  <c r="I1050" i="23"/>
  <c r="H1050" i="23"/>
  <c r="I1049" i="23"/>
  <c r="H1049" i="23"/>
  <c r="I1048" i="23"/>
  <c r="H1048" i="23"/>
  <c r="B61" i="24"/>
  <c r="C61" i="24"/>
  <c r="E61" i="24"/>
  <c r="J61" i="24"/>
  <c r="O61" i="24"/>
  <c r="P61" i="24"/>
  <c r="Q61" i="24"/>
  <c r="I1047" i="23"/>
  <c r="H1047" i="23"/>
  <c r="I1046" i="23"/>
  <c r="H1046" i="23"/>
  <c r="I1045" i="23"/>
  <c r="H1045" i="23"/>
  <c r="I1044" i="23"/>
  <c r="H1044" i="23"/>
  <c r="I1043" i="23"/>
  <c r="H1043" i="23"/>
  <c r="I1039" i="23"/>
  <c r="H1039" i="23"/>
  <c r="B60" i="24"/>
  <c r="C60" i="24"/>
  <c r="E60" i="24"/>
  <c r="J60" i="24"/>
  <c r="O60" i="24"/>
  <c r="P60" i="24"/>
  <c r="Q60" i="24"/>
  <c r="I1042" i="23"/>
  <c r="H1042" i="23"/>
  <c r="I1041" i="23"/>
  <c r="H1041" i="23"/>
  <c r="I1040" i="23"/>
  <c r="H1040" i="23"/>
  <c r="I1038" i="23"/>
  <c r="H1038" i="23"/>
  <c r="I1037" i="23"/>
  <c r="H1037" i="23"/>
  <c r="I1036" i="23"/>
  <c r="H1036" i="23"/>
  <c r="I1035" i="23"/>
  <c r="H1035" i="23"/>
  <c r="I1034" i="23"/>
  <c r="H1034" i="23"/>
  <c r="I1033" i="23"/>
  <c r="H1033" i="23"/>
  <c r="I1032" i="23"/>
  <c r="H1032" i="23"/>
  <c r="I1031" i="23"/>
  <c r="H1031" i="23"/>
  <c r="I1030" i="23"/>
  <c r="H1030" i="23"/>
  <c r="I1029" i="23"/>
  <c r="H1029" i="23"/>
  <c r="I1028" i="23"/>
  <c r="H1028" i="23"/>
  <c r="I1027" i="23"/>
  <c r="H1027" i="23"/>
  <c r="I1026" i="23"/>
  <c r="H1026" i="23"/>
  <c r="I1025" i="23"/>
  <c r="H1025" i="23"/>
  <c r="I1024" i="23"/>
  <c r="H1024" i="23"/>
  <c r="I1023" i="23"/>
  <c r="H1023" i="23"/>
  <c r="I1022" i="23"/>
  <c r="H1022" i="23"/>
  <c r="I1021" i="23"/>
  <c r="H1021" i="23"/>
  <c r="I1020" i="23"/>
  <c r="H1020" i="23"/>
  <c r="I1019" i="23"/>
  <c r="H1019" i="23"/>
  <c r="I1018" i="23"/>
  <c r="H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I1017" i="23"/>
  <c r="H1017" i="23"/>
  <c r="I1016" i="23"/>
  <c r="H1016" i="23"/>
  <c r="I1015" i="23"/>
  <c r="H1015" i="23"/>
  <c r="I1014" i="23"/>
  <c r="H1014" i="23"/>
  <c r="I1013" i="23"/>
  <c r="H1013" i="23"/>
  <c r="I1012" i="23"/>
  <c r="H1012" i="23"/>
  <c r="I1011" i="23"/>
  <c r="H1011" i="23"/>
  <c r="A175" i="14"/>
  <c r="A176" i="14"/>
  <c r="A177" i="14"/>
  <c r="A178" i="14"/>
  <c r="A179" i="14"/>
  <c r="B58" i="24"/>
  <c r="C58" i="24"/>
  <c r="E58" i="24"/>
  <c r="J58" i="24"/>
  <c r="O58" i="24"/>
  <c r="P58" i="24"/>
  <c r="Q58" i="24"/>
  <c r="I1010" i="23"/>
  <c r="H1010" i="23"/>
  <c r="I1009" i="23"/>
  <c r="H1009" i="23"/>
  <c r="I1008" i="23"/>
  <c r="H1008" i="23"/>
  <c r="I1007" i="23"/>
  <c r="H1007" i="23"/>
  <c r="I1006" i="23"/>
  <c r="H1006" i="23"/>
  <c r="I1005" i="23"/>
  <c r="H1005" i="23"/>
  <c r="A174" i="14"/>
  <c r="A172" i="14"/>
  <c r="A173" i="14" s="1"/>
  <c r="A158" i="14"/>
  <c r="A159" i="14" s="1"/>
  <c r="A160" i="14" s="1"/>
  <c r="A161" i="14" s="1"/>
  <c r="A162" i="14" s="1"/>
  <c r="A163" i="14" s="1"/>
  <c r="A164" i="14" s="1"/>
  <c r="A165" i="14" s="1"/>
  <c r="A166" i="14" s="1"/>
  <c r="A167" i="14" s="1"/>
  <c r="A168" i="14" s="1"/>
  <c r="A169" i="14" s="1"/>
  <c r="A170" i="14" s="1"/>
  <c r="A171" i="14" s="1"/>
  <c r="I1004" i="23"/>
  <c r="H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I992" i="23"/>
  <c r="H992" i="23"/>
  <c r="I991" i="23"/>
  <c r="H991" i="23"/>
  <c r="A153" i="14"/>
  <c r="A154" i="14"/>
  <c r="A155" i="14"/>
  <c r="A156" i="14"/>
  <c r="A157" i="14"/>
  <c r="B56" i="24"/>
  <c r="C56" i="24"/>
  <c r="E56" i="24"/>
  <c r="J56" i="24"/>
  <c r="O56" i="24"/>
  <c r="P56" i="24"/>
  <c r="Q56" i="24"/>
  <c r="I985" i="23"/>
  <c r="I986" i="23"/>
  <c r="I987" i="23"/>
  <c r="I988" i="23"/>
  <c r="I989" i="23"/>
  <c r="I990" i="23"/>
  <c r="H985" i="23"/>
  <c r="H986" i="23"/>
  <c r="H987" i="23"/>
  <c r="H988" i="23"/>
  <c r="H989" i="23"/>
  <c r="H990" i="23"/>
  <c r="I980" i="23"/>
  <c r="I981" i="23"/>
  <c r="I982" i="23"/>
  <c r="I983" i="23"/>
  <c r="I984" i="23"/>
  <c r="H980" i="23"/>
  <c r="H981" i="23"/>
  <c r="H982" i="23"/>
  <c r="H983" i="23"/>
  <c r="H984" i="23"/>
  <c r="I979" i="23"/>
  <c r="H979" i="23"/>
  <c r="I978" i="23"/>
  <c r="H978" i="23"/>
  <c r="I977" i="23"/>
  <c r="H977" i="23"/>
  <c r="I976" i="23"/>
  <c r="H976" i="23"/>
  <c r="I975" i="23"/>
  <c r="H975" i="23"/>
  <c r="I974" i="23"/>
  <c r="H974" i="23"/>
  <c r="I973" i="23"/>
  <c r="H973" i="23"/>
  <c r="I972" i="23"/>
  <c r="H972" i="23"/>
  <c r="I971" i="23"/>
  <c r="H971" i="23"/>
  <c r="H970" i="23"/>
  <c r="H969" i="23"/>
  <c r="H968" i="23"/>
  <c r="I970" i="23"/>
  <c r="I969" i="23"/>
  <c r="I968" i="23"/>
  <c r="I967" i="23"/>
  <c r="H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I966" i="23"/>
  <c r="H966" i="23"/>
  <c r="I965" i="23"/>
  <c r="H965" i="23"/>
  <c r="I964" i="23"/>
  <c r="H964" i="23"/>
  <c r="I961" i="23"/>
  <c r="I962" i="23"/>
  <c r="I963" i="23"/>
  <c r="H963" i="23"/>
  <c r="H962" i="23"/>
  <c r="H961" i="23"/>
  <c r="B2" i="12"/>
  <c r="CX109" i="1"/>
  <c r="I960" i="23"/>
  <c r="H960" i="23"/>
  <c r="I959" i="23"/>
  <c r="H959" i="23"/>
  <c r="I958" i="23"/>
  <c r="H958" i="23"/>
  <c r="I957" i="23"/>
  <c r="H957" i="23"/>
  <c r="I956" i="23"/>
  <c r="H956" i="23"/>
  <c r="I955" i="23"/>
  <c r="H955" i="23"/>
  <c r="I954" i="23"/>
  <c r="H954" i="23"/>
  <c r="I953" i="23"/>
  <c r="H953" i="23"/>
  <c r="I952" i="23"/>
  <c r="H952" i="23"/>
  <c r="I951" i="23"/>
  <c r="H951" i="23"/>
  <c r="H946" i="23"/>
  <c r="I946" i="23"/>
  <c r="H947" i="23"/>
  <c r="I947" i="23"/>
  <c r="H948" i="23"/>
  <c r="I948" i="23"/>
  <c r="H949" i="23"/>
  <c r="I949" i="23"/>
  <c r="H950" i="23"/>
  <c r="I950" i="23"/>
  <c r="I942" i="23"/>
  <c r="I943" i="23"/>
  <c r="I944" i="23"/>
  <c r="I945" i="23"/>
  <c r="H943" i="23"/>
  <c r="H944" i="23"/>
  <c r="H945" i="23"/>
  <c r="B55" i="24"/>
  <c r="C55" i="24"/>
  <c r="E55" i="24"/>
  <c r="J55" i="24"/>
  <c r="O55" i="24"/>
  <c r="P55" i="24"/>
  <c r="Q55" i="24"/>
  <c r="H942" i="23"/>
  <c r="H941" i="23"/>
  <c r="I941" i="23"/>
  <c r="B54" i="24"/>
  <c r="C54" i="24"/>
  <c r="E54" i="24"/>
  <c r="J54" i="24"/>
  <c r="O54" i="24"/>
  <c r="P54" i="24"/>
  <c r="Q54" i="24"/>
  <c r="I940" i="23"/>
  <c r="H940" i="23"/>
  <c r="I939" i="23"/>
  <c r="H939" i="23"/>
  <c r="I938" i="23"/>
  <c r="H938" i="23"/>
  <c r="I937" i="23"/>
  <c r="H937" i="23"/>
  <c r="I936" i="23"/>
  <c r="H936" i="23"/>
  <c r="H935" i="23"/>
  <c r="I935" i="23"/>
  <c r="I934" i="23"/>
  <c r="H934" i="23"/>
  <c r="I933" i="23"/>
  <c r="H933" i="23"/>
  <c r="I932" i="23"/>
  <c r="H932" i="23"/>
  <c r="CR103" i="1"/>
  <c r="CR104" i="1"/>
  <c r="CR105" i="1"/>
  <c r="CR106" i="1"/>
  <c r="CR107" i="1"/>
  <c r="CR108" i="1"/>
  <c r="B53" i="24"/>
  <c r="C53" i="24"/>
  <c r="E53" i="24"/>
  <c r="J53" i="24"/>
  <c r="O53" i="24"/>
  <c r="P53" i="24"/>
  <c r="Q53" i="24"/>
  <c r="B52" i="24"/>
  <c r="C52" i="24"/>
  <c r="E52" i="24"/>
  <c r="J52" i="24"/>
  <c r="O52" i="24"/>
  <c r="P52" i="24"/>
  <c r="Q52" i="24"/>
  <c r="I931" i="23"/>
  <c r="H931" i="23"/>
  <c r="I930" i="23"/>
  <c r="H930" i="23"/>
  <c r="I929" i="23"/>
  <c r="H929" i="23"/>
  <c r="I928" i="23"/>
  <c r="H928" i="23"/>
  <c r="I927" i="23"/>
  <c r="H927" i="23"/>
  <c r="CR102" i="1"/>
  <c r="I926" i="23"/>
  <c r="H926" i="23"/>
  <c r="I925" i="23"/>
  <c r="H925" i="23"/>
  <c r="I924" i="23"/>
  <c r="H924" i="23"/>
  <c r="I923" i="23"/>
  <c r="H923" i="23"/>
  <c r="I922" i="23"/>
  <c r="H922" i="23"/>
  <c r="I921" i="23"/>
  <c r="H921" i="23"/>
  <c r="I920" i="23"/>
  <c r="H920" i="23"/>
  <c r="I919" i="23"/>
  <c r="H919" i="23"/>
  <c r="I918" i="23"/>
  <c r="H918" i="23"/>
  <c r="I917" i="23"/>
  <c r="H917" i="23"/>
  <c r="I916" i="23"/>
  <c r="H916" i="23"/>
  <c r="I915" i="23"/>
  <c r="H915" i="23"/>
  <c r="CF100" i="1"/>
  <c r="CG100" i="1"/>
  <c r="I914" i="23"/>
  <c r="H914" i="23"/>
  <c r="I913" i="23"/>
  <c r="H913" i="23"/>
  <c r="I912" i="23"/>
  <c r="H912" i="23"/>
  <c r="I911" i="23"/>
  <c r="H911" i="23"/>
  <c r="H910" i="23"/>
  <c r="I910" i="23"/>
  <c r="I909" i="23"/>
  <c r="H909" i="23"/>
  <c r="I908" i="23"/>
  <c r="H908" i="23"/>
  <c r="I907" i="23"/>
  <c r="H907" i="23"/>
  <c r="I906" i="23"/>
  <c r="H906" i="23"/>
  <c r="I905" i="23"/>
  <c r="H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H903" i="23"/>
  <c r="I903" i="23"/>
  <c r="H904" i="23"/>
  <c r="I904" i="23"/>
  <c r="I902" i="23"/>
  <c r="H902" i="23"/>
  <c r="I901" i="23"/>
  <c r="H901" i="23"/>
  <c r="I900" i="23"/>
  <c r="H900" i="23"/>
  <c r="H899" i="23"/>
  <c r="I899" i="23"/>
  <c r="H898" i="23"/>
  <c r="I898" i="23"/>
  <c r="H897" i="23"/>
  <c r="I897" i="23"/>
  <c r="H895" i="23"/>
  <c r="I895" i="23"/>
  <c r="H896" i="23"/>
  <c r="I896" i="23"/>
  <c r="I894" i="23"/>
  <c r="H894" i="23"/>
  <c r="I893" i="23"/>
  <c r="H893" i="23"/>
  <c r="I892" i="23"/>
  <c r="H892" i="23"/>
  <c r="H891" i="23"/>
  <c r="I891" i="23"/>
  <c r="H890" i="23"/>
  <c r="I890" i="23"/>
  <c r="H889" i="23"/>
  <c r="I889" i="23"/>
  <c r="H887" i="23"/>
  <c r="H888" i="23"/>
  <c r="H884" i="23"/>
  <c r="I884" i="23"/>
  <c r="H885" i="23"/>
  <c r="I885" i="23"/>
  <c r="H886" i="23"/>
  <c r="I886" i="23"/>
  <c r="I887" i="23"/>
  <c r="I888" i="23"/>
  <c r="H883" i="23"/>
  <c r="I883" i="23"/>
  <c r="H882" i="23"/>
  <c r="I882" i="23"/>
  <c r="H879" i="23"/>
  <c r="I879" i="23"/>
  <c r="H880" i="23"/>
  <c r="I880" i="23"/>
  <c r="H881" i="23"/>
  <c r="I881" i="23"/>
  <c r="H878" i="23"/>
  <c r="I878" i="23"/>
  <c r="H876" i="23"/>
  <c r="I876" i="23"/>
  <c r="H877" i="23"/>
  <c r="I877" i="23"/>
  <c r="H875" i="23"/>
  <c r="I875" i="23"/>
  <c r="H873" i="23"/>
  <c r="H874" i="23"/>
  <c r="I874" i="23"/>
  <c r="I873" i="23"/>
  <c r="I872" i="23"/>
  <c r="H872" i="23"/>
  <c r="I871" i="23"/>
  <c r="H871" i="23"/>
  <c r="I870" i="23"/>
  <c r="H870" i="23"/>
  <c r="B51" i="24"/>
  <c r="C51" i="24"/>
  <c r="E51" i="24"/>
  <c r="J51" i="24"/>
  <c r="O51" i="24"/>
  <c r="P51" i="24"/>
  <c r="Q51" i="24"/>
  <c r="B50" i="24"/>
  <c r="C50" i="24"/>
  <c r="E50" i="24"/>
  <c r="J50" i="24"/>
  <c r="O50" i="24"/>
  <c r="P50" i="24"/>
  <c r="Q50" i="24"/>
  <c r="H867" i="23"/>
  <c r="I867" i="23"/>
  <c r="H868" i="23"/>
  <c r="I868" i="23"/>
  <c r="H869" i="23"/>
  <c r="I869" i="23"/>
  <c r="I866" i="23"/>
  <c r="H866" i="23"/>
  <c r="I865" i="23"/>
  <c r="H865" i="23"/>
  <c r="I864" i="23"/>
  <c r="H864" i="23"/>
  <c r="I863" i="23"/>
  <c r="H863" i="23"/>
  <c r="I862" i="23"/>
  <c r="H862" i="23"/>
  <c r="I861" i="23"/>
  <c r="H861" i="23"/>
  <c r="I860" i="23"/>
  <c r="H860" i="23"/>
  <c r="I859" i="23"/>
  <c r="H859" i="23"/>
  <c r="H849" i="23"/>
  <c r="I849" i="23"/>
  <c r="H850" i="23"/>
  <c r="I850" i="23"/>
  <c r="H851" i="23"/>
  <c r="I851" i="23"/>
  <c r="H852" i="23"/>
  <c r="I852" i="23"/>
  <c r="H853" i="23"/>
  <c r="I853" i="23"/>
  <c r="H854" i="23"/>
  <c r="I854" i="23"/>
  <c r="H855" i="23"/>
  <c r="I855" i="23"/>
  <c r="H856" i="23"/>
  <c r="I856" i="23"/>
  <c r="H857" i="23"/>
  <c r="I857" i="23"/>
  <c r="H858" i="23"/>
  <c r="I858" i="23"/>
  <c r="CG91" i="1"/>
  <c r="CF91" i="1"/>
  <c r="T65" i="24" l="1"/>
  <c r="T64" i="24"/>
  <c r="AA1040" i="23"/>
  <c r="AA1064" i="23"/>
  <c r="AA1062" i="23"/>
  <c r="AA1058" i="23"/>
  <c r="AA1060" i="23"/>
  <c r="AA1061" i="23"/>
  <c r="AA1027" i="23"/>
  <c r="AA1052" i="23"/>
  <c r="AA1057" i="23"/>
  <c r="AA1026" i="23"/>
  <c r="AA1047" i="23"/>
  <c r="AA1048" i="23"/>
  <c r="AA1049" i="23"/>
  <c r="AA1050" i="23"/>
  <c r="AA1051" i="23"/>
  <c r="T63" i="24"/>
  <c r="T62" i="24"/>
  <c r="AA1043" i="23"/>
  <c r="AA1039" i="23"/>
  <c r="AA994" i="23"/>
  <c r="AA993" i="23"/>
  <c r="T61" i="24"/>
  <c r="AA1038" i="23"/>
  <c r="AA1041" i="23"/>
  <c r="T60" i="24"/>
  <c r="AA1031" i="23"/>
  <c r="AA1034" i="23"/>
  <c r="AA1037" i="23"/>
  <c r="AA1033" i="23"/>
  <c r="AA1032" i="23"/>
  <c r="AA1028" i="23"/>
  <c r="AA1029" i="23"/>
  <c r="AA1030" i="23"/>
  <c r="AA1023" i="23"/>
  <c r="AA1024" i="23"/>
  <c r="AA1025" i="23"/>
  <c r="AA1018" i="23"/>
  <c r="AA1019" i="23"/>
  <c r="AA1020" i="23"/>
  <c r="T59" i="24"/>
  <c r="AA1017" i="23"/>
  <c r="AA1012" i="23"/>
  <c r="AA1011" i="23"/>
  <c r="AA1013" i="23"/>
  <c r="T56" i="24"/>
  <c r="T57" i="24"/>
  <c r="AA1007" i="23"/>
  <c r="AA1006" i="23"/>
  <c r="AA1008" i="23"/>
  <c r="AA1009" i="23"/>
  <c r="AA1010" i="23"/>
  <c r="AA1004" i="23"/>
  <c r="AA1003" i="23"/>
  <c r="AA1002" i="23"/>
  <c r="AA1001" i="23"/>
  <c r="AA1000" i="23"/>
  <c r="AA999" i="23"/>
  <c r="AA998" i="23"/>
  <c r="AA997" i="23"/>
  <c r="AA996" i="23"/>
  <c r="AA995" i="23"/>
  <c r="T58" i="24"/>
  <c r="AA980" i="23"/>
  <c r="AA981" i="23"/>
  <c r="AA982" i="23"/>
  <c r="AA984" i="23"/>
  <c r="AA1005" i="23"/>
  <c r="AA992" i="23"/>
  <c r="AA991" i="23"/>
  <c r="AA988" i="23"/>
  <c r="AA990" i="23"/>
  <c r="AA963" i="23"/>
  <c r="AA965" i="23"/>
  <c r="AA987" i="23"/>
  <c r="AA961" i="23"/>
  <c r="AA962" i="23"/>
  <c r="AA978" i="23"/>
  <c r="AA983" i="23"/>
  <c r="AA974" i="23"/>
  <c r="AA979" i="23"/>
  <c r="AA975" i="23"/>
  <c r="AA976" i="23"/>
  <c r="AA977" i="23"/>
  <c r="AA973" i="23"/>
  <c r="AA972" i="23"/>
  <c r="AA971" i="23"/>
  <c r="AA964" i="23"/>
  <c r="AA928" i="23"/>
  <c r="AA960" i="23"/>
  <c r="AA959" i="23"/>
  <c r="AA927" i="23"/>
  <c r="AA945" i="23"/>
  <c r="AA943" i="23"/>
  <c r="AA938" i="23"/>
  <c r="AA900" i="23"/>
  <c r="AA902" i="23"/>
  <c r="AA903" i="23"/>
  <c r="AA904" i="23"/>
  <c r="AA939" i="23"/>
  <c r="AA955" i="23"/>
  <c r="AA954" i="23"/>
  <c r="AA937" i="23"/>
  <c r="AA949" i="23"/>
  <c r="AA948" i="23"/>
  <c r="AA942" i="23"/>
  <c r="T55" i="24"/>
  <c r="AA925" i="23"/>
  <c r="AA893" i="23"/>
  <c r="AA894" i="23"/>
  <c r="AA896" i="23"/>
  <c r="AA941" i="23"/>
  <c r="AA940" i="23"/>
  <c r="AA913" i="23"/>
  <c r="AA912" i="23"/>
  <c r="AA911" i="23"/>
  <c r="T54" i="24"/>
  <c r="AA866" i="23"/>
  <c r="AA936" i="23"/>
  <c r="AA935" i="23"/>
  <c r="AA924" i="23"/>
  <c r="AA923" i="23"/>
  <c r="AA920" i="23"/>
  <c r="AA919" i="23"/>
  <c r="AA931" i="23"/>
  <c r="T53" i="24"/>
  <c r="T52" i="24"/>
  <c r="AA907" i="23"/>
  <c r="AA906" i="23"/>
  <c r="AA905" i="23"/>
  <c r="AA908" i="23"/>
  <c r="AA867" i="23"/>
  <c r="AA922" i="23"/>
  <c r="AA926" i="23"/>
  <c r="AA917" i="23"/>
  <c r="AA916" i="23"/>
  <c r="AA915" i="23"/>
  <c r="AA918" i="23"/>
  <c r="AA898" i="23"/>
  <c r="AA914" i="23"/>
  <c r="AA910" i="23"/>
  <c r="AA909" i="23"/>
  <c r="AA892" i="23"/>
  <c r="AA901" i="23"/>
  <c r="AA881" i="23"/>
  <c r="AA889" i="23"/>
  <c r="AA885" i="23"/>
  <c r="AA886" i="23"/>
  <c r="AA888" i="23"/>
  <c r="AA899" i="23"/>
  <c r="AA895" i="23"/>
  <c r="AA890" i="23"/>
  <c r="AA887" i="23"/>
  <c r="AA884" i="23"/>
  <c r="AA849" i="23"/>
  <c r="AA850" i="23"/>
  <c r="AA851" i="23"/>
  <c r="AA852" i="23"/>
  <c r="AA853" i="23"/>
  <c r="AA854" i="23"/>
  <c r="AA855" i="23"/>
  <c r="AA856" i="23"/>
  <c r="AA857" i="23"/>
  <c r="AA858" i="23"/>
  <c r="AA859" i="23"/>
  <c r="AA860" i="23"/>
  <c r="AA861" i="23"/>
  <c r="AA862" i="23"/>
  <c r="AA863" i="23"/>
  <c r="AA883" i="23"/>
  <c r="AA879" i="23"/>
  <c r="AA880" i="23"/>
  <c r="AA882" i="23"/>
  <c r="AA878" i="23"/>
  <c r="AA865" i="23"/>
  <c r="AA877" i="23"/>
  <c r="AA875" i="23"/>
  <c r="AA876" i="23"/>
  <c r="AA870" i="23"/>
  <c r="AA871" i="23"/>
  <c r="AA872" i="23"/>
  <c r="AA873" i="23"/>
  <c r="AA874" i="23"/>
  <c r="AA868" i="23"/>
  <c r="AA869" i="23"/>
  <c r="T50" i="24"/>
  <c r="T51" i="24"/>
  <c r="AA864" i="23"/>
  <c r="AA828" i="23"/>
  <c r="AA829" i="23"/>
  <c r="AA830" i="23"/>
  <c r="AA836" i="23"/>
  <c r="AA837" i="23"/>
  <c r="AA840" i="23"/>
  <c r="AA841" i="23"/>
  <c r="AA842" i="23"/>
  <c r="AA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AA846" i="23"/>
  <c r="AA839" i="23"/>
  <c r="AA835" i="23"/>
  <c r="AA834" i="23"/>
  <c r="AA845" i="23"/>
  <c r="AA833" i="23"/>
  <c r="AA844" i="23"/>
  <c r="AA832" i="23"/>
  <c r="AA843" i="23"/>
  <c r="AA83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AA776" i="23"/>
  <c r="AA782" i="23"/>
  <c r="AA787" i="23"/>
  <c r="AA790" i="23"/>
  <c r="AA792" i="23"/>
  <c r="AA798" i="23"/>
  <c r="AA799" i="23"/>
  <c r="AA800" i="23"/>
  <c r="AA806" i="23"/>
  <c r="AA814" i="23"/>
  <c r="AA815" i="23"/>
  <c r="AA819" i="23"/>
  <c r="AA820" i="23"/>
  <c r="AA82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A816" i="23" l="1"/>
  <c r="AA778" i="23"/>
  <c r="AA779" i="23"/>
  <c r="AA780" i="23"/>
  <c r="AA783" i="23"/>
  <c r="AA785" i="23"/>
  <c r="AA786" i="23"/>
  <c r="AA788" i="23"/>
  <c r="AA791" i="23"/>
  <c r="AA794" i="23"/>
  <c r="AA795" i="23"/>
  <c r="AA797" i="23"/>
  <c r="AA802" i="23"/>
  <c r="AA803" i="23"/>
  <c r="AA804" i="23"/>
  <c r="AA809" i="23"/>
  <c r="AA810" i="23"/>
  <c r="AA811" i="23"/>
  <c r="AA812" i="23"/>
  <c r="AA818" i="23"/>
  <c r="AA821" i="23"/>
  <c r="AA784" i="23"/>
  <c r="AA808" i="23"/>
  <c r="AA807" i="23"/>
  <c r="AA796" i="23"/>
  <c r="U2" i="25"/>
  <c r="AA827" i="23"/>
  <c r="AA826" i="23"/>
  <c r="AA825" i="23"/>
  <c r="AA813" i="23"/>
  <c r="AA801" i="23"/>
  <c r="AA789" i="23"/>
  <c r="AA777" i="23"/>
  <c r="AA824" i="23"/>
  <c r="AA822"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<sst xmlns="http://schemas.openxmlformats.org/spreadsheetml/2006/main" count="13148" uniqueCount="1416">
  <si>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</si>
  <si>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</si>
  <si>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</si>
  <si>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</si>
  <si>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</si>
  <si>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</si>
  <si>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</si>
  <si>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</si>
  <si>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</si>
  <si>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</si>
  <si>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</si>
  <si>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</si>
  <si>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</si>
  <si>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</si>
  <si>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</si>
  <si>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</si>
  <si>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</si>
  <si>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</si>
  <si>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</si>
  <si>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</si>
  <si>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</si>
  <si>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</si>
  <si>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</si>
  <si>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</si>
  <si>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</si>
  <si>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</si>
  <si>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</si>
  <si>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</si>
  <si>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</si>
  <si>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</si>
  <si>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</si>
  <si>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</si>
  <si>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</si>
  <si>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</si>
  <si>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</si>
  <si>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</si>
  <si>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</si>
  <si>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</si>
  <si>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</si>
  <si>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</si>
  <si>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</si>
  <si>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</si>
  <si>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</si>
  <si>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</si>
  <si>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</si>
  <si>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</si>
  <si>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</si>
  <si>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</si>
  <si>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</si>
  <si>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</si>
  <si>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</si>
  <si>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</si>
  <si>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</si>
  <si>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</si>
  <si>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</si>
  <si>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</si>
  <si>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</si>
  <si>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</si>
  <si>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</si>
  <si>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</si>
  <si>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</si>
  <si>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</si>
  <si>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</si>
  <si>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</si>
  <si>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</si>
  <si>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</si>
  <si>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</si>
  <si>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</si>
  <si>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</si>
  <si>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</si>
  <si>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</si>
  <si>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</si>
  <si>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</si>
  <si>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</si>
  <si>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</si>
  <si>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</si>
  <si>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</si>
  <si>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</si>
  <si>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</si>
  <si>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</si>
  <si>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</si>
  <si>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</si>
  <si>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</si>
  <si>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</si>
  <si>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</si>
  <si>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</si>
  <si>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</si>
  <si>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</si>
  <si>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</si>
  <si>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</si>
  <si>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</si>
  <si>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</si>
  <si>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</si>
  <si>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</si>
  <si>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</si>
  <si>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</si>
  <si>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</si>
  <si>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</si>
  <si>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</si>
  <si>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</si>
  <si>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</si>
  <si>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</si>
  <si>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</si>
  <si>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</si>
  <si>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</si>
  <si>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</si>
  <si>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</si>
  <si>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</si>
  <si>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</si>
  <si>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</si>
  <si>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</si>
  <si>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</si>
  <si>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</si>
  <si>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</si>
  <si>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</si>
  <si>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</si>
  <si>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</si>
  <si>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</si>
  <si>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</si>
  <si>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</si>
  <si>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</si>
  <si>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</si>
  <si>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</si>
  <si>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</si>
  <si>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</si>
  <si>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</si>
  <si>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</si>
  <si>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</si>
  <si>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</si>
  <si>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</si>
  <si>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</si>
  <si>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</si>
  <si>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</si>
  <si>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</si>
  <si>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</si>
  <si>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</si>
  <si>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</si>
  <si>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</si>
  <si>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</si>
  <si>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</si>
  <si>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</si>
  <si>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</si>
  <si>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</si>
  <si>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</si>
  <si>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</si>
  <si>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</si>
  <si>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</si>
  <si>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</si>
  <si>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</si>
  <si>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</si>
  <si>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</si>
  <si>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</si>
  <si>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</si>
  <si>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</si>
  <si>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</si>
  <si>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</si>
  <si>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</si>
  <si>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</si>
  <si>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</si>
  <si>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</si>
  <si>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</si>
  <si>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</si>
  <si>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</si>
  <si>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</si>
  <si>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</si>
  <si>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</si>
  <si>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</si>
  <si>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</si>
  <si>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</si>
  <si>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</si>
  <si>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</si>
  <si>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</si>
  <si>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</si>
  <si>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</si>
  <si>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</si>
  <si>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</si>
  <si>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</si>
  <si>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</si>
  <si>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</si>
  <si>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</si>
  <si>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</si>
  <si>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</si>
  <si>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</si>
  <si>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</si>
  <si>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</si>
  <si>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</si>
  <si>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</si>
  <si>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</si>
  <si>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</si>
  <si>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</si>
  <si>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</si>
  <si>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</si>
  <si>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</si>
  <si>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</si>
  <si>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</si>
  <si>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</si>
  <si>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</si>
  <si>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</si>
  <si>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</si>
  <si>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</si>
  <si>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</si>
  <si>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</si>
  <si>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</si>
  <si>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</si>
  <si>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</si>
  <si>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</si>
  <si>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</si>
  <si>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</si>
  <si>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</si>
  <si>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</si>
  <si>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</si>
  <si>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</si>
  <si>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</si>
  <si>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</si>
  <si>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</si>
  <si>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</si>
  <si>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</si>
  <si>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</si>
  <si>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</si>
  <si>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</si>
  <si>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</si>
  <si>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</si>
  <si>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</si>
  <si>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</si>
  <si>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</si>
  <si>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</si>
  <si>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</si>
  <si>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</si>
  <si>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</si>
  <si>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</si>
  <si>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</si>
  <si>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</si>
  <si>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</si>
  <si>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</si>
  <si>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</si>
  <si>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</si>
  <si>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</si>
  <si>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</si>
  <si>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</si>
  <si>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</si>
  <si>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</si>
  <si>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</si>
  <si>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</si>
  <si>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</si>
  <si>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</si>
  <si>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</si>
  <si>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</si>
  <si>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</si>
  <si>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</si>
  <si>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</si>
  <si>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</si>
  <si>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</si>
  <si>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</si>
  <si>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</si>
  <si>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</si>
  <si>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</si>
  <si>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</si>
  <si>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</si>
  <si>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</si>
  <si>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</si>
  <si>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</si>
  <si>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</si>
  <si>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</si>
  <si>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</si>
  <si>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</si>
  <si>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</si>
  <si>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</si>
  <si>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</si>
  <si>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</si>
  <si>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</si>
  <si>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</si>
  <si>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</si>
  <si>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</si>
  <si>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</si>
  <si>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</si>
  <si>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</si>
  <si>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</si>
  <si>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</si>
  <si>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</si>
  <si>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</si>
  <si>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</si>
  <si>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</si>
  <si>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</si>
  <si>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</si>
  <si>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</si>
  <si>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</si>
  <si>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</si>
  <si>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</si>
  <si>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</si>
  <si>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</si>
  <si>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</si>
  <si>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</si>
  <si>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</si>
  <si>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</si>
  <si>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</si>
  <si>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</si>
  <si>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</si>
  <si>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</si>
  <si>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</si>
  <si>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</si>
  <si>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</si>
  <si>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</si>
  <si>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</si>
  <si>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</si>
  <si>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</si>
  <si>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</si>
  <si>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</si>
  <si>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</si>
  <si>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</si>
  <si>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</si>
  <si>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</si>
  <si>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</si>
  <si>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</si>
  <si>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</si>
  <si>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</si>
  <si>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</si>
  <si>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</si>
  <si>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</si>
  <si>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</si>
  <si>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</si>
  <si>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</si>
  <si>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</si>
  <si>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</si>
  <si>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</si>
  <si>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</si>
  <si>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</si>
  <si>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</si>
  <si>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</si>
  <si>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</si>
  <si>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</si>
  <si>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</si>
  <si>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</si>
  <si>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</si>
  <si>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</si>
  <si>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</si>
  <si>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</si>
  <si>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</si>
  <si>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</si>
  <si>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</si>
  <si>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</si>
  <si>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</si>
  <si>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</si>
  <si>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</si>
  <si>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</si>
  <si>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</si>
  <si>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</si>
  <si>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</si>
  <si>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</si>
  <si>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</si>
  <si>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</si>
  <si>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</si>
  <si>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</si>
  <si>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</si>
  <si>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</si>
  <si>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</si>
  <si>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</si>
  <si>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</si>
  <si>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</si>
  <si>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</si>
  <si>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</si>
  <si>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</si>
  <si>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</si>
  <si>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</si>
  <si>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</si>
  <si>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</si>
  <si>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</si>
  <si>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</si>
  <si>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</si>
  <si>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</si>
  <si>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</si>
  <si>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</si>
  <si>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</si>
  <si>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</si>
  <si>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</si>
  <si>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</si>
  <si>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</si>
  <si>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</si>
  <si>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</si>
  <si>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</si>
  <si>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</si>
  <si>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</si>
  <si>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</si>
  <si>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</si>
  <si>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</si>
  <si>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</si>
  <si>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</si>
  <si>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</si>
  <si>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</si>
  <si>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</si>
  <si>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</si>
  <si>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</si>
  <si>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</si>
  <si>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</si>
  <si>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</si>
  <si>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</si>
  <si>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</si>
  <si>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</si>
  <si>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</si>
  <si>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</si>
  <si>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</si>
  <si>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</si>
  <si>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</si>
  <si>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</si>
  <si>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</si>
  <si>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</si>
  <si>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</si>
  <si>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</si>
  <si>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</si>
  <si>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</si>
  <si>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</si>
  <si>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</si>
  <si>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</si>
  <si>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</si>
  <si>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</si>
  <si>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</si>
  <si>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</si>
  <si>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</si>
  <si>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</si>
  <si>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</si>
  <si>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</si>
  <si>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</si>
  <si>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</si>
  <si>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</si>
  <si>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</si>
  <si>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</si>
  <si>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</si>
  <si>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</si>
  <si>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</si>
  <si>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</si>
  <si>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</si>
  <si>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</si>
  <si>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</si>
  <si>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</si>
  <si>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</si>
  <si>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</si>
  <si>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</si>
  <si>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</si>
  <si>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</si>
  <si>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</si>
  <si>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</si>
  <si>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</si>
  <si>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</si>
  <si>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</si>
  <si>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</si>
  <si>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</si>
  <si>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</si>
  <si>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</si>
  <si>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</si>
  <si>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</si>
  <si>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</si>
  <si>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</si>
  <si>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</si>
  <si>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</si>
  <si>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</si>
  <si>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</si>
  <si>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</si>
  <si>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</si>
  <si>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</si>
  <si>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</si>
  <si>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</si>
  <si>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</si>
  <si>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</si>
  <si>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</si>
  <si>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</si>
  <si>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</si>
  <si>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</si>
  <si>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</si>
  <si>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</si>
  <si>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</si>
  <si>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</si>
  <si>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</si>
  <si>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</si>
  <si>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</si>
  <si>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</si>
  <si>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</si>
  <si>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</si>
  <si>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</si>
  <si>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</si>
  <si>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</si>
  <si>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</si>
  <si>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</si>
  <si>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</si>
  <si>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</si>
  <si>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</si>
  <si>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</si>
  <si>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</si>
  <si>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</si>
  <si>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</si>
  <si>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</si>
  <si>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</si>
  <si>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</si>
  <si>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</si>
  <si>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</si>
  <si>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</si>
  <si>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</si>
  <si>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</si>
  <si>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</si>
  <si>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</si>
  <si>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</si>
  <si>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</si>
  <si>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</si>
  <si>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</si>
  <si>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</si>
  <si>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</si>
  <si>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</si>
  <si>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</si>
  <si>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</si>
  <si>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</si>
  <si>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</si>
  <si>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</si>
  <si>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</si>
  <si>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</si>
  <si>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</si>
  <si>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</si>
  <si>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</si>
  <si>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</si>
  <si>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</si>
  <si>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</si>
  <si>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</si>
  <si>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</si>
  <si>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</si>
  <si>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</si>
  <si>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</si>
  <si>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</si>
  <si>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</si>
  <si>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</si>
  <si>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</si>
  <si>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</si>
  <si>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</si>
  <si>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</si>
  <si>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</si>
  <si>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</si>
  <si>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</si>
  <si>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</si>
  <si>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</si>
  <si>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</si>
  <si>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</si>
  <si>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</si>
  <si>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</si>
  <si>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</si>
  <si>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</si>
  <si>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</si>
  <si>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</si>
  <si>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</si>
  <si>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</si>
  <si>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</si>
  <si>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</si>
  <si>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</si>
  <si>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</si>
  <si>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</si>
  <si>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</si>
  <si>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</si>
  <si>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</si>
  <si>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</si>
  <si>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</si>
  <si>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</si>
  <si>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</si>
  <si>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</si>
  <si>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</si>
  <si>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</si>
  <si>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</si>
  <si>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</si>
  <si>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</si>
  <si>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</si>
  <si>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</si>
  <si>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</si>
  <si>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</si>
  <si>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</si>
  <si>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</si>
  <si>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</si>
  <si>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</si>
  <si>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</si>
  <si>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</si>
  <si>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</si>
  <si>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</si>
  <si>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</si>
  <si>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</si>
  <si>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</si>
  <si>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</si>
  <si>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</si>
  <si>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</si>
  <si>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</si>
  <si>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</si>
  <si>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</si>
  <si>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</si>
  <si>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</si>
  <si>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</si>
  <si>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</si>
  <si>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</si>
  <si>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</si>
  <si>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</si>
  <si>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</si>
  <si>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</si>
  <si>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</si>
  <si>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</si>
  <si>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</si>
  <si>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</si>
  <si>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</si>
  <si>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</si>
  <si>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</si>
  <si>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</si>
  <si>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</si>
  <si>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</si>
  <si>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</si>
  <si>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</si>
  <si>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</si>
  <si>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</si>
  <si>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</si>
  <si>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</si>
  <si>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</si>
  <si>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</si>
  <si>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</si>
  <si>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</si>
  <si>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</si>
  <si>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</si>
  <si>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</si>
  <si>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</si>
  <si>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</si>
  <si>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</si>
  <si>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</si>
  <si>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</si>
  <si>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</si>
  <si>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</si>
  <si>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</si>
  <si>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</si>
  <si>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</si>
  <si>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</si>
  <si>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</si>
  <si>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</si>
  <si>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</si>
  <si>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</si>
  <si>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</si>
  <si>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</si>
  <si>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</si>
  <si>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</si>
  <si>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</si>
  <si>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</si>
  <si>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</si>
  <si>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</si>
  <si>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</si>
  <si>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</si>
  <si>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</si>
  <si>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</si>
  <si>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</si>
  <si>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</si>
  <si>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</si>
  <si>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</si>
  <si>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</si>
  <si>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</si>
  <si>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</si>
  <si>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</si>
  <si>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</si>
  <si>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</si>
  <si>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</si>
  <si>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</si>
  <si>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</si>
  <si>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</si>
  <si>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</si>
  <si>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</si>
  <si>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</si>
  <si>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</si>
  <si>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</si>
  <si>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</si>
  <si>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</si>
  <si>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</si>
  <si>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</si>
  <si>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</si>
  <si>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</si>
  <si>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</si>
  <si>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</si>
  <si>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</si>
  <si>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</si>
  <si>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</si>
  <si>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</si>
  <si>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</si>
  <si>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</si>
  <si>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</si>
  <si>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</si>
  <si>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</si>
  <si>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</si>
  <si>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</si>
  <si>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</si>
  <si>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</si>
  <si>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</si>
  <si>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</si>
  <si>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</si>
  <si>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</si>
  <si>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</si>
  <si>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</si>
  <si>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</si>
  <si>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</si>
  <si>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</si>
  <si>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</si>
  <si>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</si>
  <si>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</si>
  <si>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</si>
  <si>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</si>
  <si>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</si>
  <si>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</si>
  <si>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</si>
  <si>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</si>
  <si>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</si>
  <si>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</si>
  <si>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</si>
  <si>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</si>
  <si>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</si>
  <si>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</si>
  <si>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</si>
  <si>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</si>
  <si>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</si>
  <si>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</si>
  <si>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</si>
  <si>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</si>
  <si>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</si>
  <si>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</si>
  <si>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</si>
  <si>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</si>
  <si>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</si>
  <si>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</si>
  <si>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</si>
  <si>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</si>
  <si>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</si>
  <si>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</si>
  <si>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</si>
  <si>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</si>
  <si>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</si>
  <si>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</si>
  <si>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</si>
  <si>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</si>
  <si>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</si>
  <si>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</si>
  <si>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</si>
  <si>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</si>
  <si>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</si>
  <si>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</si>
  <si>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</si>
  <si>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</si>
  <si>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</si>
  <si>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</si>
  <si>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</si>
  <si>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</si>
  <si>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</si>
  <si>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</si>
  <si>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</si>
  <si>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</si>
  <si>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</si>
  <si>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</si>
  <si>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</si>
  <si>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</si>
  <si>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</si>
  <si>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</si>
  <si>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</si>
  <si>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</si>
  <si>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</si>
  <si>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</si>
  <si>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</si>
  <si>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</si>
  <si>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</si>
  <si>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</si>
  <si>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</si>
  <si>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</si>
  <si>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</si>
  <si>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</si>
  <si>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</si>
  <si>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</si>
  <si>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</si>
  <si>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</si>
  <si>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</si>
  <si>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</si>
  <si>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</si>
  <si>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</si>
  <si>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</si>
  <si>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</si>
  <si>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</si>
  <si>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</si>
  <si>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</si>
  <si>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</si>
  <si>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</si>
  <si>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</si>
  <si>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</si>
  <si>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</si>
  <si>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</si>
  <si>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</si>
  <si>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</si>
  <si>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</si>
  <si>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</si>
  <si>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</si>
  <si>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</si>
  <si>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</si>
  <si>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</si>
  <si>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</si>
  <si>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</si>
  <si>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</si>
  <si>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</si>
  <si>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</si>
  <si>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</si>
  <si>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</si>
  <si>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</si>
  <si>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</si>
  <si>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</si>
  <si>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</si>
  <si>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</si>
  <si>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</si>
  <si>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</si>
  <si>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</si>
  <si>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</si>
  <si>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</si>
  <si>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</si>
  <si>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</si>
  <si>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</si>
  <si>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</si>
  <si>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</si>
  <si>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</si>
  <si>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</si>
  <si>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</si>
  <si>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</si>
  <si>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</si>
  <si>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</si>
  <si>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</si>
  <si>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</si>
  <si>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</si>
  <si>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</si>
  <si>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</si>
  <si>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</si>
  <si>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</si>
  <si>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</si>
  <si>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</si>
  <si>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</si>
  <si>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</si>
  <si>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</si>
  <si>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</si>
  <si>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</si>
  <si>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</si>
  <si>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</si>
  <si>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</si>
  <si>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</si>
  <si>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</si>
  <si>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</si>
  <si>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</si>
  <si>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</si>
  <si>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</si>
  <si>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</si>
  <si>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</si>
  <si>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</si>
  <si>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</si>
  <si>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</si>
  <si>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</si>
  <si>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</si>
  <si>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</si>
  <si>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</si>
  <si>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</si>
  <si>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</si>
  <si>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</si>
  <si>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</si>
  <si>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</si>
  <si>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</si>
  <si>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</si>
  <si>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</si>
  <si>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</si>
  <si>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</si>
  <si>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</si>
  <si>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</si>
  <si>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</si>
  <si>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</si>
  <si>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</si>
  <si>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</si>
  <si>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</si>
  <si>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</si>
  <si>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</si>
  <si>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</si>
  <si>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</si>
  <si>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</si>
  <si>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</si>
  <si>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</si>
  <si>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</si>
  <si>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</si>
  <si>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</si>
  <si>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</si>
  <si>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</si>
  <si>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</si>
  <si>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</si>
  <si>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</si>
  <si>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</si>
  <si>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</si>
  <si>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</si>
  <si>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</si>
  <si>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</si>
  <si>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</si>
  <si>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</si>
  <si>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</si>
  <si>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</si>
  <si>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</si>
  <si>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</si>
  <si>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</si>
  <si>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</si>
  <si>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</si>
  <si>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</si>
  <si>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</si>
  <si>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</si>
  <si>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</si>
  <si>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</si>
  <si>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</si>
  <si>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</si>
  <si>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</si>
  <si>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</si>
  <si>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</si>
  <si>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</si>
  <si>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</si>
  <si>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</si>
  <si>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</si>
  <si>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</si>
  <si>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</si>
  <si>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</si>
  <si>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</si>
  <si>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</si>
  <si>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</si>
  <si>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</si>
  <si>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</si>
  <si>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</si>
  <si>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</si>
  <si>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</si>
  <si>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</si>
  <si>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</si>
  <si>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</si>
  <si>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</si>
  <si>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</si>
  <si>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</si>
  <si>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</si>
  <si>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</si>
  <si>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</si>
  <si>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</si>
  <si>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</si>
  <si>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</si>
  <si>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</si>
  <si>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</si>
  <si>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</si>
  <si>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</si>
  <si>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</si>
  <si>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</si>
  <si>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</si>
  <si>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</si>
  <si>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</si>
  <si>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</si>
  <si>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</si>
  <si>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</si>
  <si>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</si>
  <si>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</si>
  <si>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</si>
  <si>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</si>
  <si>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</si>
  <si>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</si>
  <si>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</si>
  <si>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</si>
  <si>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</si>
  <si>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</si>
  <si>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</si>
  <si>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</si>
  <si>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</si>
  <si>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</si>
  <si>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</si>
  <si>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</si>
  <si>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</si>
  <si>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</si>
  <si>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</si>
  <si>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</si>
  <si>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</si>
  <si>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</si>
  <si>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</si>
  <si>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</si>
  <si>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</si>
  <si>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</si>
  <si>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</si>
  <si>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</si>
  <si>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</si>
  <si>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</si>
  <si>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</si>
  <si>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</si>
  <si>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</si>
  <si>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</si>
  <si>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</si>
  <si>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</si>
  <si>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</si>
  <si>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</si>
  <si>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</si>
  <si>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</si>
  <si>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</si>
  <si>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</si>
  <si>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</si>
  <si>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</si>
  <si>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</si>
  <si>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</si>
  <si>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</si>
  <si>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</si>
  <si>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</si>
  <si>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</si>
  <si>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</si>
  <si>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</si>
  <si>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</si>
  <si>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</si>
  <si>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</si>
  <si>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</si>
  <si>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</si>
  <si>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</si>
  <si>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</si>
  <si>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</si>
  <si>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</si>
  <si>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</si>
  <si>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</si>
  <si>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</si>
  <si>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</si>
  <si>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</si>
  <si>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</si>
  <si>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</si>
  <si>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</si>
  <si>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</si>
  <si>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</si>
  <si>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</si>
  <si>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</si>
  <si>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</si>
  <si>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</si>
  <si>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</si>
  <si>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</si>
  <si>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</si>
  <si>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</si>
  <si>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</si>
  <si>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</si>
  <si>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</si>
  <si>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</si>
  <si>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</si>
  <si>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</si>
  <si>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</si>
  <si>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</si>
  <si>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</si>
  <si>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</si>
  <si>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</si>
  <si>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</si>
  <si>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</si>
  <si>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</si>
  <si>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</si>
  <si>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</si>
  <si>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</si>
  <si>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</si>
  <si>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</si>
  <si>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</si>
  <si>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</si>
  <si>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</si>
  <si>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</si>
  <si>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</si>
  <si>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</si>
  <si>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</si>
  <si>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</si>
  <si>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</si>
  <si>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</si>
  <si>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</si>
  <si>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</si>
  <si>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</si>
  <si>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</si>
  <si>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</si>
  <si>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</si>
  <si>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</si>
  <si>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</si>
  <si>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</si>
  <si>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</si>
  <si>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</si>
  <si>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</si>
  <si>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</si>
  <si>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</si>
  <si>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</si>
  <si>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</si>
  <si>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</si>
  <si>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</si>
  <si>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</si>
  <si>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</si>
  <si>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</si>
  <si>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</si>
  <si>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</si>
  <si>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</si>
  <si>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</si>
  <si>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</si>
  <si>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</si>
  <si>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</si>
  <si>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</si>
  <si>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</si>
  <si>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</si>
  <si>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</si>
  <si>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</si>
  <si>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</si>
  <si>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</si>
  <si>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</si>
  <si>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</si>
  <si>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</si>
  <si>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</si>
  <si>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</si>
  <si>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</si>
  <si>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</si>
  <si>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</si>
  <si>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</si>
  <si>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</si>
  <si>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</si>
  <si>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</si>
  <si>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</si>
  <si>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</si>
  <si>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</si>
  <si>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</si>
  <si>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</si>
  <si>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</si>
  <si>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</si>
  <si>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</si>
  <si>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</si>
  <si>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</si>
  <si>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</si>
  <si>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</si>
  <si>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</si>
  <si>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</si>
  <si>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</si>
  <si>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</si>
  <si>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</si>
  <si>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</si>
  <si>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</si>
  <si>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</si>
  <si>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</si>
  <si>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</si>
  <si>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</si>
  <si>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</si>
  <si>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</si>
  <si>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</si>
  <si>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</si>
  <si>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</si>
  <si>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</si>
  <si>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</si>
  <si>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</si>
  <si>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</si>
  <si>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</si>
  <si>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</si>
  <si>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</si>
  <si>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</si>
  <si>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</si>
  <si>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</si>
  <si>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</si>
  <si>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</si>
  <si>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</si>
  <si>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</si>
  <si>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</si>
  <si>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</si>
  <si>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</si>
  <si>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</si>
  <si>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</si>
  <si>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</si>
  <si>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</si>
  <si>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</si>
  <si>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</si>
  <si>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</si>
  <si>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</si>
  <si>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</si>
  <si>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</si>
  <si>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</si>
  <si>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</si>
  <si>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</si>
  <si>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</si>
  <si>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</si>
  <si>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</si>
  <si>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</si>
  <si>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</si>
  <si>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</si>
  <si>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</si>
  <si>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</si>
  <si>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</si>
  <si>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</si>
  <si>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</si>
  <si>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</si>
  <si>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</si>
  <si>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</si>
  <si>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</si>
  <si>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</si>
  <si>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</si>
  <si>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</si>
  <si>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</si>
  <si>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</si>
  <si>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</si>
  <si>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</si>
  <si>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</si>
  <si>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</si>
  <si>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</si>
  <si>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</si>
  <si>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</si>
  <si>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</si>
  <si>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</si>
  <si>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</si>
  <si>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</si>
  <si>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</si>
  <si>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</si>
  <si>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</si>
  <si>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</si>
  <si>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</si>
  <si>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</si>
  <si>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</si>
  <si>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</si>
  <si>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</si>
  <si>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</si>
  <si>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</si>
  <si>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</si>
  <si>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</si>
  <si>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</si>
  <si>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</si>
  <si>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</si>
  <si>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</si>
  <si>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</si>
  <si>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</si>
  <si>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</si>
  <si>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</si>
  <si>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</si>
  <si>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</si>
  <si>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</si>
  <si>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</si>
  <si>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</si>
  <si>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</si>
  <si>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</si>
  <si>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</si>
  <si>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</si>
  <si>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</si>
  <si>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</si>
  <si>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</si>
  <si>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</si>
  <si>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</si>
  <si>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</si>
  <si>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</si>
  <si>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</si>
  <si>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</si>
  <si>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</si>
  <si>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</si>
  <si>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</si>
  <si>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</si>
  <si>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</si>
  <si>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</si>
  <si>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</si>
  <si>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</si>
  <si>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</si>
  <si>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</si>
  <si>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</si>
  <si>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</si>
  <si>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</si>
  <si>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</si>
  <si>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</si>
  <si>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</si>
  <si>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</si>
  <si>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</si>
  <si>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</si>
  <si>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</si>
  <si>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</si>
  <si>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</si>
  <si>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</si>
  <si>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</si>
  <si>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</si>
  <si>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</si>
  <si>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</si>
  <si>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</si>
  <si>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</si>
  <si>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</si>
  <si>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</si>
  <si>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</si>
  <si>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</si>
  <si>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</si>
  <si>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</si>
  <si>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</si>
  <si>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</si>
  <si>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</si>
  <si>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</si>
  <si>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</si>
  <si>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</si>
  <si>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</si>
  <si>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</si>
  <si>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</si>
  <si>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</si>
  <si>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</si>
  <si>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</si>
  <si>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</si>
  <si>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</si>
  <si>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</si>
  <si>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</si>
  <si>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</si>
  <si>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</si>
  <si>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</si>
  <si>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</si>
  <si>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</si>
  <si>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</si>
  <si>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</si>
  <si>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</si>
  <si>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</si>
  <si>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</si>
  <si>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</si>
  <si>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</si>
  <si>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</si>
  <si>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</si>
  <si>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</si>
  <si>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</si>
  <si>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</si>
  <si>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</si>
  <si>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</si>
  <si>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</si>
  <si>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</si>
  <si>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</si>
  <si>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</si>
  <si>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</si>
  <si>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</si>
  <si>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</si>
  <si>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</si>
  <si>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</si>
  <si>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</si>
  <si>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</si>
  <si>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</si>
  <si>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</si>
  <si>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</si>
  <si>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</si>
  <si>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</si>
  <si>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</si>
  <si>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</si>
  <si>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</si>
  <si>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</si>
  <si>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</si>
  <si>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</si>
  <si>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</si>
  <si>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</si>
  <si>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</si>
  <si>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</si>
  <si>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</si>
  <si>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</si>
  <si>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</si>
  <si>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</si>
  <si>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</si>
  <si>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</si>
  <si>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</si>
  <si>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</si>
  <si>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</si>
  <si>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</si>
  <si>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</si>
  <si>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</si>
  <si>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</si>
  <si>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</si>
  <si>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</si>
  <si>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</si>
  <si>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</si>
  <si>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</si>
  <si>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</si>
  <si>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</si>
  <si>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</si>
  <si>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</si>
  <si>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</si>
  <si>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</si>
  <si>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</si>
  <si>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</si>
  <si>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</si>
  <si>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</si>
  <si>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</si>
  <si>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</si>
  <si>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</si>
  <si>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</si>
  <si>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</si>
  <si>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</si>
  <si>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</si>
  <si>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</si>
  <si>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</si>
  <si>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</si>
  <si>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</si>
  <si>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</si>
  <si>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</si>
  <si>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</si>
  <si>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</si>
  <si>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</si>
  <si>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</si>
  <si>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</si>
  <si>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</si>
  <si>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</si>
  <si>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</si>
  <si>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</si>
  <si>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</si>
  <si>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</si>
  <si>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</si>
  <si>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</si>
  <si>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</si>
  <si>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</si>
  <si>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</si>
  <si>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</si>
  <si>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</si>
  <si>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</si>
  <si>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</si>
  <si>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</si>
  <si>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</si>
  <si>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</si>
  <si>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</si>
  <si>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</si>
  <si>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</si>
  <si>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</si>
  <si>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</si>
  <si>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</si>
  <si>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</si>
  <si>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</si>
  <si>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</si>
  <si>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</si>
  <si>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</si>
  <si>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</si>
  <si>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</si>
  <si>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</si>
  <si>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</si>
  <si>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</si>
  <si>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</si>
  <si>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</si>
  <si>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</si>
  <si>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</si>
  <si>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</si>
  <si>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</si>
  <si>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</si>
  <si>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</si>
  <si>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</si>
  <si>
    <t>blade bush inspection done then restore wtg.</t>
  </si>
  <si>
    <t>Checked related circuit found door switch strucked so remove it the replaced Blade A proportional valve then restore wtg.</t>
  </si>
  <si>
    <t>Power transformer tripped due to Feeder 1 tripped inspection done no fault found tril taken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</si>
</sst>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8">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theme="0"/>
      </left>
      <right style="thin">
        <color theme="0"/>
      </right>
      <top style="thin">
        <color theme="0"/>
      </top>
      <bottom/>
      <diagonal/>
    </border>
    <border>
      <left style="thin">
        <color indexed="64"/>
      </left>
      <right style="thin">
        <color theme="0"/>
      </right>
      <top style="thin">
        <color theme="0"/>
      </top>
      <bottom/>
      <diagonal/>
    </border>
    <border>
      <left style="thin">
        <color theme="0"/>
      </left>
      <right style="thin">
        <color indexed="64"/>
      </right>
      <top style="thin">
        <color theme="0"/>
      </top>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43">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1" fontId="34" fillId="0" borderId="1" xfId="0" applyNumberFormat="1" applyFont="1" applyBorder="1" applyAlignment="1">
      <alignment horizont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5"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6" fillId="28" borderId="0" xfId="5" applyFill="1" applyAlignment="1">
      <alignment horizontal="left" vertical="center"/>
    </xf>
    <xf numFmtId="1" fontId="0" fillId="16" borderId="93" xfId="0" applyNumberFormat="1" applyFill="1" applyBorder="1" applyAlignment="1">
      <alignment horizontal="center" vertical="center"/>
    </xf>
    <xf numFmtId="0" fontId="0" fillId="16" borderId="93" xfId="0" applyFill="1" applyBorder="1" applyAlignment="1">
      <alignment horizontal="center" vertical="center"/>
    </xf>
    <xf numFmtId="0" fontId="0" fillId="21" borderId="93" xfId="0" applyFill="1" applyBorder="1" applyAlignment="1">
      <alignment horizontal="center" vertical="center"/>
    </xf>
    <xf numFmtId="17" fontId="0" fillId="21" borderId="93" xfId="0" applyNumberFormat="1" applyFill="1" applyBorder="1" applyAlignment="1">
      <alignment horizontal="center" vertical="center"/>
    </xf>
    <xf numFmtId="15" fontId="0" fillId="16" borderId="93" xfId="0" applyNumberFormat="1" applyFill="1" applyBorder="1" applyAlignment="1">
      <alignment horizontal="center" vertical="center"/>
    </xf>
    <xf numFmtId="169" fontId="0" fillId="7" borderId="93" xfId="2" applyNumberFormat="1" applyFont="1" applyFill="1" applyBorder="1" applyAlignment="1">
      <alignment horizontal="center" vertical="center"/>
    </xf>
    <xf numFmtId="0" fontId="0" fillId="21" borderId="93" xfId="0" applyFill="1" applyBorder="1" applyAlignment="1">
      <alignment horizontal="left" vertical="center"/>
    </xf>
    <xf numFmtId="170" fontId="0" fillId="21" borderId="93" xfId="0" applyNumberFormat="1" applyFill="1" applyBorder="1" applyAlignment="1">
      <alignment horizontal="center" vertical="center"/>
    </xf>
    <xf numFmtId="2" fontId="0" fillId="7" borderId="93" xfId="0" applyNumberFormat="1" applyFill="1" applyBorder="1" applyAlignment="1">
      <alignment horizontal="center" vertical="center"/>
    </xf>
    <xf numFmtId="2" fontId="0" fillId="7" borderId="93" xfId="0" applyNumberFormat="1" applyFill="1" applyBorder="1" applyAlignment="1">
      <alignment horizontal="right" vertical="center"/>
    </xf>
    <xf numFmtId="2" fontId="0" fillId="21" borderId="93" xfId="1" applyNumberFormat="1" applyFont="1" applyFill="1" applyBorder="1" applyAlignment="1">
      <alignment horizontal="right" vertical="center"/>
    </xf>
    <xf numFmtId="43" fontId="0" fillId="21" borderId="93" xfId="1" applyFont="1" applyFill="1" applyBorder="1" applyAlignment="1">
      <alignment horizontal="left" vertical="center"/>
    </xf>
    <xf numFmtId="1" fontId="0" fillId="21" borderId="93" xfId="0" applyNumberFormat="1" applyFill="1" applyBorder="1" applyAlignment="1">
      <alignment horizontal="center" vertical="center"/>
    </xf>
    <xf numFmtId="0" fontId="0" fillId="21" borderId="94" xfId="0" applyFill="1" applyBorder="1" applyAlignment="1">
      <alignment horizontal="center" vertical="center"/>
    </xf>
    <xf numFmtId="17" fontId="0" fillId="16" borderId="93" xfId="0" applyNumberFormat="1" applyFill="1" applyBorder="1" applyAlignment="1">
      <alignment horizontal="center" vertical="center"/>
    </xf>
    <xf numFmtId="0" fontId="0" fillId="16" borderId="93" xfId="0" applyFill="1" applyBorder="1" applyAlignment="1">
      <alignment horizontal="left" vertical="center"/>
    </xf>
    <xf numFmtId="170" fontId="0" fillId="16" borderId="93" xfId="0" applyNumberFormat="1" applyFill="1" applyBorder="1" applyAlignment="1">
      <alignment horizontal="center" vertical="center"/>
    </xf>
    <xf numFmtId="2" fontId="0" fillId="16" borderId="93" xfId="1" applyNumberFormat="1" applyFont="1" applyFill="1" applyBorder="1" applyAlignment="1">
      <alignment horizontal="right" vertical="center"/>
    </xf>
    <xf numFmtId="43" fontId="0" fillId="16" borderId="93" xfId="1" applyFont="1" applyFill="1" applyBorder="1" applyAlignment="1">
      <alignment horizontal="left" vertical="center"/>
    </xf>
    <xf numFmtId="0" fontId="0" fillId="16" borderId="94" xfId="0" applyFill="1" applyBorder="1" applyAlignment="1">
      <alignment horizontal="center" vertical="center"/>
    </xf>
    <xf numFmtId="1" fontId="5" fillId="7" borderId="92" xfId="0" applyNumberFormat="1" applyFont="1" applyFill="1" applyBorder="1" applyAlignment="1">
      <alignment horizontal="center" vertical="center"/>
    </xf>
    <xf numFmtId="0" fontId="0" fillId="7" borderId="93" xfId="0" applyFill="1" applyBorder="1" applyAlignment="1">
      <alignment horizontal="center" vertical="center"/>
    </xf>
    <xf numFmtId="1" fontId="5" fillId="7" borderId="96" xfId="0" applyNumberFormat="1" applyFont="1" applyFill="1" applyBorder="1" applyAlignment="1">
      <alignment horizontal="center" vertical="center"/>
    </xf>
    <xf numFmtId="1" fontId="0" fillId="16" borderId="95" xfId="0" applyNumberFormat="1" applyFill="1" applyBorder="1" applyAlignment="1">
      <alignment horizontal="center" vertical="center"/>
    </xf>
    <xf numFmtId="0" fontId="0" fillId="16" borderId="95" xfId="0" applyFill="1" applyBorder="1" applyAlignment="1">
      <alignment horizontal="center" vertical="center"/>
    </xf>
    <xf numFmtId="17" fontId="0" fillId="16" borderId="95" xfId="0" applyNumberFormat="1" applyFill="1" applyBorder="1" applyAlignment="1">
      <alignment horizontal="center" vertical="center"/>
    </xf>
    <xf numFmtId="15" fontId="0" fillId="16" borderId="95" xfId="0" applyNumberFormat="1" applyFill="1" applyBorder="1" applyAlignment="1">
      <alignment horizontal="center" vertical="center"/>
    </xf>
    <xf numFmtId="0" fontId="0" fillId="7" borderId="95" xfId="0" applyFill="1" applyBorder="1" applyAlignment="1">
      <alignment horizontal="center" vertical="center"/>
    </xf>
    <xf numFmtId="169" fontId="0" fillId="7" borderId="95" xfId="2" applyNumberFormat="1" applyFont="1" applyFill="1" applyBorder="1" applyAlignment="1">
      <alignment horizontal="center" vertical="center"/>
    </xf>
    <xf numFmtId="0" fontId="0" fillId="16" borderId="95" xfId="0" applyFill="1" applyBorder="1" applyAlignment="1">
      <alignment horizontal="left" vertical="center"/>
    </xf>
    <xf numFmtId="170" fontId="0" fillId="16" borderId="95" xfId="0" applyNumberFormat="1" applyFill="1" applyBorder="1" applyAlignment="1">
      <alignment horizontal="center" vertical="center"/>
    </xf>
    <xf numFmtId="2" fontId="0" fillId="7" borderId="95" xfId="0" applyNumberFormat="1" applyFill="1" applyBorder="1" applyAlignment="1">
      <alignment horizontal="center" vertical="center"/>
    </xf>
    <xf numFmtId="2" fontId="0" fillId="7" borderId="95" xfId="0" applyNumberFormat="1" applyFill="1" applyBorder="1" applyAlignment="1">
      <alignment horizontal="right" vertical="center"/>
    </xf>
    <xf numFmtId="2" fontId="0" fillId="16" borderId="95" xfId="1" applyNumberFormat="1" applyFont="1" applyFill="1" applyBorder="1" applyAlignment="1">
      <alignment horizontal="right" vertical="center"/>
    </xf>
    <xf numFmtId="43" fontId="0" fillId="16" borderId="95" xfId="1" applyFont="1" applyFill="1" applyBorder="1" applyAlignment="1">
      <alignment horizontal="left" vertical="center"/>
    </xf>
    <xf numFmtId="0" fontId="0" fillId="16" borderId="97" xfId="0"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5">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0" formatCode="General"/>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0" formatCode="General"/>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30 July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4">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3">
      <pivotArea type="all" dataOnly="0" outline="0" fieldPosition="0"/>
    </format>
    <format dxfId="392">
      <pivotArea outline="0" collapsedLevelsAreSubtotals="1" fieldPosition="0"/>
    </format>
    <format dxfId="391">
      <pivotArea field="11" type="button" dataOnly="0" labelOnly="1" outline="0" axis="axisRow" fieldPosition="0"/>
    </format>
    <format dxfId="390">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9">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8">
      <pivotArea dataOnly="0" labelOnly="1" grandRow="1" outline="0" fieldPosition="0"/>
    </format>
    <format dxfId="387">
      <pivotArea dataOnly="0" labelOnly="1" outline="0" fieldPosition="0">
        <references count="1">
          <reference field="4294967294" count="2">
            <x v="0"/>
            <x v="1"/>
          </reference>
        </references>
      </pivotArea>
    </format>
    <format dxfId="386">
      <pivotArea type="all" dataOnly="0" outline="0" fieldPosition="0"/>
    </format>
    <format dxfId="385">
      <pivotArea outline="0" collapsedLevelsAreSubtotals="1" fieldPosition="0"/>
    </format>
    <format dxfId="384">
      <pivotArea field="11" type="button" dataOnly="0" labelOnly="1" outline="0" axis="axisRow" fieldPosition="0"/>
    </format>
    <format dxfId="383">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2">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1">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80">
      <pivotArea dataOnly="0" labelOnly="1" grandRow="1" outline="0" fieldPosition="0"/>
    </format>
    <format dxfId="379">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8" dataDxfId="376" headerRowBorderDxfId="377" tableBorderDxfId="375" totalsRowBorderDxfId="374">
  <tableColumns count="112">
    <tableColumn id="5" xr3:uid="{00000000-0010-0000-0100-000005000000}" name="Date" dataDxfId="373"/>
    <tableColumn id="1" xr3:uid="{00000000-0010-0000-0100-000001000000}" name="Finacial Year" dataDxfId="372">
      <calculatedColumnFormula>YEAR([1]!Input_Raw[[#This Row],[Date]])+IF(MONTH([1]!Input_Raw[[#This Row],[Date]])&gt;=4,1,0)</calculatedColumnFormula>
    </tableColumn>
    <tableColumn id="2" xr3:uid="{00000000-0010-0000-0100-000002000000}" name="Calendor Year" dataDxfId="371">
      <calculatedColumnFormula>YEAR([1]!Input_Raw[[#This Row],[Date]])</calculatedColumnFormula>
    </tableColumn>
    <tableColumn id="3" xr3:uid="{00000000-0010-0000-0100-000003000000}" name="Month Year" dataDxfId="370">
      <calculatedColumnFormula>A5-DAY(A5)+1</calculatedColumnFormula>
    </tableColumn>
    <tableColumn id="4" xr3:uid="{00000000-0010-0000-0100-000004000000}" name="Days" dataDxfId="369">
      <calculatedColumnFormula>DAY(EOMONTH([1]!Input_Raw[[#This Row],[Date]],0))</calculatedColumnFormula>
    </tableColumn>
    <tableColumn id="6" xr3:uid="{00000000-0010-0000-0100-000006000000}" name="G01" dataDxfId="368"/>
    <tableColumn id="7" xr3:uid="{00000000-0010-0000-0100-000007000000}" name="G02" dataDxfId="367"/>
    <tableColumn id="8" xr3:uid="{00000000-0010-0000-0100-000008000000}" name="G03" dataDxfId="366"/>
    <tableColumn id="9" xr3:uid="{00000000-0010-0000-0100-000009000000}" name="G04" dataDxfId="365"/>
    <tableColumn id="10" xr3:uid="{00000000-0010-0000-0100-00000A000000}" name="G05" dataDxfId="364"/>
    <tableColumn id="11" xr3:uid="{00000000-0010-0000-0100-00000B000000}" name="G06" dataDxfId="363"/>
    <tableColumn id="12" xr3:uid="{00000000-0010-0000-0100-00000C000000}" name="G07" dataDxfId="362"/>
    <tableColumn id="13" xr3:uid="{00000000-0010-0000-0100-00000D000000}" name="G08" dataDxfId="361"/>
    <tableColumn id="14" xr3:uid="{00000000-0010-0000-0100-00000E000000}" name="G09" dataDxfId="360"/>
    <tableColumn id="15" xr3:uid="{00000000-0010-0000-0100-00000F000000}" name="G10" dataDxfId="359"/>
    <tableColumn id="16" xr3:uid="{00000000-0010-0000-0100-000010000000}" name="G11" dataDxfId="358"/>
    <tableColumn id="17" xr3:uid="{00000000-0010-0000-0100-000011000000}" name="G12" dataDxfId="357"/>
    <tableColumn id="18" xr3:uid="{00000000-0010-0000-0100-000012000000}" name="G13" dataDxfId="356"/>
    <tableColumn id="19" xr3:uid="{00000000-0010-0000-0100-000013000000}" name="G14" dataDxfId="355"/>
    <tableColumn id="20" xr3:uid="{00000000-0010-0000-0100-000014000000}" name="G15" dataDxfId="354"/>
    <tableColumn id="21" xr3:uid="{00000000-0010-0000-0100-000015000000}" name="G16" dataDxfId="353"/>
    <tableColumn id="22" xr3:uid="{00000000-0010-0000-0100-000016000000}" name="G17" dataDxfId="352"/>
    <tableColumn id="23" xr3:uid="{00000000-0010-0000-0100-000017000000}" name="G18" dataDxfId="351"/>
    <tableColumn id="24" xr3:uid="{00000000-0010-0000-0100-000018000000}" name="G19" dataDxfId="350"/>
    <tableColumn id="25" xr3:uid="{00000000-0010-0000-0100-000019000000}" name="G20" dataDxfId="349"/>
    <tableColumn id="26" xr3:uid="{00000000-0010-0000-0100-00001A000000}" name="G21" dataDxfId="348"/>
    <tableColumn id="27" xr3:uid="{00000000-0010-0000-0100-00001B000000}" name="G22" dataDxfId="347"/>
    <tableColumn id="28" xr3:uid="{00000000-0010-0000-0100-00001C000000}" name="G23" dataDxfId="346"/>
    <tableColumn id="79" xr3:uid="{00000000-0010-0000-0100-00004F000000}" name="G25" dataDxfId="345"/>
    <tableColumn id="80" xr3:uid="{00000000-0010-0000-0100-000050000000}" name="G26" dataDxfId="344"/>
    <tableColumn id="81" xr3:uid="{00000000-0010-0000-0100-000051000000}" name="G27" dataDxfId="343"/>
    <tableColumn id="82" xr3:uid="{00000000-0010-0000-0100-000052000000}" name="G28" dataDxfId="342"/>
    <tableColumn id="83" xr3:uid="{00000000-0010-0000-0100-000053000000}" name="G29" dataDxfId="341"/>
    <tableColumn id="84" xr3:uid="{00000000-0010-0000-0100-000054000000}" name="G30" dataDxfId="340"/>
    <tableColumn id="85" xr3:uid="{00000000-0010-0000-0100-000055000000}" name="G31" dataDxfId="339"/>
    <tableColumn id="110" xr3:uid="{00000000-0010-0000-0100-00006E000000}" name="G32" dataDxfId="338"/>
    <tableColumn id="111" xr3:uid="{00000000-0010-0000-0100-00006F000000}" name="G33" dataDxfId="337"/>
    <tableColumn id="112" xr3:uid="{00000000-0010-0000-0100-000070000000}" name="G34" dataDxfId="336"/>
    <tableColumn id="113" xr3:uid="{00000000-0010-0000-0100-000071000000}" name="G35" dataDxfId="335"/>
    <tableColumn id="114" xr3:uid="{00000000-0010-0000-0100-000072000000}" name="G36" dataDxfId="334"/>
    <tableColumn id="115" xr3:uid="{00000000-0010-0000-0100-000073000000}" name="G37" dataDxfId="333"/>
    <tableColumn id="116" xr3:uid="{00000000-0010-0000-0100-000074000000}" name="G38" dataDxfId="332"/>
    <tableColumn id="117" xr3:uid="{00000000-0010-0000-0100-000075000000}" name="G39" dataDxfId="331"/>
    <tableColumn id="118" xr3:uid="{00000000-0010-0000-0100-000076000000}" name="G40" dataDxfId="330"/>
    <tableColumn id="29" xr3:uid="{00000000-0010-0000-0100-00001D000000}" name="WS_G01" dataDxfId="329"/>
    <tableColumn id="30" xr3:uid="{00000000-0010-0000-0100-00001E000000}" name="WS_G02" dataDxfId="328"/>
    <tableColumn id="31" xr3:uid="{00000000-0010-0000-0100-00001F000000}" name="WS_G03" dataDxfId="327"/>
    <tableColumn id="32" xr3:uid="{00000000-0010-0000-0100-000020000000}" name="WS_G04" dataDxfId="326"/>
    <tableColumn id="33" xr3:uid="{00000000-0010-0000-0100-000021000000}" name="WS_G05" dataDxfId="325"/>
    <tableColumn id="34" xr3:uid="{00000000-0010-0000-0100-000022000000}" name="WS_G06" dataDxfId="324"/>
    <tableColumn id="35" xr3:uid="{00000000-0010-0000-0100-000023000000}" name="WS_G07" dataDxfId="323"/>
    <tableColumn id="36" xr3:uid="{00000000-0010-0000-0100-000024000000}" name="WS_G08" dataDxfId="322"/>
    <tableColumn id="37" xr3:uid="{00000000-0010-0000-0100-000025000000}" name="WS_G09" dataDxfId="321"/>
    <tableColumn id="38" xr3:uid="{00000000-0010-0000-0100-000026000000}" name="WS_G10" dataDxfId="320"/>
    <tableColumn id="39" xr3:uid="{00000000-0010-0000-0100-000027000000}" name="WS_G11" dataDxfId="319"/>
    <tableColumn id="40" xr3:uid="{00000000-0010-0000-0100-000028000000}" name="WS_G12" dataDxfId="318"/>
    <tableColumn id="41" xr3:uid="{00000000-0010-0000-0100-000029000000}" name="WS_G13" dataDxfId="317"/>
    <tableColumn id="42" xr3:uid="{00000000-0010-0000-0100-00002A000000}" name="WS_G14" dataDxfId="316"/>
    <tableColumn id="43" xr3:uid="{00000000-0010-0000-0100-00002B000000}" name="WS_G15" dataDxfId="315"/>
    <tableColumn id="44" xr3:uid="{00000000-0010-0000-0100-00002C000000}" name="WS_G16" dataDxfId="314"/>
    <tableColumn id="45" xr3:uid="{00000000-0010-0000-0100-00002D000000}" name="WS_G17" dataDxfId="313"/>
    <tableColumn id="46" xr3:uid="{00000000-0010-0000-0100-00002E000000}" name="WS_G18" dataDxfId="312"/>
    <tableColumn id="47" xr3:uid="{00000000-0010-0000-0100-00002F000000}" name="WS_G19" dataDxfId="311"/>
    <tableColumn id="48" xr3:uid="{00000000-0010-0000-0100-000030000000}" name="WS_G20" dataDxfId="310"/>
    <tableColumn id="49" xr3:uid="{00000000-0010-0000-0100-000031000000}" name="WS_G21" dataDxfId="309"/>
    <tableColumn id="50" xr3:uid="{00000000-0010-0000-0100-000032000000}" name="WS_G22" dataDxfId="308"/>
    <tableColumn id="51" xr3:uid="{00000000-0010-0000-0100-000033000000}" name="WS_G23" dataDxfId="307"/>
    <tableColumn id="120" xr3:uid="{00000000-0010-0000-0100-000078000000}" name="WS_G25" dataDxfId="306"/>
    <tableColumn id="121" xr3:uid="{00000000-0010-0000-0100-000079000000}" name="WS_G26" dataDxfId="305"/>
    <tableColumn id="122" xr3:uid="{00000000-0010-0000-0100-00007A000000}" name="WS_G27" dataDxfId="304"/>
    <tableColumn id="123" xr3:uid="{00000000-0010-0000-0100-00007B000000}" name="WS_G28" dataDxfId="303"/>
    <tableColumn id="124" xr3:uid="{00000000-0010-0000-0100-00007C000000}" name="WS_G29" dataDxfId="302"/>
    <tableColumn id="125" xr3:uid="{00000000-0010-0000-0100-00007D000000}" name="WS_G30" dataDxfId="301"/>
    <tableColumn id="126" xr3:uid="{00000000-0010-0000-0100-00007E000000}" name="WS_G31" dataDxfId="300"/>
    <tableColumn id="127" xr3:uid="{00000000-0010-0000-0100-00007F000000}" name="WS_G32" dataDxfId="299"/>
    <tableColumn id="128" xr3:uid="{00000000-0010-0000-0100-000080000000}" name="WS_G33" dataDxfId="298"/>
    <tableColumn id="129" xr3:uid="{00000000-0010-0000-0100-000081000000}" name="WS_G34" dataDxfId="297"/>
    <tableColumn id="130" xr3:uid="{00000000-0010-0000-0100-000082000000}" name="WS_G35" dataDxfId="296"/>
    <tableColumn id="131" xr3:uid="{00000000-0010-0000-0100-000083000000}" name="WS_G36" dataDxfId="295"/>
    <tableColumn id="132" xr3:uid="{00000000-0010-0000-0100-000084000000}" name="WS_G37" dataDxfId="294"/>
    <tableColumn id="133" xr3:uid="{00000000-0010-0000-0100-000085000000}" name="WS_G38" dataDxfId="293"/>
    <tableColumn id="134" xr3:uid="{00000000-0010-0000-0100-000086000000}" name="WS_G39" dataDxfId="292"/>
    <tableColumn id="135" xr3:uid="{00000000-0010-0000-0100-000087000000}" name="WS_G40" dataDxfId="291"/>
    <tableColumn id="106" xr3:uid="{00000000-0010-0000-0100-00006A000000}" name="WTG Total Gneration (KWh)" dataDxfId="290">
      <calculatedColumnFormula>SUM(Input_Raw[[#This Row],[G01]:[G40]])</calculatedColumnFormula>
    </tableColumn>
    <tableColumn id="107" xr3:uid="{00000000-0010-0000-0100-00006B000000}" name="Wind Speed Average cumulative (m/S)2" dataDxfId="289">
      <calculatedColumnFormula>IFERROR(AVERAGE(Input_Raw[[#This Row],[WS_G01]:[WS_G40]]),"")</calculatedColumnFormula>
    </tableColumn>
    <tableColumn id="108" xr3:uid="{00000000-0010-0000-0100-00006C000000}" name="Wind Speed Max (m/S)" dataDxfId="288"/>
    <tableColumn id="109" xr3:uid="{00000000-0010-0000-0100-00006D000000}" name="Rain (mm)" dataDxfId="287"/>
    <tableColumn id="52" xr3:uid="{00000000-0010-0000-0100-000034000000}" name="33 kV_Wind_F1_Export reading" dataDxfId="286"/>
    <tableColumn id="145" xr3:uid="{00000000-0010-0000-0100-000091000000}" name="33 kV_Wind_F1_Import reading" dataDxfId="285"/>
    <tableColumn id="53" xr3:uid="{00000000-0010-0000-0100-000035000000}" name="33 kV_Wind_F2_Export_reading" dataDxfId="284"/>
    <tableColumn id="146" xr3:uid="{00000000-0010-0000-0100-000092000000}" name="33 kV_Wind_F2_Import_reading" dataDxfId="283"/>
    <tableColumn id="54" xr3:uid="{00000000-0010-0000-0100-000036000000}" name="33 kV_Wind_F3_Export_Reading" dataDxfId="282"/>
    <tableColumn id="147" xr3:uid="{00000000-0010-0000-0100-000093000000}" name="33 kV_Wind_F3_Import_Reading" dataDxfId="281"/>
    <tableColumn id="55" xr3:uid="{00000000-0010-0000-0100-000037000000}" name="33 kV_Wind_F4_Export Reading" dataDxfId="280"/>
    <tableColumn id="148" xr3:uid="{00000000-0010-0000-0100-000094000000}" name="33 kV_Wind_F4_Import Reading" dataDxfId="279"/>
    <tableColumn id="86" xr3:uid="{00000000-0010-0000-0100-000056000000}" name="33 kV_F1_Total_Export (KWh)" dataDxfId="278" dataCellStyle="Normal 26">
      <calculatedColumnFormula>(Input_Raw[[#This Row],[33 kV_Wind_F1_Export reading]]-CJ4)*1200</calculatedColumnFormula>
    </tableColumn>
    <tableColumn id="149" xr3:uid="{00000000-0010-0000-0100-000095000000}" name="33 kV_Wind_F1_Import (KWh)" dataDxfId="277" dataCellStyle="Normal 26"/>
    <tableColumn id="151" xr3:uid="{00000000-0010-0000-0100-000097000000}" name="33 kV_F2_Total_Export (KWh)2" dataDxfId="276" dataCellStyle="Normal 26"/>
    <tableColumn id="152" xr3:uid="{00000000-0010-0000-0100-000098000000}" name="33 kV_Wind_F2_Import (KWh)" dataDxfId="275" dataCellStyle="Normal 26"/>
    <tableColumn id="153" xr3:uid="{00000000-0010-0000-0100-000099000000}" name="33 kV_Wind_F3_Export (KWh)" dataDxfId="274" dataCellStyle="Normal 26"/>
    <tableColumn id="154" xr3:uid="{00000000-0010-0000-0100-00009A000000}" name="33 kV_Wind_F3_Import (KWh)2" dataDxfId="273" dataCellStyle="Normal 26"/>
    <tableColumn id="155" xr3:uid="{00000000-0010-0000-0100-00009B000000}" name="33 kV_Wind_F4_Export (KWh)" dataDxfId="272" dataCellStyle="Normal 26"/>
    <tableColumn id="156" xr3:uid="{00000000-0010-0000-0100-00009C000000}" name="33 kV_Wind_F4_Import (KWh)2" dataDxfId="271" dataCellStyle="Normal 26"/>
    <tableColumn id="157" xr3:uid="{00000000-0010-0000-0100-00009D000000}" name="33 kV_Wind_Total_Export (KWh)" dataDxfId="270"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9"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8">
      <calculatedColumnFormula>IFERROR(#REF!/Input_Raw[[#This Row],[WTG Total Gneration (KWh)]]-1,"")</calculatedColumnFormula>
    </tableColumn>
    <tableColumn id="56" xr3:uid="{00000000-0010-0000-0100-000038000000}" name="Forecasting Data count received on Forecasting Portal" dataDxfId="267" dataCellStyle="Normal 26"/>
    <tableColumn id="57" xr3:uid="{00000000-0010-0000-0100-000039000000}" name="Forecasting Penalties (INR)" dataDxfId="266" dataCellStyle="Normal 26"/>
    <tableColumn id="58" xr3:uid="{00000000-0010-0000-0100-00003A000000}" name="Expected Energy As Per Power Curve  (MWh)" dataDxfId="265"/>
    <tableColumn id="59" xr3:uid="{45EB7B0C-FCA4-4200-9B6D-3BE20AEBB825}" name="Reactive Energy (MVArH)" dataDxfId="264"/>
    <tableColumn id="60" xr3:uid="{B882E9A7-BD2F-46BB-A2E4-FEB19DA2C282}" name="Operational Capacity" dataDxfId="263"/>
    <tableColumn id="61" xr3:uid="{F18A1240-D45D-47F8-90FE-07EA4A241D4B}" name="Column1" dataDxfId="26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1" totalsRowDxfId="258" headerRowBorderDxfId="260" tableBorderDxfId="259" totalsRowBorderDxfId="257">
  <autoFilter ref="A1:AS369" xr:uid="{3B203726-2095-49D8-A694-A659B4A14C0A}"/>
  <tableColumns count="45">
    <tableColumn id="1" xr3:uid="{AC3ABD98-75D2-4582-B623-8D21C5F487DB}" name="Date" dataDxfId="256" totalsRowDxfId="255" dataCellStyle="Normal 26"/>
    <tableColumn id="2" xr3:uid="{AE12600E-6A58-426A-AE7A-0EA1D6D50FEB}" name="Financial Year" dataDxfId="254" totalsRowDxfId="253" dataCellStyle="Normal 26">
      <calculatedColumnFormula>YEAR(Table13[[#This Row],[Date]])+IF(MONTH(Table13[[#This Row],[Date]])&gt;=4,1,0)</calculatedColumnFormula>
    </tableColumn>
    <tableColumn id="3" xr3:uid="{3B7DF0EB-73EF-4B84-A0F0-967A6567AAD8}" name="Calendar Year" dataDxfId="252" totalsRowDxfId="251" dataCellStyle="Normal 26">
      <calculatedColumnFormula>YEAR(Table13[[#This Row],[Date]])</calculatedColumnFormula>
    </tableColumn>
    <tableColumn id="4" xr3:uid="{33EE5C98-2106-4920-9087-176A2E9499F5}" name="Month Year" dataDxfId="250" totalsRowDxfId="249" dataCellStyle="Normal 26">
      <calculatedColumnFormula>Table13[[#This Row],[Date]]-DAY(Table13[[#This Row],[Date]])+1</calculatedColumnFormula>
    </tableColumn>
    <tableColumn id="5" xr3:uid="{309D9189-9689-4C56-90B1-6A720ECABFE7}" name="Days" dataDxfId="248" totalsRowDxfId="247" dataCellStyle="Normal 26">
      <calculatedColumnFormula>DAY(EOMONTH(A2,0))</calculatedColumnFormula>
    </tableColumn>
    <tableColumn id="6" xr3:uid="{A40C93A6-18E6-4FFF-9809-94F158C9A482}" name="Operating Hours" dataDxfId="246" dataCellStyle="Percent 43"/>
    <tableColumn id="7" xr3:uid="{817A90A3-B44C-4B1C-A295-5BE26E74D036}" name="GHI-UP (KWh/m2)" dataDxfId="245" totalsRowDxfId="244" dataCellStyle="Percent 43"/>
    <tableColumn id="8" xr3:uid="{C3004E13-246D-40AE-ABA4-084A45E50F25}" name="GHI-Down(KWh/m2)" dataDxfId="243" totalsRowDxfId="242" dataCellStyle="Percent 43"/>
    <tableColumn id="9" xr3:uid="{0572E0E2-532A-434A-B608-A2CDF5FDB89B}" name="POA-UP(KWh/m2)" dataDxfId="241" totalsRowDxfId="240" dataCellStyle="Percent 43"/>
    <tableColumn id="10" xr3:uid="{B72B660B-30B6-481B-9EB4-5101A661AE6C}" name="POA-Down(KWh/m2)" dataDxfId="239" totalsRowDxfId="238" dataCellStyle="Percent 43"/>
    <tableColumn id="11" xr3:uid="{8E29DBE0-F45A-411B-B249-A73F226D2AEB}" name="Amb_Temp(°C)" dataDxfId="237" totalsRowDxfId="236" dataCellStyle="Percent 43"/>
    <tableColumn id="12" xr3:uid="{4E5D4AFC-3F73-460A-B892-44B44D34BF84}" name="Mod_Temp(°C)" dataDxfId="235" totalsRowDxfId="234" dataCellStyle="Percent 43"/>
    <tableColumn id="13" xr3:uid="{6619600E-B5E0-4203-9262-A709569C0B9C}" name="WS_Avg(m/s)" dataDxfId="233" totalsRowDxfId="232" dataCellStyle="Percent 43">
      <calculatedColumnFormula>IFERROR(_xlfn.XLOOKUP($A2,Input_Raw!$A:$A,Input_Raw!CG:CG),"")</calculatedColumnFormula>
    </tableColumn>
    <tableColumn id="14" xr3:uid="{739A885C-D4EA-4114-B4EA-D923ADBD0003}" name="WS_Max(m/s)" dataDxfId="231" totalsRowDxfId="230" dataCellStyle="Percent 43">
      <calculatedColumnFormula>IFERROR(_xlfn.XLOOKUP($A2,Input_Raw!$A:$A,Input_Raw!CH:CH),"")</calculatedColumnFormula>
    </tableColumn>
    <tableColumn id="15" xr3:uid="{03B07319-2335-4615-94A5-348B7323ECEE}" name="PA(%)" dataDxfId="229" totalsRowDxfId="228" dataCellStyle="Percent 43">
      <calculatedColumnFormula>IFERROR(P2*Q2,"")</calculatedColumnFormula>
    </tableColumn>
    <tableColumn id="16" xr3:uid="{9F5EFF93-DF1A-499F-A105-3EEA358BFB94}" name="MA (%)" dataDxfId="227" totalsRowDxfId="226" dataCellStyle="Percent 43">
      <calculatedColumnFormula>IFERROR(1-SUMIF(WTG_BD!$F:$F,$A2,WTG_BD!$AA:$AA)/($AA2+SUMIF(WTG_BD!$F:$F,$A2,WTG_BD!$AA:$AA)),"")</calculatedColumnFormula>
    </tableColumn>
    <tableColumn id="17" xr3:uid="{0CBB892E-409F-4D49-9600-9AF3544321E2}" name="IGA (%)" dataDxfId="225" dataCellStyle="Percent 43">
      <calculatedColumnFormula>IFERROR(1-SUMIF(IGA_BD!$F:$F,$A2,IGA_BD!$V:$V)/($AA2+SUMIF(IGA_BD!$F:$F,$A2,IGA_BD!$V:$V)),"")</calculatedColumnFormula>
    </tableColumn>
    <tableColumn id="18" xr3:uid="{3FC07FA2-E934-4C5C-9FCD-520F0458DEA5}" name="EGA(%)" dataDxfId="224" dataCellStyle="Percent">
      <calculatedColumnFormula>IFERROR(1-SUMIF(Grid_BD!$F:$F,$A2,Grid_BD!$X:$X)/($AA2+SUMIF(Grid_BD!$F:$F,$A2,Grid_BD!$X:$X)),"")</calculatedColumnFormula>
    </tableColumn>
    <tableColumn id="19" xr3:uid="{CCF758F8-D160-4388-A69A-657F596F26FC}" name="EMA (%)" dataDxfId="223" totalsRowDxfId="222"/>
    <tableColumn id="20" xr3:uid="{CC370C35-7BF1-48A2-A6C8-5F9A479115CC}" name="TA (%)" dataDxfId="221" totalsRowDxfId="220" dataCellStyle="Percent 43"/>
    <tableColumn id="21" xr3:uid="{ACBCAA42-6639-4255-A2E1-C528E248ECAD}" name="PR(%)" dataDxfId="219" totalsRowDxfId="218" dataCellStyle="Percent 43"/>
    <tableColumn id="22" xr3:uid="{F5326693-37E3-47B2-8E2B-E9FC9155A0AB}" name="WPR(%)" dataDxfId="217" totalsRowDxfId="216"/>
    <tableColumn id="23" xr3:uid="{5B9629D4-3C0B-4D5E-ACD1-944F977B15BB}" name="CUF(%)" dataDxfId="215" totalsRowDxfId="214" dataCellStyle="Percent 43">
      <calculatedColumnFormula>IFERROR(Table13[[#This Row],[Mtr_Net_Exp (KWh)]]/(24*AR2*1000),"")</calculatedColumnFormula>
    </tableColumn>
    <tableColumn id="24" xr3:uid="{3E0DE83D-827F-46C8-82DE-E57A81F3BD1A}" name="Gen_Exp (kWh)" dataDxfId="213" totalsRowDxfId="212">
      <calculatedColumnFormula>IFERROR(_xlfn.XLOOKUP($A2,Input_Raw!$A:$A,Input_Raw!$CF:$CF),"")</calculatedColumnFormula>
    </tableColumn>
    <tableColumn id="25" xr3:uid="{C4A6016D-E849-4610-89B5-AE52CCA585F0}" name="Mtr_Export (kWh)" dataDxfId="211" totalsRowDxfId="210">
      <calculatedColumnFormula>IFERROR(_xlfn.XLOOKUP($A2,Input_Raw!$A:$A,Input_Raw!$CZ:$CZ),"")</calculatedColumnFormula>
    </tableColumn>
    <tableColumn id="26" xr3:uid="{DD8F3C03-6E56-4C0B-8192-7121DE5F80BE}" name="Mtr_Import (kWh)" dataDxfId="209" totalsRowDxfId="208">
      <calculatedColumnFormula>IFERROR(_xlfn.XLOOKUP($A2,Input_Raw!$A:$A,Input_Raw!$DA:$DA),"")</calculatedColumnFormula>
    </tableColumn>
    <tableColumn id="27" xr3:uid="{E8744429-ED52-4FD6-9D6E-93494DD7676D}" name="Mtr_Net_Exp (KWh)" dataDxfId="207" totalsRowDxfId="206">
      <calculatedColumnFormula>IFERROR(Y2-Z2,"")</calculatedColumnFormula>
    </tableColumn>
    <tableColumn id="28" xr3:uid="{5351EE1B-C5E5-45F9-8A3C-3090EB4F8F00}" name="Operational Capacity (MW)" dataDxfId="205" totalsRowDxfId="204">
      <calculatedColumnFormula>IFERROR(_xlfn.XLOOKUP($A2,Input_Raw!$A:$A,Input_Raw!$DG:$DG),"")</calculatedColumnFormula>
    </tableColumn>
    <tableColumn id="29" xr3:uid="{19E214DF-B9EC-4D16-9BF9-60E4FBE2688A}" name="Bugt_Resource" dataDxfId="203" totalsRowDxfId="202">
      <calculatedColumnFormula>IFERROR(_xlfn.XLOOKUP($D2,'Modelling New'!$D:$D,'Modelling New'!$J:$J),"")</calculatedColumnFormula>
    </tableColumn>
    <tableColumn id="30" xr3:uid="{1FFAB7FA-C3DF-44B5-B1F6-7BF5CA55DA8E}" name="Bugt_Energy" dataDxfId="201">
      <calculatedColumnFormula>IFERROR(_xlfn.XLOOKUP($D2,'Modelling New'!$D:$D,'Modelling New'!$T:$T)*1000,"")</calculatedColumnFormula>
    </tableColumn>
    <tableColumn id="43" xr3:uid="{2CBF4F34-C61C-44F4-A343-1FCD272EB855}" name="Bugt PR" dataDxfId="200" totalsRowDxfId="199" dataCellStyle="Percent 43"/>
    <tableColumn id="42" xr3:uid="{3D468F67-441F-4B82-98D0-CE59D982CC40}" name="Bugt CUF" dataDxfId="198" totalsRowDxfId="197" dataCellStyle="Percent 43">
      <calculatedColumnFormula>IFERROR(_xlfn.XLOOKUP($D2,'Modelling New'!$D:$D,'Modelling New'!$W:$W),"")</calculatedColumnFormula>
    </tableColumn>
    <tableColumn id="31" xr3:uid="{575C0A5C-4326-4C28-A3A1-12CD36E489EF}" name="Bugt_PA" dataDxfId="196" totalsRowDxfId="195" dataCellStyle="Percent 43">
      <calculatedColumnFormula>IFERROR(_xlfn.XLOOKUP($D2,'Modelling New'!$D:$D,'Modelling New'!$AE:$AE),"")</calculatedColumnFormula>
    </tableColumn>
    <tableColumn id="32" xr3:uid="{AB86F7B4-46F2-48EA-8C0D-71A214CA26A9}" name="Bugt_EGA" dataDxfId="194" totalsRowDxfId="193" dataCellStyle="Percent 43">
      <calculatedColumnFormula>IFERROR(_xlfn.XLOOKUP($D2,'Modelling New'!$D:$D,'Modelling New'!$AF:$AF),"")</calculatedColumnFormula>
    </tableColumn>
    <tableColumn id="33" xr3:uid="{D44A5CAE-7ED1-4A93-BFEF-E6B04AFA6F97}" name="Expected Energy" dataDxfId="192" totalsRowDxfId="191">
      <calculatedColumnFormula>IFERROR(_xlfn.XLOOKUP($A2,Input_Raw!$A:$A,Input_Raw!$DE:$DE),"")</calculatedColumnFormula>
    </tableColumn>
    <tableColumn id="34" xr3:uid="{C32C7F92-FD11-4B0C-9BF8-3FAC460BEA06}" name="Actual Energy WPR" dataDxfId="190" totalsRowDxfId="189"/>
    <tableColumn id="35" xr3:uid="{896B94FF-779A-4C29-80B0-77D7E810FB01}" name="RA (%)" dataDxfId="188" totalsRowDxfId="187"/>
    <tableColumn id="36" xr3:uid="{5239203F-BCB7-4E84-941B-2A28FADB596A}" name="Mod Clean Dry (Num)" dataDxfId="186" totalsRowDxfId="185"/>
    <tableColumn id="37" xr3:uid="{9A55FF03-0C92-4807-A3C0-AA7BB3E1E678}" name="Mod Clean Wet (Num)" dataDxfId="184" totalsRowDxfId="183"/>
    <tableColumn id="38" xr3:uid="{BFE39E7D-94ED-40BE-BD0E-A6834D70844D}" name="Line Loss(%)" dataDxfId="182" totalsRowDxfId="181" dataCellStyle="Percent">
      <calculatedColumnFormula>IFERROR(_xlfn.XLOOKUP($A2,Input_Raw!$A:$A,Input_Raw!$DB:$DB),"")</calculatedColumnFormula>
    </tableColumn>
    <tableColumn id="39" xr3:uid="{6F2E99AC-3E10-4847-80B1-E454DF7A5317}" name="Reactive Power (%)" dataDxfId="180" dataCellStyle="Percent 43">
      <calculatedColumnFormula>IFERROR((_xlfn.XLOOKUP($A2,'WTG Reactive Power'!$A:$A,'WTG Reactive Power'!$AR:$AR))/X2/1000,"")</calculatedColumnFormula>
    </tableColumn>
    <tableColumn id="40" xr3:uid="{94EF6993-3780-4013-B832-4050720A56E9}" name="Bugt Line loss (%) (Wind)" dataDxfId="179" totalsRowDxfId="178" dataCellStyle="Percent 43">
      <calculatedColumnFormula>IFERROR(_xlfn.XLOOKUP($D2,'Modelling New'!$D:$D,'Modelling New'!$AK:$AK),"")</calculatedColumnFormula>
    </tableColumn>
    <tableColumn id="41" xr3:uid="{ADCBE4A1-5D0E-4F97-9881-BD238E97EBC7}" name="Bugt Reactive Power (%) (Wind)" dataDxfId="177" totalsRowDxfId="176" dataCellStyle="Percent 43">
      <calculatedColumnFormula>IFERROR(_xlfn.XLOOKUP($D2,'Modelling New'!$D:$D,'Modelling New'!$AL:$AL),"")</calculatedColumnFormula>
    </tableColumn>
    <tableColumn id="44" xr3:uid="{D081797F-6A13-4377-AD22-D00F4F3F47B8}" name="Bugt Capacity" dataDxfId="175" totalsRowDxfId="174">
      <calculatedColumnFormula>IFERROR(_xlfn.XLOOKUP($D2,'Modelling New'!$D:$D,'Modelling New'!$N:$N),"")</calculatedColumnFormula>
    </tableColumn>
    <tableColumn id="45" xr3:uid="{2141F03A-98E6-4E7F-A56D-72C24C630C9C}" name="CC*Bugt" totalsRowDxfId="173"/>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2" dataDxfId="170" headerRowBorderDxfId="171" tableBorderDxfId="169" totalsRowBorderDxfId="168">
  <tableColumns count="40">
    <tableColumn id="1" xr3:uid="{E1AA9795-3804-4583-8B4E-46730556DEDB}" name="Sr. No." dataDxfId="167"/>
    <tableColumn id="2" xr3:uid="{9E23B903-2554-4616-9932-98F644CE3491}" name="Month Name" dataDxfId="166" dataCellStyle="Comma 42"/>
    <tableColumn id="3" xr3:uid="{5C3447DE-6C05-4333-BC66-1C88DE5925BD}" name="Month Number" dataDxfId="165"/>
    <tableColumn id="4" xr3:uid="{E8F67060-F022-455F-8630-F9155FD20001}" name="Month" dataDxfId="164" dataCellStyle="Comma 42"/>
    <tableColumn id="5" xr3:uid="{95352203-B85E-4A4B-9822-1ECFD14627C9}" name="CY" dataDxfId="163">
      <calculatedColumnFormula>YEAR(D2)</calculatedColumnFormula>
    </tableColumn>
    <tableColumn id="6" xr3:uid="{9B2AA251-4DE5-4BE9-850E-4CA0A0A76017}" name="FY" dataDxfId="162"/>
    <tableColumn id="7" xr3:uid="{CE450720-6890-4E25-877D-9BD864DBF55E}" name="No. of Days in Month" dataDxfId="161">
      <calculatedColumnFormula>DAY(EOMONTH(D2,0))</calculatedColumnFormula>
    </tableColumn>
    <tableColumn id="8" xr3:uid="{A5C69865-2F0D-4BFE-B0FB-B8D049BF63F1}" name="GHI" dataDxfId="160"/>
    <tableColumn id="9" xr3:uid="{B0213999-07EB-450D-AF60-1CA5A04802AC}" name="POA" dataDxfId="159"/>
    <tableColumn id="10" xr3:uid="{C8B5BC69-55F4-4E82-BF83-DDE4BF05FB78}" name="WS" dataDxfId="158"/>
    <tableColumn id="11" xr3:uid="{0F111C6B-FD4C-47C4-A415-A313B9445CA7}" name="Tamb" dataDxfId="157"/>
    <tableColumn id="12" xr3:uid="{385CAFED-7AF9-46FE-9DB3-E0B81E3CBBEE}" name="Tmod" dataDxfId="156"/>
    <tableColumn id="13" xr3:uid="{E90687D9-CDF8-4A27-ACC4-03D5BDA424FA}" name="Egrid (MWh)" dataDxfId="155"/>
    <tableColumn id="14" xr3:uid="{C48D2E87-4922-4A99-9CC2-5507E89ED533}" name="Bugt_Capacity" dataDxfId="154"/>
    <tableColumn id="15" xr3:uid="{B5D015EA-3880-457C-B47E-EAD301AC03F3}" name="PR" dataDxfId="153"/>
    <tableColumn id="16" xr3:uid="{0BF5D0A4-DD65-4ACC-AE3E-A75031B43D8F}" name="Daily POA" dataDxfId="152"/>
    <tableColumn id="17" xr3:uid="{4232A9A7-5EA5-4E87-B60A-15985EDDBB9E}" name="Days Operated" dataDxfId="151">
      <calculatedColumnFormula>COUNTIFS('Daily KPI'!$D:$D,D2,'Daily KPI'!$M:$M,"&gt;0")</calculatedColumnFormula>
    </tableColumn>
    <tableColumn id="18" xr3:uid="{51B9ABAA-1597-4F4A-8253-6D63A4D3A0CC}" name="MTD POA" dataDxfId="150"/>
    <tableColumn id="27" xr3:uid="{6AF41C3A-5FFF-472A-91BD-F6F3579E771C}" name="YTD POA" dataDxfId="149"/>
    <tableColumn id="19" xr3:uid="{173FC5D9-0D27-46B6-A552-513B97DDB4FB}" name="Daily Energy (MWh)" dataDxfId="148">
      <calculatedColumnFormula>M2/G2</calculatedColumnFormula>
    </tableColumn>
    <tableColumn id="20" xr3:uid="{AAF5781B-73C7-4B05-91F4-CFDF9CF000F2}" name="MTD Energy (MWh)" dataDxfId="147">
      <calculatedColumnFormula>M2/G2*Q2</calculatedColumnFormula>
    </tableColumn>
    <tableColumn id="28" xr3:uid="{7C366C19-CF86-4EE5-A9C3-C9C9E861A7E8}" name="YTD Energy (MWh)" dataDxfId="146">
      <calculatedColumnFormula>SUMIF($F$2:F2,F2,$U$2:U2)</calculatedColumnFormula>
    </tableColumn>
    <tableColumn id="38" xr3:uid="{1325F146-1FA0-4697-AC7F-ADF1C28F38D7}" name="Bugt CUF (%)" dataDxfId="145" dataCellStyle="Percent">
      <calculatedColumnFormula>IFERROR(T2/(24*N2),"")</calculatedColumnFormula>
    </tableColumn>
    <tableColumn id="37" xr3:uid="{29786BB7-0C3D-4FE8-8AC2-8844304AB764}" name="Bugt CUF (%) MTD" dataDxfId="144" dataCellStyle="Percent">
      <calculatedColumnFormula>IFERROR(U2/(24*N2*Q2),"")</calculatedColumnFormula>
    </tableColumn>
    <tableColumn id="36" xr3:uid="{468E0A2C-DD21-48DC-9E6F-079329174AE0}" name="Bugt CUF (%)YTD" dataDxfId="143" dataCellStyle="Percent">
      <calculatedColumnFormula>IFERROR(V2/(24*N2*SUMIFS($Q:$Q,$F:$F,$F2,$D:$D,"&lt;="&amp;D2)),"")</calculatedColumnFormula>
    </tableColumn>
    <tableColumn id="21" xr3:uid="{1C626EC1-BD1E-466E-A7DE-A7024C36A2BD}" name="Ave. Cap MTD" dataDxfId="142">
      <calculatedColumnFormula>IFERROR(AVERAGEIF('Daily KPI'!D:D,Table14[[#This Row],[Month]],'Daily KPI'!AB:AB),"")</calculatedColumnFormula>
    </tableColumn>
    <tableColumn id="29" xr3:uid="{9DB5FA5A-CFBA-4E9F-9391-745AB2029D93}" name="Ave. Cap YTD" dataDxfId="141">
      <calculatedColumnFormula>IFERROR(AVERAGEIF($F$2:F2,F2,$Z$2:Z2),"")</calculatedColumnFormula>
    </tableColumn>
    <tableColumn id="22" xr3:uid="{C4F7D6F8-81AC-46DF-B3DD-CA545D757096}" name="CC Energy MTD" dataDxfId="140"/>
    <tableColumn id="31" xr3:uid="{94683812-9761-4404-80FC-8264E9B49726}" name="WS MTD" dataDxfId="139"/>
    <tableColumn id="23" xr3:uid="{96B0CB3F-D1BB-4636-B424-847ADE427B13}" name="WS YTD" dataDxfId="138">
      <calculatedColumnFormula>AVERAGEIF($F$2:F2,F2,$AC$2:AC2)</calculatedColumnFormula>
    </tableColumn>
    <tableColumn id="24" xr3:uid="{72D0EEE5-75DB-4D96-9E27-FE2815765996}" name="Bugt PA" dataDxfId="137" dataCellStyle="Percent 43">
      <calculatedColumnFormula>IFERROR(AH2*AI2,"")</calculatedColumnFormula>
    </tableColumn>
    <tableColumn id="25" xr3:uid="{75139D73-ACC8-4980-A26E-5023674A2EA5}" name="Bugt EGA" dataDxfId="136" dataCellStyle="Percent 43"/>
    <tableColumn id="35" xr3:uid="{9391FCF3-B060-4BB6-A10E-FD9A351D153E}" name="Bugt TA" dataDxfId="135" dataCellStyle="Percent"/>
    <tableColumn id="26" xr3:uid="{8B5AE488-62F8-4F64-B74B-424DFCDD8576}" name="Bugt MA" dataDxfId="134" dataCellStyle="Percent"/>
    <tableColumn id="30" xr3:uid="{855EB78D-1C9F-419C-993A-1B7C9DA78F90}" name="Bugt IGA" dataDxfId="133" dataCellStyle="Percent"/>
    <tableColumn id="32" xr3:uid="{649BEC9A-0822-4AE7-BE4C-6B281BD95D9A}" name="Corelation" dataDxfId="132" dataCellStyle="Percent"/>
    <tableColumn id="33" xr3:uid="{FFB69321-1883-433A-9307-4552563D9C42}" name="Bugt Line loss" dataDxfId="131" dataCellStyle="Percent"/>
    <tableColumn id="34" xr3:uid="{29B1EF0B-AF67-46A7-BF21-8C633732C368}" name="Bugt Reactive Power" dataDxfId="130" dataCellStyle="Percent"/>
    <tableColumn id="39" xr3:uid="{6532083B-4EEB-4D84-BFBA-C41587DCA37E}" name="Bugt Capacity" dataDxfId="129" dataCellStyle="Percent"/>
    <tableColumn id="40" xr3:uid="{AE8FF153-DF1D-4118-B552-696C5B6B5E80}" name="CC*Bugt" dataDxfId="128"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76" totalsRowShown="0" headerRowDxfId="127" dataDxfId="125" headerRowBorderDxfId="126" tableBorderDxfId="124" totalsRowBorderDxfId="123">
  <autoFilter ref="A1:AD1076" xr:uid="{879148F4-DD31-463B-B329-D39511C47ACA}"/>
  <tableColumns count="30">
    <tableColumn id="1" xr3:uid="{672251FB-E3C8-4D91-9D48-7E4C04ABE150}" name="Sr. No." dataDxfId="122"/>
    <tableColumn id="2" xr3:uid="{A5AC2E50-E7DE-4566-B60C-55E1EAD2B506}" name="Financial Year" dataDxfId="121">
      <calculatedColumnFormula>YEAR(Table6[[#This Row],[Date]])+IF(MONTH(Table6[[#This Row],[Date]])&gt;=4,1,0)</calculatedColumnFormula>
    </tableColumn>
    <tableColumn id="3" xr3:uid="{FDEDB7C9-B1E4-47C4-9B65-E18FA9B8B585}" name="Calendar Year" dataDxfId="120">
      <calculatedColumnFormula>YEAR(Table6[[#This Row],[Date]])</calculatedColumnFormula>
    </tableColumn>
    <tableColumn id="4" xr3:uid="{F411C3F7-3E1E-48FE-A4D0-CB9A4B631A49}" name="Operating Year" dataDxfId="119"/>
    <tableColumn id="5" xr3:uid="{BA480E83-5310-4537-B43D-CE0CBE2B5959}" name="Month" dataDxfId="118">
      <calculatedColumnFormula>Table6[[#This Row],[Date]]-DAY(Table6[[#This Row],[Date]])+1</calculatedColumnFormula>
    </tableColumn>
    <tableColumn id="6" xr3:uid="{8357E04F-BE5A-4B1A-9D39-725AA9036976}" name="Date" dataDxfId="117"/>
    <tableColumn id="7" xr3:uid="{9EE6D10A-D17E-4EC7-8884-68904786A32C}" name="Affected WTG" dataDxfId="116" dataCellStyle="Normal 27"/>
    <tableColumn id="8" xr3:uid="{9C7EC7A5-1EBF-4719-AFB4-FF8A6488255C}" name="SPV" dataDxfId="115"/>
    <tableColumn id="9" xr3:uid="{B4B7C51B-8637-4B3F-8E5D-30F8CE1BC836}" name="Consumer" dataDxfId="114"/>
    <tableColumn id="10" xr3:uid="{B7DB5D3E-3944-441F-B32E-913496AAEA1F}" name="Plant Equivalent Weightage" dataDxfId="113" dataCellStyle="Percent">
      <calculatedColumnFormula>IFERROR(VLOOKUP(Table6[[#This Row],[Affected WTG]],'Basic Data'!$A$3:$E$56,5,0),"")</calculatedColumnFormula>
    </tableColumn>
    <tableColumn id="11" xr3:uid="{B81DA037-20FB-4EAE-A3A4-38B17FC2D249}" name="Error Code" dataDxfId="112"/>
    <tableColumn id="12" xr3:uid="{0DA5A392-B53E-4DBB-9C75-FAA8AE17C2BF}" name="Error Text" dataDxfId="111" dataCellStyle="Normal 27">
      <calculatedColumnFormula>IFERROR(VLOOKUP(Table6[[#This Row],[Error Code]],'Basic Data'!$T:$U,2,0),"")</calculatedColumnFormula>
    </tableColumn>
    <tableColumn id="13" xr3:uid="{E789E2AA-C10A-4369-8DFA-5C51F51A2968}" name="Breakdown Description" dataDxfId="110"/>
    <tableColumn id="14" xr3:uid="{3F7D8F6F-B4DA-4DE2-93E3-B71D58DF742B}" name="Stoppage Type" dataDxfId="109"/>
    <tableColumn id="15" xr3:uid="{0FF8995A-CA13-4C21-9CE0-57790F086EFB}" name="Fault Start TimeStamp" dataDxfId="108"/>
    <tableColumn id="16" xr3:uid="{BDE50137-11E0-4665-8C87-CB24F9D2641A}" name="Work Start TimeStamp" dataDxfId="107"/>
    <tableColumn id="17" xr3:uid="{8F2290EF-0A49-437A-B75A-F622BBE23F6A}" name="Fault Clearance time" dataDxfId="106"/>
    <tableColumn id="18" xr3:uid="{A2064A0B-34AB-4F98-8CBC-5E244CB1EAD5}" name="Response Time" dataDxfId="105">
      <calculatedColumnFormula>IF(Table6[[#This Row],[Work Start TimeStamp]]="","",(Table6[[#This Row],[Work Start TimeStamp]]-Table6[[#This Row],[Fault Start TimeStamp]])*24)</calculatedColumnFormula>
    </tableColumn>
    <tableColumn id="19" xr3:uid="{1BB0E81E-66F4-4DE2-B535-17CF4C07ECB3}" name="Resolution Time" dataDxfId="104">
      <calculatedColumnFormula>(Table6[[#This Row],[Fault Clearance time]]-Table6[[#This Row],[Work Start TimeStamp]])*24</calculatedColumnFormula>
    </tableColumn>
    <tableColumn id="20" xr3:uid="{0844A323-5674-463D-8F8B-CDBD5A2DE5DB}" name="Breakdown Time" dataDxfId="103">
      <calculatedColumnFormula>(Table6[[#This Row],[Fault Clearance time]]-Table6[[#This Row],[Fault Start TimeStamp]])*24</calculatedColumnFormula>
    </tableColumn>
    <tableColumn id="21" xr3:uid="{68736AE1-45BB-4E78-9261-9E77B3C9DEE2}" name="Action taken" dataDxfId="102"/>
    <tableColumn id="22" xr3:uid="{FED2CA56-6403-4E90-913F-7ADB7D3BAD4F}" name="Status" dataDxfId="101"/>
    <tableColumn id="23" xr3:uid="{8EDCC9E1-836A-4C17-AE57-FE9006819359}" name="Plant Equivalent breakdown" dataDxfId="100" dataCellStyle="Comma">
      <calculatedColumnFormula>Table6[[#This Row],[Breakdown Time]]*(1/39)</calculatedColumnFormula>
    </tableColumn>
    <tableColumn id="24" xr3:uid="{1042C825-DF24-409C-8041-4B8D2440C767}" name="Fault Category" dataDxfId="99" dataCellStyle="Comma"/>
    <tableColumn id="25" xr3:uid="{903BF7A4-F983-44B4-9AF0-69CDB0C55C4F}" name="Paired WTG for Enegy based MA" dataDxfId="98"/>
    <tableColumn id="27" xr3:uid="{47C4DDAA-A89A-4C4A-AB09-B899337E2ABF}" name="Paired WTG Generation for loss calculation" dataDxfId="97"/>
    <tableColumn id="28" xr3:uid="{DAAA9998-F36D-4559-9640-6F4046E06DF9}" name="Estimated Energy Loss (kWh)" dataDxfId="96"/>
    <tableColumn id="29" xr3:uid="{7A4CAC37-554B-4754-9FF8-895A0FE71B11}" name="Special Remarks" dataDxfId="95"/>
    <tableColumn id="30" xr3:uid="{98015B0C-D7A7-4503-8993-B6B38FEECF92}" name="PTW No." dataDxfId="94"/>
    <tableColumn id="31" xr3:uid="{8AEDA088-9472-4C6C-B52E-8A06FFAD30D4}" name="Job Card No." dataDxfId="9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5" totalsRowShown="0" headerRowDxfId="92" headerRowCellStyle="Normal 26">
  <autoFilter ref="A1:Y65" xr:uid="{29D164D4-AB81-40AE-84F9-DBA1578E211B}"/>
  <tableColumns count="25">
    <tableColumn id="1" xr3:uid="{84690491-DD2E-4937-87E1-1BB57ABA076E}" name="Sr. No." dataDxfId="91"/>
    <tableColumn id="2" xr3:uid="{14289472-B5A2-40B5-A0E0-E3D7A9D4F37F}" name="Financial Year">
      <calculatedColumnFormula>YEAR(Table8[[#This Row],[Date]])+IF(MONTH(Table8[[#This Row],[Date]])&gt;=4,1,0)</calculatedColumnFormula>
    </tableColumn>
    <tableColumn id="3" xr3:uid="{1902E4E8-8CDA-4549-8ECC-78579AAE0F68}" name="Calendar Year" dataDxfId="90">
      <calculatedColumnFormula>YEAR(Table6[[#This Row],[Date]])</calculatedColumnFormula>
    </tableColumn>
    <tableColumn id="4" xr3:uid="{053DDDBC-0450-4101-B468-BA0833C74587}" name="Operating Year" dataDxfId="89"/>
    <tableColumn id="5" xr3:uid="{C84CD6F6-0AF0-4E4A-A8AC-DCD8C7AC0542}" name="Month" dataDxfId="88">
      <calculatedColumnFormula>Table8[[#This Row],[Date]]-DAY(Table8[[#This Row],[Date]])+1</calculatedColumnFormula>
    </tableColumn>
    <tableColumn id="6" xr3:uid="{FD85E228-AEF5-48C3-8AD2-E290E907F50C}" name="Date" dataDxfId="87"/>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6"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5"/>
    <tableColumn id="13" xr3:uid="{CD4363C9-E2F1-4CFB-8CEF-F12EF817169F}" name="Work Start TimeStamp" dataDxfId="84"/>
    <tableColumn id="14" xr3:uid="{E0111BDF-EC48-45EC-9625-B871189918EE}" name="Fault Clearance time" dataDxfId="83"/>
    <tableColumn id="15" xr3:uid="{06301D1A-565B-46CB-BD85-5A5487FE602A}" name="Response Time" dataDxfId="82">
      <calculatedColumnFormula>(Table8[[#This Row],[Work Start TimeStamp]]-Table8[[#This Row],[Fault Start TimeStamp]])*24</calculatedColumnFormula>
    </tableColumn>
    <tableColumn id="16" xr3:uid="{DB4EAD56-C756-43F6-A905-95AE61E6E717}" name="Resolution Time" dataDxfId="81">
      <calculatedColumnFormula>IF(Table8[[#This Row],[Work Start TimeStamp]]="","",(Table8[[#This Row],[Fault Clearance time]]-Table8[[#This Row],[Work Start TimeStamp]])*24)</calculatedColumnFormula>
    </tableColumn>
    <tableColumn id="17" xr3:uid="{9CADFEBD-89F7-462C-8B46-BC1CFB542788}" name="Breakdown Time" dataDxfId="80">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9">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8"/>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7">
  <autoFilter ref="A1:AB2" xr:uid="{90134358-5F20-4F67-AF49-165686D2115A}"/>
  <tableColumns count="28">
    <tableColumn id="1" xr3:uid="{97B99004-6E80-4D40-A2C4-BA9C1A88B16A}" name="Sr. No." dataDxfId="76"/>
    <tableColumn id="2" xr3:uid="{55272701-0D89-40A7-8F9A-9DFD689003CE}" name="Financial Year" dataDxfId="75">
      <calculatedColumnFormula>YEAR(Table9[[#This Row],[Date]])+IF(MONTH(Table9[[#This Row],[Date]])&gt;=4,1,0)</calculatedColumnFormula>
    </tableColumn>
    <tableColumn id="3" xr3:uid="{0E281796-55E0-41ED-986E-FF03798B5B2B}" name="Calendar Year" dataDxfId="74"/>
    <tableColumn id="4" xr3:uid="{D65AFC25-2705-4317-88D7-E064C62D3731}" name="Operating Year" dataDxfId="73"/>
    <tableColumn id="5" xr3:uid="{789C034F-A404-4527-BFBB-E078C26D333C}" name="Month" dataDxfId="72">
      <calculatedColumnFormula>Table9[[#This Row],[Date]]-DAY(Table9[[#This Row],[Date]])+1</calculatedColumnFormula>
    </tableColumn>
    <tableColumn id="6" xr3:uid="{C8851158-D404-43F7-9F0B-B5FBEBAFF593}" name="Date" dataDxfId="71"/>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70"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9"/>
    <tableColumn id="14" xr3:uid="{E7BA7DBB-9578-46F0-9A6D-2D11977222D6}" name="Work Start TimeStamp" dataDxfId="68"/>
    <tableColumn id="15" xr3:uid="{8C9F8DA6-7EA0-40D4-AE86-C616B6D54E5B}" name="Fault Clearance time" dataDxfId="67"/>
    <tableColumn id="16" xr3:uid="{56C39CC2-7535-4E88-931D-E4A17FD3DC78}" name="Response Time" dataDxfId="66">
      <calculatedColumnFormula>(Table9[[#This Row],[Work Start TimeStamp]]-Table9[[#This Row],[Fault Start TimeStamp]])*24</calculatedColumnFormula>
    </tableColumn>
    <tableColumn id="17" xr3:uid="{7BA3B28E-9814-4F07-B080-7ACFAE548A24}" name="Resolution Time" dataDxfId="65">
      <calculatedColumnFormula>IF(Table9[[#This Row],[Work Start TimeStamp]]="","",(Table9[[#This Row],[Fault Clearance time]]-Table9[[#This Row],[Work Start TimeStamp]])*24)</calculatedColumnFormula>
    </tableColumn>
    <tableColumn id="18" xr3:uid="{3CA0C704-BC47-4449-B0EB-6D020C15071C}" name="Breakdown Time" dataDxfId="64">
      <calculatedColumnFormula>(Table9[[#This Row],[Fault Clearance time]]-Table9[[#This Row],[Fault Start TimeStamp]])*24</calculatedColumnFormula>
    </tableColumn>
    <tableColumn id="19" xr3:uid="{B6727A3C-8B4D-4DAA-B58C-3AAB217B84E6}" name="Action taken" dataDxfId="63"/>
    <tableColumn id="20" xr3:uid="{FD208E69-290B-4AE9-9DCE-BDF6962C3016}" name="Status" dataDxfId="62"/>
    <tableColumn id="21" xr3:uid="{9FA3F576-B1F1-4FCD-B3F2-870587C4FB72}" name="Plant Equivalent breakdown" dataDxfId="61" dataCellStyle="Comma">
      <calculatedColumnFormula>IFERROR(Table9[[#This Row],[Breakdown Time]]*Table9[[#This Row],[Plant Equivalent Weightage]],"")</calculatedColumnFormula>
    </tableColumn>
    <tableColumn id="22" xr3:uid="{2C4C3D72-3E0B-4876-9712-069F0CE2A461}" name="Fault Category" dataDxfId="60" dataCellStyle="Comma"/>
    <tableColumn id="28" xr3:uid="{DA0B21CD-7321-458A-AD57-D0A367038769}" name="Paired WTG for Enegy based MA" dataDxfId="59"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8">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7" dataDxfId="55" headerRowBorderDxfId="56" tableBorderDxfId="54" totalsRowBorderDxfId="53" headerRowCellStyle="Normal 26 41">
  <tableColumns count="45">
    <tableColumn id="1" xr3:uid="{DC219965-73B9-4F7C-915E-2446A96D6C48}" name="Date" dataDxfId="52"/>
    <tableColumn id="2" xr3:uid="{E9D3CD44-3CB2-4F3F-A952-3DBCE5BAA736}" name="Financial Year" dataDxfId="51">
      <calculatedColumnFormula>YEAR(Table7[[#This Row],[Date]])+IF(MONTH(Table7[[#This Row],[Date]])&gt;=4,1,0)</calculatedColumnFormula>
    </tableColumn>
    <tableColumn id="3" xr3:uid="{E369CB7D-29DA-4BE5-BB5C-36C0186036DD}" name="Calendar Year" dataDxfId="50">
      <calculatedColumnFormula>YEAR(Table7[[#This Row],[Date]])</calculatedColumnFormula>
    </tableColumn>
    <tableColumn id="4" xr3:uid="{017512A1-1218-4A45-A171-E61F41146B17}" name="Month Year" dataDxfId="49">
      <calculatedColumnFormula>A3-DAY(A3)+1</calculatedColumnFormula>
    </tableColumn>
    <tableColumn id="5" xr3:uid="{1BE74533-1857-4977-88D5-6532EBABC10F}" name="G01" dataDxfId="48"/>
    <tableColumn id="6" xr3:uid="{EBC5786F-F5DA-440C-A7EA-62F87472F5E7}" name="G02" dataDxfId="47"/>
    <tableColumn id="7" xr3:uid="{2D4F55E8-5F40-43D0-888A-B0EEED04F007}" name="G03" dataDxfId="46"/>
    <tableColumn id="8" xr3:uid="{C3B9D759-2EA4-4D89-8A4E-1CD11080A6DD}" name="G04" dataDxfId="45"/>
    <tableColumn id="9" xr3:uid="{7E457302-5D3B-4DBA-B194-7DE89E5B45A0}" name="G05" dataDxfId="44"/>
    <tableColumn id="10" xr3:uid="{A345136C-EA13-4EB6-962A-3466A4EFE7BE}" name="G06" dataDxfId="43"/>
    <tableColumn id="11" xr3:uid="{1E2F5408-DBEC-4CBF-9895-DB95C09FC136}" name="G07" dataDxfId="42"/>
    <tableColumn id="12" xr3:uid="{8988E71D-12FC-4967-A6BD-D90A6BBA1497}" name="G08" dataDxfId="41"/>
    <tableColumn id="13" xr3:uid="{4F2462D8-FF4F-4AE8-BBFE-5A649C0666AD}" name="G09" dataDxfId="40"/>
    <tableColumn id="14" xr3:uid="{70780244-BB33-49BB-9B8E-304BB4BBD25D}" name="G10" dataDxfId="39"/>
    <tableColumn id="15" xr3:uid="{34686208-9572-4E0D-8D23-916134F3F887}" name="G11" dataDxfId="38"/>
    <tableColumn id="16" xr3:uid="{7817F84A-4856-4AC2-BD04-2BECF8A11345}" name="G12" dataDxfId="37"/>
    <tableColumn id="17" xr3:uid="{4A4181FC-C8A1-4E8E-84F9-CAB842204A81}" name="G13" dataDxfId="36"/>
    <tableColumn id="18" xr3:uid="{E920AEB6-6179-42B6-8DD8-E49BD12AE0E5}" name="G14" dataDxfId="35"/>
    <tableColumn id="19" xr3:uid="{5598AE94-480D-442B-B378-539C711CD97C}" name="G15" dataDxfId="34"/>
    <tableColumn id="20" xr3:uid="{C1916A31-3F74-427D-8DE2-A7E25C0D96DB}" name="G16" dataDxfId="33"/>
    <tableColumn id="21" xr3:uid="{B9446923-E0EF-421E-84C0-58E9ED9DF29B}" name="G17" dataDxfId="32"/>
    <tableColumn id="22" xr3:uid="{95EDC25E-168C-4844-84EB-49A5E26FFCB7}" name="G18" dataDxfId="31"/>
    <tableColumn id="23" xr3:uid="{471023B4-A2D1-4664-A7C0-7398CBA15CC0}" name="G19" dataDxfId="30"/>
    <tableColumn id="24" xr3:uid="{A9FA4ED6-B019-4BA7-9E21-5AC34EEE0BA9}" name="G20" dataDxfId="29"/>
    <tableColumn id="25" xr3:uid="{94D783AD-24B5-4213-BF4B-148168F6AB04}" name="G21" dataDxfId="28"/>
    <tableColumn id="26" xr3:uid="{98843B16-E3BC-4CAC-B49D-B4F3D9432FB5}" name="G22" dataDxfId="27"/>
    <tableColumn id="27" xr3:uid="{D6AE3C3B-6BB7-4C93-B69C-94E01B4DBF9F}" name="G23" dataDxfId="26"/>
    <tableColumn id="29" xr3:uid="{D8E7F86B-3F2D-46CA-A137-CF7D10B56731}" name="G25" dataDxfId="25"/>
    <tableColumn id="30" xr3:uid="{4850E404-43E8-47DE-B29C-BD9CEC45D481}" name="G26" dataDxfId="24"/>
    <tableColumn id="31" xr3:uid="{3CDC62D9-B2E6-4255-9F3D-3E6EE8A01CFE}" name="G27" dataDxfId="23"/>
    <tableColumn id="32" xr3:uid="{D2F27884-2A8A-46A6-ACF0-4D2EEB014D1D}" name="G28" dataDxfId="22"/>
    <tableColumn id="33" xr3:uid="{B181092D-8262-476C-AA74-4303075A05FC}" name="G29" dataDxfId="21"/>
    <tableColumn id="34" xr3:uid="{AF30CA2B-24E7-451A-B2E4-33E3EFB20FC0}" name="G30" dataDxfId="20"/>
    <tableColumn id="35" xr3:uid="{69EF0A3E-4BED-4C8A-B8A8-2549669B009A}" name="G31" dataDxfId="19"/>
    <tableColumn id="36" xr3:uid="{0DC9A21D-9EC4-4743-BDD4-12605D90506F}" name="G32" dataDxfId="18"/>
    <tableColumn id="37" xr3:uid="{E3284188-8FBD-4023-97F3-F4A005BB4F4F}" name="G33" dataDxfId="17"/>
    <tableColumn id="38" xr3:uid="{9BCDAAA5-E16E-40A3-B1AC-A522B31D8830}" name="G34" dataDxfId="16"/>
    <tableColumn id="39" xr3:uid="{06AB873F-DAE9-423C-9A55-DE41E9515446}" name="G35" dataDxfId="15"/>
    <tableColumn id="40" xr3:uid="{BA880A4E-72D3-4C44-BB36-F75A9E8109BB}" name="G36" dataDxfId="14"/>
    <tableColumn id="41" xr3:uid="{E2C3F5BA-769F-4526-BDB4-618FC1D57A1E}" name="G37" dataDxfId="13"/>
    <tableColumn id="42" xr3:uid="{1BAE7550-6A34-4524-BD33-245541878E4D}" name="G38" dataDxfId="12"/>
    <tableColumn id="43" xr3:uid="{427E24E4-909A-4183-8D54-85D38B32E987}" name="G39" dataDxfId="11"/>
    <tableColumn id="44" xr3:uid="{9E8D1ACE-6C6F-4E5E-B583-2B85B8F74C43}" name="G40" dataDxfId="10"/>
    <tableColumn id="51" xr3:uid="{0BE913FF-FF72-490E-A5E1-053703C379F7}" name="Total Reactive Power (kVArh)" dataDxfId="9">
      <calculatedColumnFormula>SUM(E3:AQ3)</calculatedColumnFormula>
    </tableColumn>
    <tableColumn id="45" xr3:uid="{158C240E-B77B-4528-B67D-7DC21D730F4F}" name="Column1" dataDxfId="8"/>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6" totalsRowShown="0" headerRowDxfId="7">
  <autoFilter ref="A2:G196" xr:uid="{00000000-0009-0000-0100-000007000000}"/>
  <tableColumns count="7">
    <tableColumn id="1" xr3:uid="{00000000-0010-0000-0500-000001000000}" name="Sr. No." dataDxfId="6"/>
    <tableColumn id="2" xr3:uid="{00000000-0010-0000-0500-000002000000}" name="Date" dataDxfId="5"/>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H25" sqref="H25"/>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424" t="s">
        <v>0</v>
      </c>
      <c r="B2" s="425"/>
      <c r="C2" s="425"/>
      <c r="D2" s="425"/>
      <c r="E2" s="425"/>
      <c r="F2" s="426"/>
    </row>
    <row r="3" spans="1:18">
      <c r="A3" s="45" t="s">
        <v>1</v>
      </c>
      <c r="B3" s="162">
        <v>45839</v>
      </c>
      <c r="C3" s="47"/>
      <c r="D3" s="47"/>
      <c r="E3" s="47"/>
      <c r="F3" s="48"/>
    </row>
    <row r="4" spans="1:18">
      <c r="A4" s="45" t="s">
        <v>2</v>
      </c>
      <c r="B4" s="163">
        <v>45868</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427">
        <v>1</v>
      </c>
      <c r="B10" s="61" t="s">
        <v>13</v>
      </c>
      <c r="C10" s="62">
        <f>_xlfn.XLOOKUP($B$4,'Daily KPI'!$A:$A,'Daily KPI'!$AD:$AD)/1000</f>
        <v>585.79781940673683</v>
      </c>
      <c r="D10" s="63">
        <f>_xlfn.XLOOKUP($B$4,'Daily KPI'!$A:$A,'Daily KPI'!$AA:$AA)/1000</f>
        <v>613.20000000000005</v>
      </c>
      <c r="E10" s="64">
        <f>D10/C10-1</f>
        <v>4.6777539426511749E-2</v>
      </c>
      <c r="F10" s="164"/>
    </row>
    <row r="11" spans="1:18">
      <c r="A11" s="428"/>
      <c r="B11" s="65" t="s">
        <v>14</v>
      </c>
      <c r="C11" s="66">
        <f>MonthlyKPI!E4</f>
        <v>17573.934582202106</v>
      </c>
      <c r="D11" s="67">
        <f>MonthlyKPI!F4</f>
        <v>15822</v>
      </c>
      <c r="E11" s="68">
        <f>D11/C11-1</f>
        <v>-9.9689376559781162E-2</v>
      </c>
      <c r="F11" s="165"/>
    </row>
    <row r="12" spans="1:18" ht="15.75" thickBot="1">
      <c r="A12" s="429"/>
      <c r="B12" s="69" t="s">
        <v>15</v>
      </c>
      <c r="C12" s="70">
        <f>AnnualKPI!E4</f>
        <v>60148.889196149008</v>
      </c>
      <c r="D12" s="71">
        <f>AnnualKPI!F4</f>
        <v>54940.800000000003</v>
      </c>
      <c r="E12" s="72">
        <f>D12/C12-1</f>
        <v>-8.658662305741216E-2</v>
      </c>
      <c r="F12" s="166"/>
    </row>
    <row r="13" spans="1:18">
      <c r="A13" s="427">
        <v>2</v>
      </c>
      <c r="B13" s="61" t="s">
        <v>16</v>
      </c>
      <c r="C13" s="73">
        <f>_xlfn.XLOOKUP($B$3,'Modelling New'!$D:$D,'Modelling New'!AC:AC)</f>
        <v>7.1310648756787653</v>
      </c>
      <c r="D13" s="74">
        <f>_xlfn.XLOOKUP($B$4,'Daily KPI'!$A:$A,'Daily KPI'!M:M)</f>
        <v>5.000745753465794</v>
      </c>
      <c r="E13" s="64">
        <f t="shared" ref="E13:E39" si="0">(D13-C13)/(C13)</f>
        <v>-0.29873786865670582</v>
      </c>
      <c r="F13" s="164"/>
    </row>
    <row r="14" spans="1:18">
      <c r="A14" s="428"/>
      <c r="B14" s="65" t="s">
        <v>17</v>
      </c>
      <c r="C14" s="75">
        <f>MonthlyKPI!C4</f>
        <v>7.1310648756787653</v>
      </c>
      <c r="D14" s="76">
        <f>MonthlyKPI!D4</f>
        <v>5.1809349914545022</v>
      </c>
      <c r="E14" s="68">
        <f t="shared" si="0"/>
        <v>-0.27346965961218261</v>
      </c>
      <c r="F14" s="165"/>
    </row>
    <row r="15" spans="1:18" ht="15.75" thickBot="1">
      <c r="A15" s="429"/>
      <c r="B15" s="69" t="s">
        <v>18</v>
      </c>
      <c r="C15" s="77">
        <f>AnnualKPI!C4</f>
        <v>6.2836120320091453</v>
      </c>
      <c r="D15" s="78">
        <f>AnnualKPI!D4</f>
        <v>5.1327260373491796</v>
      </c>
      <c r="E15" s="72">
        <f t="shared" si="0"/>
        <v>-0.18315675582726534</v>
      </c>
      <c r="F15" s="166"/>
    </row>
    <row r="16" spans="1:18">
      <c r="A16" s="427">
        <v>3</v>
      </c>
      <c r="B16" s="61" t="s">
        <v>19</v>
      </c>
      <c r="C16" s="79">
        <f>_xlfn.XLOOKUP($B$3,'Modelling New'!$D:$D,'Modelling New'!$AE:$AE)</f>
        <v>0.96029999999999993</v>
      </c>
      <c r="D16" s="79">
        <f>_xlfn.XLOOKUP($B$4,'Daily KPI'!$A:$A,'Daily KPI'!$O:$O)</f>
        <v>0.92784521376497964</v>
      </c>
      <c r="E16" s="64">
        <f t="shared" si="0"/>
        <v>-3.3796507586192126E-2</v>
      </c>
      <c r="F16" s="170"/>
    </row>
    <row r="17" spans="1:6">
      <c r="A17" s="428"/>
      <c r="B17" s="65" t="s">
        <v>20</v>
      </c>
      <c r="C17" s="80">
        <f>_xlfn.XLOOKUP($B$3,'Modelling New'!$D:$D,'Modelling New'!$AE:$AE)</f>
        <v>0.96029999999999993</v>
      </c>
      <c r="D17" s="80">
        <f>MonthlyKPI!$P$4</f>
        <v>0.93021973845658124</v>
      </c>
      <c r="E17" s="68">
        <f t="shared" si="0"/>
        <v>-3.1323817081556488E-2</v>
      </c>
      <c r="F17" s="170"/>
    </row>
    <row r="18" spans="1:6" ht="15.75" thickBot="1">
      <c r="A18" s="429"/>
      <c r="B18" s="69" t="s">
        <v>21</v>
      </c>
      <c r="C18" s="81">
        <f>_xlfn.XLOOKUP($B$3,'Modelling New'!$D:$D,'Modelling New'!$AE:$AE)</f>
        <v>0.96029999999999993</v>
      </c>
      <c r="D18" s="81">
        <f>AnnualKPI!$P$4</f>
        <v>0.92252287361924179</v>
      </c>
      <c r="E18" s="72">
        <f t="shared" si="0"/>
        <v>-3.9338879913316825E-2</v>
      </c>
      <c r="F18" s="170"/>
    </row>
    <row r="19" spans="1:6">
      <c r="A19" s="427">
        <v>4</v>
      </c>
      <c r="B19" s="61" t="s">
        <v>22</v>
      </c>
      <c r="C19" s="79">
        <f>_xlfn.XLOOKUP($B$3,'Modelling New'!$D:$D,'Modelling New'!$AH:$AH)</f>
        <v>0.97</v>
      </c>
      <c r="D19" s="79">
        <f>_xlfn.XLOOKUP($B$4,'Daily KPI'!$A:$A,'Daily KPI'!$P:$P)</f>
        <v>0.93486003831001296</v>
      </c>
      <c r="E19" s="64">
        <f t="shared" si="0"/>
        <v>-3.622676462885259E-2</v>
      </c>
      <c r="F19" s="164"/>
    </row>
    <row r="20" spans="1:6">
      <c r="A20" s="428"/>
      <c r="B20" s="65" t="s">
        <v>23</v>
      </c>
      <c r="C20" s="80">
        <f>_xlfn.XLOOKUP($B$3,'Modelling New'!$D:$D,'Modelling New'!$AH:$AH)</f>
        <v>0.97</v>
      </c>
      <c r="D20" s="80">
        <f>MonthlyKPI!L4</f>
        <v>0.93382945183793731</v>
      </c>
      <c r="E20" s="68">
        <f t="shared" si="0"/>
        <v>-3.7289224909342958E-2</v>
      </c>
      <c r="F20" s="165"/>
    </row>
    <row r="21" spans="1:6" ht="15.75" thickBot="1">
      <c r="A21" s="429"/>
      <c r="B21" s="69" t="s">
        <v>24</v>
      </c>
      <c r="C21" s="81">
        <f>_xlfn.XLOOKUP($B$3,'Modelling New'!$D:$D,'Modelling New'!$AH:$AH)</f>
        <v>0.97</v>
      </c>
      <c r="D21" s="81">
        <f>AnnualKPI!L4</f>
        <v>0.92790998934014768</v>
      </c>
      <c r="E21" s="72">
        <f t="shared" si="0"/>
        <v>-4.339176356685804E-2</v>
      </c>
      <c r="F21" s="166"/>
    </row>
    <row r="22" spans="1:6">
      <c r="A22" s="427">
        <v>5</v>
      </c>
      <c r="B22" s="61" t="s">
        <v>25</v>
      </c>
      <c r="C22" s="79">
        <f>_xlfn.XLOOKUP($B$3,'Modelling New'!$D:$D,'Modelling New'!$AF:$AF)</f>
        <v>0.995</v>
      </c>
      <c r="D22" s="79">
        <f>_xlfn.XLOOKUP($B$4,'Daily KPI'!$A:$A,'Daily KPI'!$R:$R)</f>
        <v>1</v>
      </c>
      <c r="E22" s="64">
        <f t="shared" si="0"/>
        <v>5.0251256281407079E-3</v>
      </c>
      <c r="F22" s="164"/>
    </row>
    <row r="23" spans="1:6">
      <c r="A23" s="428"/>
      <c r="B23" s="65" t="s">
        <v>26</v>
      </c>
      <c r="C23" s="80">
        <f>_xlfn.XLOOKUP($B$3,'Modelling New'!$D:$D,'Modelling New'!$AF:$AF)</f>
        <v>0.995</v>
      </c>
      <c r="D23" s="80">
        <f>MonthlyKPI!J4</f>
        <v>1</v>
      </c>
      <c r="E23" s="68">
        <f t="shared" si="0"/>
        <v>5.0251256281407079E-3</v>
      </c>
      <c r="F23" s="165"/>
    </row>
    <row r="24" spans="1:6" ht="15.75" thickBot="1">
      <c r="A24" s="429"/>
      <c r="B24" s="69" t="s">
        <v>27</v>
      </c>
      <c r="C24" s="81">
        <f>_xlfn.XLOOKUP($B$3,'Modelling New'!$D:$D,'Modelling New'!$AF:$AF)</f>
        <v>0.995</v>
      </c>
      <c r="D24" s="81">
        <f>AnnualKPI!J4</f>
        <v>1</v>
      </c>
      <c r="E24" s="72">
        <f t="shared" si="0"/>
        <v>5.0251256281407079E-3</v>
      </c>
      <c r="F24" s="166"/>
    </row>
    <row r="25" spans="1:6">
      <c r="A25" s="427">
        <v>6</v>
      </c>
      <c r="B25" s="61" t="s">
        <v>28</v>
      </c>
      <c r="C25" s="79">
        <f>_xlfn.XLOOKUP($B$3,'Modelling New'!$D:$D,'Modelling New'!$AI:$AI)</f>
        <v>0.99</v>
      </c>
      <c r="D25" s="79">
        <f>_xlfn.XLOOKUP($B$4,'Daily KPI'!$A:$A,'Daily KPI'!$Q:$Q)</f>
        <v>0.9924963906279336</v>
      </c>
      <c r="E25" s="64">
        <f t="shared" si="0"/>
        <v>2.5216066948824333E-3</v>
      </c>
      <c r="F25" s="164"/>
    </row>
    <row r="26" spans="1:6">
      <c r="A26" s="428"/>
      <c r="B26" s="65" t="s">
        <v>29</v>
      </c>
      <c r="C26" s="80">
        <f>_xlfn.XLOOKUP($B$3,'Modelling New'!$D:$D,'Modelling New'!$AI:$AI)</f>
        <v>0.99</v>
      </c>
      <c r="D26" s="80">
        <f>MonthlyKPI!N4</f>
        <v>0.99613450467400499</v>
      </c>
      <c r="E26" s="68">
        <f t="shared" si="0"/>
        <v>6.1964693676818221E-3</v>
      </c>
      <c r="F26" s="165"/>
    </row>
    <row r="27" spans="1:6" ht="15.75" thickBot="1">
      <c r="A27" s="429"/>
      <c r="B27" s="69" t="s">
        <v>30</v>
      </c>
      <c r="C27" s="81">
        <f>_xlfn.XLOOKUP($B$3,'Modelling New'!$D:$D,'Modelling New'!$AI:$AI)</f>
        <v>0.99</v>
      </c>
      <c r="D27" s="81">
        <f>AnnualKPI!N4</f>
        <v>0.99419435529006783</v>
      </c>
      <c r="E27" s="72">
        <f t="shared" si="0"/>
        <v>4.236722515220042E-3</v>
      </c>
      <c r="F27" s="166"/>
    </row>
    <row r="28" spans="1:6">
      <c r="A28" s="427">
        <v>7</v>
      </c>
      <c r="B28" s="61" t="s">
        <v>31</v>
      </c>
      <c r="C28" s="147">
        <f>IFERROR(_xlfn.XLOOKUP($B$4,'Daily KPI'!$A:$A,'Daily KPI'!$AF:$AF),"")</f>
        <v>0.31292618558052182</v>
      </c>
      <c r="D28" s="79">
        <f>_xlfn.XLOOKUP($B$4,'Daily KPI'!$A:$A,'Daily KPI'!$W:$W)</f>
        <v>0.32756410256410257</v>
      </c>
      <c r="E28" s="64">
        <f>D28/C28-1</f>
        <v>4.6777539426511527E-2</v>
      </c>
      <c r="F28" s="164"/>
    </row>
    <row r="29" spans="1:6">
      <c r="A29" s="428"/>
      <c r="B29" s="65" t="s">
        <v>32</v>
      </c>
      <c r="C29" s="148">
        <f>MonthlyKPI!$G$4</f>
        <v>0.31292618558052182</v>
      </c>
      <c r="D29" s="80">
        <f>MonthlyKPI!H4</f>
        <v>0.28173076923076923</v>
      </c>
      <c r="E29" s="68">
        <f t="shared" si="0"/>
        <v>-9.9689376559781134E-2</v>
      </c>
      <c r="F29" s="165"/>
    </row>
    <row r="30" spans="1:6" ht="15.75" thickBot="1">
      <c r="A30" s="429"/>
      <c r="B30" s="69" t="s">
        <v>33</v>
      </c>
      <c r="C30" s="149">
        <f>AnnualKPI!$G$4</f>
        <v>0.26554394114284896</v>
      </c>
      <c r="D30" s="81">
        <f>AnnualKPI!H4</f>
        <v>0.24255138800593348</v>
      </c>
      <c r="E30" s="72">
        <f t="shared" si="0"/>
        <v>-8.6586623057412063E-2</v>
      </c>
      <c r="F30" s="166"/>
    </row>
    <row r="31" spans="1:6">
      <c r="A31" s="427">
        <v>8</v>
      </c>
      <c r="B31" s="61" t="s">
        <v>34</v>
      </c>
      <c r="C31" s="80">
        <v>0.05</v>
      </c>
      <c r="D31" s="79">
        <f>_xlfn.XLOOKUP($B$4,'Daily KPI'!$A:$A,'Daily KPI'!$AN:$AN)</f>
        <v>5.5028195260082846E-3</v>
      </c>
      <c r="E31" s="64">
        <f>-(D31-C31)/(C31)</f>
        <v>0.88994360947983431</v>
      </c>
      <c r="F31" s="164"/>
    </row>
    <row r="32" spans="1:6">
      <c r="A32" s="428"/>
      <c r="B32" s="65" t="s">
        <v>35</v>
      </c>
      <c r="C32" s="80">
        <v>0.05</v>
      </c>
      <c r="D32" s="151">
        <f>MonthlyKPI!$U$4</f>
        <v>1.2161556091833496E-2</v>
      </c>
      <c r="E32" s="68">
        <f t="shared" ref="E32:E33" si="1">-(D32-C32)/(C32)</f>
        <v>0.75676887816333005</v>
      </c>
      <c r="F32" s="165"/>
    </row>
    <row r="33" spans="1:6" ht="15.75" thickBot="1">
      <c r="A33" s="429"/>
      <c r="B33" s="69" t="s">
        <v>36</v>
      </c>
      <c r="C33" s="80">
        <v>0.05</v>
      </c>
      <c r="D33" s="81">
        <f>AnnualKPI!$R$4</f>
        <v>1.8161177466116177E-2</v>
      </c>
      <c r="E33" s="72">
        <f t="shared" si="1"/>
        <v>0.63677645067767652</v>
      </c>
      <c r="F33" s="166"/>
    </row>
    <row r="34" spans="1:6">
      <c r="A34" s="427">
        <v>9</v>
      </c>
      <c r="B34" s="61" t="s">
        <v>37</v>
      </c>
      <c r="C34" s="79">
        <v>0.05</v>
      </c>
      <c r="D34" s="155">
        <f>_xlfn.XLOOKUP($B$4,'Daily KPI'!$A:$A,'Daily KPI'!$AO:$AO)</f>
        <v>0</v>
      </c>
      <c r="E34" s="64">
        <f>-(D34-C34)/(C34)</f>
        <v>1</v>
      </c>
      <c r="F34" s="164"/>
    </row>
    <row r="35" spans="1:6">
      <c r="A35" s="428"/>
      <c r="B35" s="65" t="s">
        <v>38</v>
      </c>
      <c r="C35" s="80">
        <v>0.05</v>
      </c>
      <c r="D35" s="156">
        <f>MonthlyKPI!$V$4</f>
        <v>1.482497476343766E-5</v>
      </c>
      <c r="E35" s="68">
        <f>-(D35-C35)/(C35)</f>
        <v>0.99970350050473122</v>
      </c>
      <c r="F35" s="165"/>
    </row>
    <row r="36" spans="1:6" ht="15.75" thickBot="1">
      <c r="A36" s="429"/>
      <c r="B36" s="69" t="s">
        <v>39</v>
      </c>
      <c r="C36" s="80">
        <v>0.05</v>
      </c>
      <c r="D36" s="157">
        <f>AnnualKPI!$S$4</f>
        <v>4.2114564931332051E-5</v>
      </c>
      <c r="E36" s="72">
        <f>-(D36-C36)/(C36)</f>
        <v>0.99915770870137333</v>
      </c>
      <c r="F36" s="166"/>
    </row>
    <row r="37" spans="1:6">
      <c r="A37" s="427">
        <v>10</v>
      </c>
      <c r="B37" s="61" t="s">
        <v>40</v>
      </c>
      <c r="C37" s="152">
        <f>IFERROR(_xlfn.XLOOKUP($B$4,'Daily KPI'!$A:$A,'Daily KPI'!$AI:$AI),"")</f>
        <v>616.59</v>
      </c>
      <c r="D37" s="62">
        <f>IFERROR(_xlfn.XLOOKUP($B$4,'Daily KPI'!$A:$A,'Daily KPI'!$X:$X)/1000,"")</f>
        <v>616.59299999999996</v>
      </c>
      <c r="E37" s="64">
        <f t="shared" si="0"/>
        <v>4.8654697609903812E-6</v>
      </c>
      <c r="F37" s="164"/>
    </row>
    <row r="38" spans="1:6">
      <c r="A38" s="428"/>
      <c r="B38" s="65" t="s">
        <v>41</v>
      </c>
      <c r="C38" s="153">
        <f>MonthlyKPI!$T$4</f>
        <v>15960.748000000003</v>
      </c>
      <c r="D38" s="66">
        <f>IFERROR(SUMIF('Daily KPI'!$D:$D,O2Summary!$B$3,'Daily KPI'!$X:$X)/1000,"")</f>
        <v>15960.786</v>
      </c>
      <c r="E38" s="68">
        <f t="shared" si="0"/>
        <v>2.3808407974881673E-6</v>
      </c>
      <c r="F38" s="165"/>
    </row>
    <row r="39" spans="1:6" ht="15.75" thickBot="1">
      <c r="A39" s="429"/>
      <c r="B39" s="69" t="s">
        <v>42</v>
      </c>
      <c r="C39" s="154">
        <f>AnnualKPI!$Q$4</f>
        <v>55622.465999999979</v>
      </c>
      <c r="D39" s="70">
        <f>IFERROR(SUMIFS('Daily KPI'!$X:$X,'Daily KPI'!$A:$A,"&gt;="&amp;O2Summary!$B$6,'Daily KPI'!$A:$A,"&lt;="&amp;O2Summary!B4)/1000,"")</f>
        <v>55795.123</v>
      </c>
      <c r="E39" s="72">
        <f t="shared" si="0"/>
        <v>3.1040874742953887E-3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45868</v>
      </c>
      <c r="C1" s="31">
        <f>O2Summary!B3</f>
        <v>45839</v>
      </c>
    </row>
    <row r="2" spans="1:19" ht="21">
      <c r="A2" s="430" t="s">
        <v>44</v>
      </c>
      <c r="B2" s="431"/>
      <c r="C2" s="431"/>
      <c r="D2" s="431"/>
      <c r="E2" s="431"/>
      <c r="F2" s="431"/>
      <c r="G2" s="431"/>
      <c r="H2" s="431"/>
      <c r="I2" s="431"/>
      <c r="J2" s="431"/>
      <c r="K2" s="431"/>
      <c r="L2" s="431"/>
      <c r="M2" s="431"/>
      <c r="N2" s="431"/>
      <c r="O2" s="431"/>
      <c r="P2" s="431"/>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121</v>
      </c>
      <c r="C4" s="33">
        <f>_xlfn.XLOOKUP($C$1,'Modelling New'!$D:$D,'Modelling New'!$AD:$AD)</f>
        <v>6.2836120320091453</v>
      </c>
      <c r="D4" s="34">
        <f>AVERAGEIFS('Daily KPI'!$M:$M,'Daily KPI'!$A:$A,"&gt;="&amp;O2Summary!$B$6,'Daily KPI'!$A:$A,"&lt;="&amp;AnnualKPI!$B$1)</f>
        <v>5.1327260373491796</v>
      </c>
      <c r="E4" s="32">
        <f>_xlfn.XLOOKUP($C$1,'Modelling New'!$D:$D,'Modelling New'!$V:$V)</f>
        <v>60148.889196149008</v>
      </c>
      <c r="F4" s="35">
        <f>SUMIFS('Daily KPI'!$AA:$AA,'Daily KPI'!$A:$A,"&gt;="&amp;O2Summary!$B$6,'Daily KPI'!$A:$A,"&lt;="&amp;AnnualKPI!$B$1)/1000</f>
        <v>54940.800000000003</v>
      </c>
      <c r="G4" s="36">
        <f>_xlfn.XLOOKUP($C$1,'Modelling New'!$D:$D,'Modelling New'!$Y:$Y)</f>
        <v>0.26554394114284896</v>
      </c>
      <c r="H4" s="37">
        <f>IFERROR(F4/(B4*24*'Basic Data'!$K$3),"")</f>
        <v>0.24255138800593348</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0.92790998934014768</v>
      </c>
      <c r="M4" s="36">
        <f>_xlfn.XLOOKUP($C$1,'Modelling New'!$D:$D,'Modelling New'!$AI:$AI)</f>
        <v>0.99</v>
      </c>
      <c r="N4" s="38">
        <f>AVERAGEIFS('Daily KPI'!$Q:$Q,'Daily KPI'!$A:$A,"&gt;="&amp;O2Summary!$B$6,'Daily KPI'!$A:$A,"&lt;="&amp;AnnualKPI!$B$1)</f>
        <v>0.99419435529006783</v>
      </c>
      <c r="O4" s="36">
        <f>K4*M4</f>
        <v>0.96029999999999993</v>
      </c>
      <c r="P4" s="38">
        <f>L4*N4</f>
        <v>0.92252287361924179</v>
      </c>
      <c r="Q4" s="35">
        <f>SUMIFS('Daily KPI'!$AI:$AI,'Daily KPI'!$A:$A,"&gt;="&amp;O2Summary!$B$6,'Daily KPI'!$A:$A,"&lt;="&amp;AnnualKPI!$B$1)</f>
        <v>55622.465999999979</v>
      </c>
      <c r="R4" s="38">
        <f>AVERAGEIFS('Daily KPI'!$AN:$AN,'Daily KPI'!$A:$A,"&gt;="&amp;O2Summary!$B$6,'Daily KPI'!$A:$A,"&lt;="&amp;AnnualKPI!$B$1)</f>
        <v>1.8161177466116177E-2</v>
      </c>
      <c r="S4" s="38">
        <f>AVERAGEIFS('Daily KPI'!$AO:$AO,'Daily KPI'!$A:$A,"&gt;="&amp;O2Summary!$B$6,'Daily KPI'!$A:$A,"&lt;="&amp;AnnualKPI!$B$1)</f>
        <v>4.2114564931332051E-5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45868</v>
      </c>
      <c r="C1" s="28">
        <v>0</v>
      </c>
      <c r="D1" s="28">
        <v>0</v>
      </c>
      <c r="E1" s="28">
        <v>0</v>
      </c>
      <c r="F1" s="28">
        <v>0</v>
      </c>
    </row>
    <row r="2" spans="1:22" ht="29.1" customHeight="1">
      <c r="A2" s="430" t="s">
        <v>64</v>
      </c>
      <c r="B2" s="431"/>
      <c r="C2" s="431"/>
      <c r="D2" s="431"/>
      <c r="E2" s="431"/>
      <c r="F2" s="431"/>
      <c r="G2" s="431"/>
      <c r="H2" s="431"/>
      <c r="I2" s="431"/>
      <c r="J2" s="431"/>
      <c r="K2" s="431"/>
      <c r="L2" s="431"/>
      <c r="M2" s="431"/>
      <c r="N2" s="431"/>
      <c r="O2" s="431"/>
      <c r="P2" s="431"/>
      <c r="Q2" s="431"/>
      <c r="R2" s="431"/>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30</v>
      </c>
      <c r="C4" s="33">
        <f>_xlfn.XLOOKUP($A$4,'Modelling New'!$D:$D,'Modelling New'!$AC:$AC)</f>
        <v>7.1310648756787653</v>
      </c>
      <c r="D4" s="34">
        <f>AVERAGEIF('Daily KPI'!$D:$D,$A$4,'Daily KPI'!$M:$M)</f>
        <v>5.1809349914545022</v>
      </c>
      <c r="E4" s="32">
        <f>_xlfn.XLOOKUP($A$4,'Modelling New'!$D:$D,'Modelling New'!$U:$U)</f>
        <v>17573.934582202106</v>
      </c>
      <c r="F4" s="35">
        <f>SUMIFS('Daily KPI'!$AA:$AA,'Daily KPI'!$D:$D,$A$4)/1000</f>
        <v>15822</v>
      </c>
      <c r="G4" s="36">
        <f>_xlfn.XLOOKUP($A$4,'Modelling New'!$D:$D,'Modelling New'!$X:$X)</f>
        <v>0.31292618558052182</v>
      </c>
      <c r="H4" s="37">
        <f>F4/(24*B4*'Basic Data'!$K$3)</f>
        <v>0.28173076923076923</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0.93382945183793731</v>
      </c>
      <c r="M4" s="36">
        <f>_xlfn.XLOOKUP($A$4,'Modelling New'!$D:$D,'Modelling New'!$AI:$AI)</f>
        <v>0.99</v>
      </c>
      <c r="N4" s="37">
        <f>AVERAGEIFS('Daily KPI'!$Q:$Q,'Daily KPI'!$A:$A,"&lt;="&amp;MonthlyKPI!$B$1,'Daily KPI'!$D:$D,$A$4)</f>
        <v>0.99613450467400499</v>
      </c>
      <c r="O4" s="36">
        <f>K4*M4</f>
        <v>0.96029999999999993</v>
      </c>
      <c r="P4" s="38">
        <f>L4*N4</f>
        <v>0.93021973845658124</v>
      </c>
      <c r="Q4" s="32">
        <f>SUMIFS('Daily KPI'!$X:$X,'Daily KPI'!$D:$D,$A$4)/1000</f>
        <v>15960.786</v>
      </c>
      <c r="R4" s="38">
        <f>Q4/F4-1</f>
        <v>8.7717102768296584E-3</v>
      </c>
      <c r="S4" s="32">
        <f>SUMIFS(Input_Raw!DE:DE,Input_Raw!A:A,"&gt;="&amp;A4,Input_Raw!A:A,"&lt;="&amp;B1)/1000</f>
        <v>15.960748000000002</v>
      </c>
      <c r="T4" s="35">
        <f>SUMIFS('Daily KPI'!$AI:$AI,'Daily KPI'!$D:$D,$A$4)</f>
        <v>15960.748000000003</v>
      </c>
      <c r="U4" s="37">
        <f>IFERROR(AVERAGEIFS('Daily KPI'!$AN:$AN,'Daily KPI'!$D:$D,MonthlyKPI!$A$4,'Daily KPI'!$A:$A,"&lt;="&amp;MonthlyKPI!$B$1),"")</f>
        <v>1.2161556091833496E-2</v>
      </c>
      <c r="V4" s="38">
        <f>AVERAGEIFS('Daily KPI'!$AO:$AO,'Daily KPI'!$A:$A,"&lt;="&amp;MonthlyKPI!$B$1,'Daily KPI'!$D:$D,$A$4)</f>
        <v>1.482497476343766E-5</v>
      </c>
    </row>
    <row r="6" spans="1:22" ht="29.1" customHeight="1">
      <c r="Q6" s="3"/>
    </row>
    <row r="7" spans="1:22" ht="29.1" customHeight="1">
      <c r="A7" s="26" t="s">
        <v>69</v>
      </c>
      <c r="B7" s="27">
        <f>B8-6</f>
        <v>45862</v>
      </c>
      <c r="D7" s="40"/>
      <c r="F7" s="40"/>
    </row>
    <row r="8" spans="1:22" ht="29.1" customHeight="1">
      <c r="A8" s="26" t="s">
        <v>70</v>
      </c>
      <c r="B8" s="27">
        <f>B1</f>
        <v>45868</v>
      </c>
    </row>
    <row r="9" spans="1:22" ht="29.1" customHeight="1">
      <c r="A9" s="430" t="s">
        <v>71</v>
      </c>
      <c r="B9" s="431"/>
      <c r="C9" s="431"/>
      <c r="D9" s="431"/>
      <c r="E9" s="431"/>
      <c r="F9" s="431"/>
      <c r="G9" s="431"/>
      <c r="H9" s="431"/>
      <c r="I9" s="431"/>
      <c r="J9" s="431"/>
      <c r="K9" s="431"/>
      <c r="L9" s="431"/>
      <c r="M9" s="431"/>
      <c r="N9" s="431"/>
      <c r="O9" s="431"/>
      <c r="P9" s="431"/>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6.2924914720487113</v>
      </c>
      <c r="E11" s="32">
        <f>SUMIFS('Daily KPI'!$AD:$AD,'Daily KPI'!$A:$A,"&gt;="&amp;$B$7,'Daily KPI'!$A:$A,"&lt;="&amp;$B$8)/1000</f>
        <v>4100.5847358471574</v>
      </c>
      <c r="F11" s="35">
        <f>SUMIFS('Daily KPI'!$AA:$AA,'Daily KPI'!$A:$A,"&gt;="&amp;$B$7,'Daily KPI'!$A:$A,"&lt;="&amp;$B$8)/1000</f>
        <v>5389.2</v>
      </c>
      <c r="G11" s="36">
        <f>E11/(24*$B$11*'Basic Data'!$K$3)</f>
        <v>0.31292618558052177</v>
      </c>
      <c r="H11" s="37">
        <f>F11/(24*B11*'Basic Data'!$K$3)</f>
        <v>0.41126373626373625</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0.95362782760152853</v>
      </c>
      <c r="M11" s="36">
        <f>_xlfn.XLOOKUP($A$4,'Modelling New'!$D:$D,'Modelling New'!$AI:$AI)</f>
        <v>0.99</v>
      </c>
      <c r="N11" s="37">
        <f>AVERAGEIFS('Daily KPI'!$Q:$Q,'Daily KPI'!$A:$A,"&gt;="&amp;$B$7,'Daily KPI'!$A:$A,"&lt;="&amp;$B$8)</f>
        <v>0.99112449662911051</v>
      </c>
      <c r="O11" s="36">
        <f>K11*M11</f>
        <v>0.96029999999999993</v>
      </c>
      <c r="P11" s="38">
        <f>L11*N11</f>
        <v>0.94516390060307709</v>
      </c>
      <c r="Q11" s="32">
        <f>SUMIFS(Input_Raw!DE:DE,Input_Raw!A:A,"&gt;="&amp;B7,Input_Raw!A:A,"&lt;="&amp;B8)/1000</f>
        <v>5.4134099999999998</v>
      </c>
      <c r="R11"/>
    </row>
    <row r="14" spans="1:22" ht="29.1" customHeight="1">
      <c r="A14" s="26" t="s">
        <v>69</v>
      </c>
      <c r="B14" s="27">
        <f>B15-29</f>
        <v>45839</v>
      </c>
      <c r="D14" s="40"/>
      <c r="F14" s="40"/>
    </row>
    <row r="15" spans="1:22" ht="29.1" customHeight="1">
      <c r="A15" s="26" t="s">
        <v>70</v>
      </c>
      <c r="B15" s="27">
        <f>B8</f>
        <v>45868</v>
      </c>
    </row>
    <row r="16" spans="1:22" ht="29.1" customHeight="1">
      <c r="A16" s="430" t="s">
        <v>72</v>
      </c>
      <c r="B16" s="431"/>
      <c r="C16" s="431"/>
      <c r="D16" s="431"/>
      <c r="E16" s="431"/>
      <c r="F16" s="431"/>
      <c r="G16" s="431"/>
      <c r="H16" s="431"/>
      <c r="I16" s="431"/>
      <c r="J16" s="431"/>
      <c r="K16" s="431"/>
      <c r="L16" s="431"/>
      <c r="M16" s="431"/>
      <c r="N16" s="431"/>
      <c r="O16" s="431"/>
      <c r="P16" s="431"/>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5.1809349914545022</v>
      </c>
      <c r="E18" s="32">
        <f>SUMIFS('Daily KPI'!$AD:$AD,'Daily KPI'!$A:$A,"&gt;="&amp;$B$14,'Daily KPI'!$A:$A,"&lt;="&amp;$B$15)/1000</f>
        <v>17573.934582202102</v>
      </c>
      <c r="F18" s="35">
        <f>SUMIFS('Daily KPI'!$AA:$AA,'Daily KPI'!$A:$A,"&gt;="&amp;$B$14,'Daily KPI'!$A:$A,"&lt;="&amp;$B$15)/1000</f>
        <v>15822</v>
      </c>
      <c r="G18" s="36">
        <f>E18/(24*$B$18*'Basic Data'!$K$3)</f>
        <v>0.31292618558052177</v>
      </c>
      <c r="H18" s="37">
        <f>F18/(24*B18*'Basic Data'!$K$3)</f>
        <v>0.28173076923076923</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0.93382945183793731</v>
      </c>
      <c r="M18" s="36">
        <f>_xlfn.XLOOKUP($A$4,'Modelling New'!$D:$D,'Modelling New'!$AI:$AI)</f>
        <v>0.99</v>
      </c>
      <c r="N18" s="37">
        <f>AVERAGEIFS('Daily KPI'!$Q:$Q,'Daily KPI'!$A:$A,"&gt;="&amp;$B$14,'Daily KPI'!$A:$A,"&lt;="&amp;$B$15)</f>
        <v>0.99613450467400499</v>
      </c>
      <c r="O18" s="36">
        <f>K18*M18</f>
        <v>0.96029999999999993</v>
      </c>
      <c r="P18" s="38">
        <f>L18*N18</f>
        <v>0.93021973845658124</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45868</v>
      </c>
      <c r="C3">
        <f>((B3-B2)+1)*24</f>
        <v>720</v>
      </c>
      <c r="D3" s="358">
        <f>MEDIAN(B21:AN21)</f>
        <v>5.6</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0.93085686728395067</v>
      </c>
      <c r="C5" s="361">
        <f>IFERROR(($C$3-C6)/$C$3,1)</f>
        <v>0.97053279320987651</v>
      </c>
      <c r="D5" s="361">
        <f t="shared" ref="D5:AN5" si="0">IFERROR(($C$3-D6)/$C$3,1)</f>
        <v>0.9975694444444444</v>
      </c>
      <c r="E5" s="361">
        <f t="shared" si="0"/>
        <v>0.9792129629629629</v>
      </c>
      <c r="F5" s="361">
        <f t="shared" si="0"/>
        <v>0.99918981481481473</v>
      </c>
      <c r="G5" s="361">
        <f t="shared" si="0"/>
        <v>0.9948379629629629</v>
      </c>
      <c r="H5" s="361">
        <f t="shared" si="0"/>
        <v>0.99798611111111102</v>
      </c>
      <c r="I5" s="361">
        <f t="shared" si="0"/>
        <v>1</v>
      </c>
      <c r="J5" s="361">
        <f t="shared" si="0"/>
        <v>0.99699074074074079</v>
      </c>
      <c r="K5" s="361">
        <f t="shared" si="0"/>
        <v>0.98969907407407409</v>
      </c>
      <c r="L5" s="361">
        <f t="shared" si="0"/>
        <v>0.99064814814814817</v>
      </c>
      <c r="M5" s="361">
        <f t="shared" si="0"/>
        <v>0.9585652006172839</v>
      </c>
      <c r="N5" s="361">
        <f t="shared" si="0"/>
        <v>0.99791666666666667</v>
      </c>
      <c r="O5" s="361">
        <f t="shared" si="0"/>
        <v>0.99631944444444442</v>
      </c>
      <c r="P5" s="361">
        <f t="shared" si="0"/>
        <v>0.99305555555555558</v>
      </c>
      <c r="Q5" s="361">
        <f t="shared" si="0"/>
        <v>0.94671334876543212</v>
      </c>
      <c r="R5" s="361">
        <f t="shared" si="0"/>
        <v>0.47063078703703709</v>
      </c>
      <c r="S5" s="361">
        <f t="shared" si="0"/>
        <v>1</v>
      </c>
      <c r="T5" s="361">
        <f t="shared" si="0"/>
        <v>1</v>
      </c>
      <c r="U5" s="361">
        <f t="shared" si="0"/>
        <v>0.99513888888888891</v>
      </c>
      <c r="V5" s="361">
        <f t="shared" si="0"/>
        <v>0.99879629629629629</v>
      </c>
      <c r="W5" s="361">
        <f t="shared" si="0"/>
        <v>0.98368055555555556</v>
      </c>
      <c r="X5" s="361">
        <f t="shared" si="0"/>
        <v>0.99643518518518515</v>
      </c>
      <c r="Y5" s="361">
        <f t="shared" si="0"/>
        <v>0.99187499999999995</v>
      </c>
      <c r="Z5" s="361">
        <f t="shared" si="0"/>
        <v>0.99050925925925926</v>
      </c>
      <c r="AA5" s="361">
        <f t="shared" si="0"/>
        <v>0.99310185185185185</v>
      </c>
      <c r="AB5" s="361">
        <f t="shared" si="0"/>
        <v>0.99030092592592589</v>
      </c>
      <c r="AC5" s="361">
        <f t="shared" si="0"/>
        <v>1.1574074074379344E-5</v>
      </c>
      <c r="AD5" s="361">
        <f t="shared" si="0"/>
        <v>0.99206018518518513</v>
      </c>
      <c r="AE5" s="361">
        <f t="shared" si="0"/>
        <v>0.35093325617283955</v>
      </c>
      <c r="AF5" s="361">
        <f t="shared" si="0"/>
        <v>0.95895833333333336</v>
      </c>
      <c r="AG5" s="361">
        <f t="shared" si="0"/>
        <v>0.99064814814814817</v>
      </c>
      <c r="AH5" s="361">
        <f t="shared" si="0"/>
        <v>1</v>
      </c>
      <c r="AI5" s="361">
        <f t="shared" si="0"/>
        <v>0.99624999999999997</v>
      </c>
      <c r="AJ5" s="361">
        <f t="shared" si="0"/>
        <v>0.99192129629629622</v>
      </c>
      <c r="AK5" s="361">
        <f t="shared" si="0"/>
        <v>1</v>
      </c>
      <c r="AL5" s="361">
        <f t="shared" si="0"/>
        <v>1</v>
      </c>
      <c r="AM5" s="361">
        <f t="shared" si="0"/>
        <v>1</v>
      </c>
      <c r="AN5" s="361">
        <f t="shared" si="0"/>
        <v>0.99879629629629629</v>
      </c>
    </row>
    <row r="6" spans="1:40" ht="29.1" hidden="1" customHeight="1">
      <c r="A6" s="362" t="s">
        <v>155</v>
      </c>
      <c r="B6" s="363">
        <f>SUMIFS(WTG_BD!$T:$T,WTG_BD!$F:$F,"&gt;="&amp;Analytices!$B$2,WTG_BD!$F:$F,"&lt;="&amp;Analytices!$B$3,WTG_BD!$G:$G,B4)</f>
        <v>49.783055555555556</v>
      </c>
      <c r="C6" s="363">
        <f>SUMIFS(WTG_BD!$T:$T,WTG_BD!$F:$F,"&gt;="&amp;Analytices!$B$2,WTG_BD!$F:$F,"&lt;="&amp;Analytices!$B$3,WTG_BD!$G:$G,C4)</f>
        <v>21.216388888888886</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7.4166666666666679</v>
      </c>
      <c r="L6" s="363">
        <f>SUMIFS(WTG_BD!$T:$T,WTG_BD!$F:$F,"&gt;="&amp;Analytices!$B$2,WTG_BD!$F:$F,"&lt;="&amp;Analytices!$B$3,WTG_BD!$G:$G,L4)</f>
        <v>6.7333333333333325</v>
      </c>
      <c r="M6" s="363">
        <f>SUMIFS(WTG_BD!$T:$T,WTG_BD!$F:$F,"&gt;="&amp;Analytices!$B$2,WTG_BD!$F:$F,"&lt;="&amp;Analytices!$B$3,WTG_BD!$G:$G,M4)</f>
        <v>29.833055555555564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5.0000000000000009</v>
      </c>
      <c r="Q6" s="363">
        <f>SUMIFS(WTG_BD!$T:$T,WTG_BD!$F:$F,"&gt;="&amp;Analytices!$B$2,WTG_BD!$F:$F,"&lt;="&amp;Analytices!$B$3,WTG_BD!$G:$G,Q4)</f>
        <v>38.366388888888885</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3.5000000000000009</v>
      </c>
      <c r="V6" s="363">
        <f>SUMIFS(WTG_BD!$T:$T,WTG_BD!$F:$F,"&gt;="&amp;Analytices!$B$2,WTG_BD!$F:$F,"&lt;="&amp;Analytices!$B$3,WTG_BD!$G:$G,V4)</f>
        <v>0.86666666666666625</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5.85</v>
      </c>
      <c r="Z6" s="363">
        <f>SUMIFS(WTG_BD!$T:$T,WTG_BD!$F:$F,"&gt;="&amp;Analytices!$B$2,WTG_BD!$F:$F,"&lt;="&amp;Analytices!$B$3,WTG_BD!$G:$G,Z4)</f>
        <v>6.8333333333333321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719.99166666666645</v>
      </c>
      <c r="AD6" s="363">
        <f>SUMIFS(WTG_BD!$T:$T,WTG_BD!$F:$F,"&gt;="&amp;Analytices!$B$2,WTG_BD!$F:$F,"&lt;="&amp;Analytices!$B$3,WTG_BD!$G:$G,AD4)</f>
        <v>5.7166666666666686</v>
      </c>
      <c r="AE6" s="363">
        <f>SUMIFS(WTG_BD!$T:$T,WTG_BD!$F:$F,"&gt;="&amp;Analytices!$B$2,WTG_BD!$F:$F,"&lt;="&amp;Analytices!$B$3,WTG_BD!$G:$G,AE4)</f>
        <v>467.32805555555552</v>
      </c>
      <c r="AF6" s="363">
        <f>SUMIFS(WTG_BD!$T:$T,WTG_BD!$F:$F,"&gt;="&amp;Analytices!$B$2,WTG_BD!$F:$F,"&lt;="&amp;Analytices!$B$3,WTG_BD!$G:$G,AF4)</f>
        <v>29.549999999999997</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156</v>
      </c>
      <c r="B7" s="364">
        <f>($C$3-SUM(B8:B12))/$C$3</f>
        <v>0.99076427469135808</v>
      </c>
      <c r="C7" s="364">
        <f t="shared" ref="C7:AN7" si="1">($C$3-SUM(C8:C12))/$C$3</f>
        <v>0.99076427469135808</v>
      </c>
      <c r="D7" s="364">
        <f t="shared" si="1"/>
        <v>0.99076427469135808</v>
      </c>
      <c r="E7" s="364">
        <f t="shared" si="1"/>
        <v>0.99076427469135808</v>
      </c>
      <c r="F7" s="364">
        <f t="shared" si="1"/>
        <v>0.99826388888888884</v>
      </c>
      <c r="G7" s="364">
        <f t="shared" si="1"/>
        <v>0.99076427469135808</v>
      </c>
      <c r="H7" s="364">
        <f t="shared" si="1"/>
        <v>0.99076427469135808</v>
      </c>
      <c r="I7" s="364">
        <f t="shared" si="1"/>
        <v>0.99076427469135808</v>
      </c>
      <c r="J7" s="364">
        <f t="shared" si="1"/>
        <v>0.99743055555555549</v>
      </c>
      <c r="K7" s="364">
        <f t="shared" si="1"/>
        <v>0.99076427469135808</v>
      </c>
      <c r="L7" s="364">
        <f t="shared" si="1"/>
        <v>0.99076427469135808</v>
      </c>
      <c r="M7" s="364">
        <f t="shared" si="1"/>
        <v>0.99743055555555549</v>
      </c>
      <c r="N7" s="364">
        <f t="shared" si="1"/>
        <v>0.99743055555555549</v>
      </c>
      <c r="O7" s="364">
        <f t="shared" si="1"/>
        <v>0.99743055555555549</v>
      </c>
      <c r="P7" s="364">
        <f t="shared" si="1"/>
        <v>0.99743055555555549</v>
      </c>
      <c r="Q7" s="364">
        <f t="shared" si="1"/>
        <v>0.99743055555555549</v>
      </c>
      <c r="R7" s="364">
        <f t="shared" si="1"/>
        <v>0.99743055555555549</v>
      </c>
      <c r="S7" s="364">
        <f t="shared" si="1"/>
        <v>0.99743055555555549</v>
      </c>
      <c r="T7" s="364">
        <f t="shared" si="1"/>
        <v>0.99743055555555549</v>
      </c>
      <c r="U7" s="364">
        <f t="shared" si="1"/>
        <v>0.99743055555555549</v>
      </c>
      <c r="V7" s="364">
        <f t="shared" si="1"/>
        <v>0.99826388888888884</v>
      </c>
      <c r="W7" s="364">
        <f t="shared" si="1"/>
        <v>0.99826388888888884</v>
      </c>
      <c r="X7" s="364">
        <f t="shared" si="1"/>
        <v>0.99826388888888884</v>
      </c>
      <c r="Y7" s="364">
        <f t="shared" si="1"/>
        <v>0.99826388888888884</v>
      </c>
      <c r="Z7" s="364">
        <f t="shared" si="1"/>
        <v>0.9993981481481482</v>
      </c>
      <c r="AA7" s="364">
        <f t="shared" si="1"/>
        <v>0.99826388888888884</v>
      </c>
      <c r="AB7" s="364">
        <f t="shared" si="1"/>
        <v>0.99826388888888884</v>
      </c>
      <c r="AC7" s="364">
        <f t="shared" si="1"/>
        <v>0.99826388888888884</v>
      </c>
      <c r="AD7" s="364">
        <f t="shared" si="1"/>
        <v>0.99826388888888884</v>
      </c>
      <c r="AE7" s="364">
        <f t="shared" si="1"/>
        <v>0.99826388888888884</v>
      </c>
      <c r="AF7" s="364">
        <f t="shared" si="1"/>
        <v>0.9993981481481482</v>
      </c>
      <c r="AG7" s="364">
        <f t="shared" si="1"/>
        <v>0.9993981481481482</v>
      </c>
      <c r="AH7" s="364">
        <f t="shared" si="1"/>
        <v>0.9993981481481482</v>
      </c>
      <c r="AI7" s="364">
        <f t="shared" si="1"/>
        <v>0.9993981481481482</v>
      </c>
      <c r="AJ7" s="364">
        <f t="shared" si="1"/>
        <v>0.9993981481481482</v>
      </c>
      <c r="AK7" s="364">
        <f t="shared" si="1"/>
        <v>0.9993981481481482</v>
      </c>
      <c r="AL7" s="364">
        <f t="shared" si="1"/>
        <v>0.9993981481481482</v>
      </c>
      <c r="AM7" s="364">
        <f t="shared" si="1"/>
        <v>0.9993981481481482</v>
      </c>
      <c r="AN7" s="364">
        <f t="shared" si="1"/>
        <v>0.9993981481481482</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1.2500000000000009</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1.2500000000000009</v>
      </c>
      <c r="W9" s="363">
        <f>SUMIFS(IGA_BD!$Q:$Q,IGA_BD!$G:$G,(VLOOKUP(W$4,'Basic Data'!$A:$F,6,0)),IGA_BD!$F:$F,"&gt;="&amp;Analytices!$B$2,IGA_BD!$F:$F,"&lt;="&amp;Analytices!$B$3)</f>
        <v>1.2500000000000009</v>
      </c>
      <c r="X9" s="363">
        <f>SUMIFS(IGA_BD!$Q:$Q,IGA_BD!$G:$G,(VLOOKUP(X$4,'Basic Data'!$A:$F,6,0)),IGA_BD!$F:$F,"&gt;="&amp;Analytices!$B$2,IGA_BD!$F:$F,"&lt;="&amp;Analytices!$B$3)</f>
        <v>1.2500000000000009</v>
      </c>
      <c r="Y9" s="363">
        <f>SUMIFS(IGA_BD!$Q:$Q,IGA_BD!$G:$G,(VLOOKUP(Y$4,'Basic Data'!$A:$F,6,0)),IGA_BD!$F:$F,"&gt;="&amp;Analytices!$B$2,IGA_BD!$F:$F,"&lt;="&amp;Analytices!$B$3)</f>
        <v>1.2500000000000009</v>
      </c>
      <c r="Z9" s="363">
        <f>SUMIFS(IGA_BD!$Q:$Q,IGA_BD!$G:$G,(VLOOKUP(Z$4,'Basic Data'!$A:$F,6,0)),IGA_BD!$F:$F,"&gt;="&amp;Analytices!$B$2,IGA_BD!$F:$F,"&lt;="&amp;Analytices!$B$3)</f>
        <v>0.43333333333333446</v>
      </c>
      <c r="AA9" s="363">
        <f>SUMIFS(IGA_BD!$Q:$Q,IGA_BD!$G:$G,(VLOOKUP(AA$4,'Basic Data'!$A:$F,6,0)),IGA_BD!$F:$F,"&gt;="&amp;Analytices!$B$2,IGA_BD!$F:$F,"&lt;="&amp;Analytices!$B$3)</f>
        <v>1.2500000000000009</v>
      </c>
      <c r="AB9" s="363">
        <f>SUMIFS(IGA_BD!$Q:$Q,IGA_BD!$G:$G,(VLOOKUP(AB$4,'Basic Data'!$A:$F,6,0)),IGA_BD!$F:$F,"&gt;="&amp;Analytices!$B$2,IGA_BD!$F:$F,"&lt;="&amp;Analytices!$B$3)</f>
        <v>1.2500000000000009</v>
      </c>
      <c r="AC9" s="363">
        <f>SUMIFS(IGA_BD!$Q:$Q,IGA_BD!$G:$G,(VLOOKUP(AC$4,'Basic Data'!$A:$F,6,0)),IGA_BD!$F:$F,"&gt;="&amp;Analytices!$B$2,IGA_BD!$F:$F,"&lt;="&amp;Analytices!$B$3)</f>
        <v>1.2500000000000009</v>
      </c>
      <c r="AD9" s="363">
        <f>SUMIFS(IGA_BD!$Q:$Q,IGA_BD!$G:$G,(VLOOKUP(AD$4,'Basic Data'!$A:$F,6,0)),IGA_BD!$F:$F,"&gt;="&amp;Analytices!$B$2,IGA_BD!$F:$F,"&lt;="&amp;Analytices!$B$3)</f>
        <v>1.2500000000000009</v>
      </c>
      <c r="AE9" s="363">
        <f>SUMIFS(IGA_BD!$Q:$Q,IGA_BD!$G:$G,(VLOOKUP(AE$4,'Basic Data'!$A:$F,6,0)),IGA_BD!$F:$F,"&gt;="&amp;Analytices!$B$2,IGA_BD!$F:$F,"&lt;="&amp;Analytices!$B$3)</f>
        <v>1.2500000000000009</v>
      </c>
      <c r="AF9" s="363">
        <f>SUMIFS(IGA_BD!$Q:$Q,IGA_BD!$G:$G,(VLOOKUP(AF$4,'Basic Data'!$A:$F,6,0)),IGA_BD!$F:$F,"&gt;="&amp;Analytices!$B$2,IGA_BD!$F:$F,"&lt;="&amp;Analytices!$B$3)</f>
        <v>0.43333333333333446</v>
      </c>
      <c r="AG9" s="363">
        <f>SUMIFS(IGA_BD!$Q:$Q,IGA_BD!$G:$G,(VLOOKUP(AG$4,'Basic Data'!$A:$F,6,0)),IGA_BD!$F:$F,"&gt;="&amp;Analytices!$B$2,IGA_BD!$F:$F,"&lt;="&amp;Analytices!$B$3)</f>
        <v>0.43333333333333446</v>
      </c>
      <c r="AH9" s="363">
        <f>SUMIFS(IGA_BD!$Q:$Q,IGA_BD!$G:$G,(VLOOKUP(AH$4,'Basic Data'!$A:$F,6,0)),IGA_BD!$F:$F,"&gt;="&amp;Analytices!$B$2,IGA_BD!$F:$F,"&lt;="&amp;Analytices!$B$3)</f>
        <v>0.43333333333333446</v>
      </c>
      <c r="AI9" s="363">
        <f>SUMIFS(IGA_BD!$Q:$Q,IGA_BD!$G:$G,(VLOOKUP(AI$4,'Basic Data'!$A:$F,6,0)),IGA_BD!$F:$F,"&gt;="&amp;Analytices!$B$2,IGA_BD!$F:$F,"&lt;="&amp;Analytices!$B$3)</f>
        <v>0.43333333333333446</v>
      </c>
      <c r="AJ9" s="363">
        <f>SUMIFS(IGA_BD!$Q:$Q,IGA_BD!$G:$G,(VLOOKUP(AJ$4,'Basic Data'!$A:$F,6,0)),IGA_BD!$F:$F,"&gt;="&amp;Analytices!$B$2,IGA_BD!$F:$F,"&lt;="&amp;Analytices!$B$3)</f>
        <v>0.43333333333333446</v>
      </c>
      <c r="AK9" s="363">
        <f>SUMIFS(IGA_BD!$Q:$Q,IGA_BD!$G:$G,(VLOOKUP(AK$4,'Basic Data'!$A:$F,6,0)),IGA_BD!$F:$F,"&gt;="&amp;Analytices!$B$2,IGA_BD!$F:$F,"&lt;="&amp;Analytices!$B$3)</f>
        <v>0.43333333333333446</v>
      </c>
      <c r="AL9" s="363">
        <f>SUMIFS(IGA_BD!$Q:$Q,IGA_BD!$G:$G,(VLOOKUP(AL$4,'Basic Data'!$A:$F,6,0)),IGA_BD!$F:$F,"&gt;="&amp;Analytices!$B$2,IGA_BD!$F:$F,"&lt;="&amp;Analytices!$B$3)</f>
        <v>0.43333333333333446</v>
      </c>
      <c r="AM9" s="363">
        <f>SUMIFS(IGA_BD!$Q:$Q,IGA_BD!$G:$G,(VLOOKUP(AM$4,'Basic Data'!$A:$F,6,0)),IGA_BD!$F:$F,"&gt;="&amp;Analytices!$B$2,IGA_BD!$F:$F,"&lt;="&amp;Analytices!$B$3)</f>
        <v>0.43333333333333446</v>
      </c>
      <c r="AN9" s="363">
        <f>SUMIFS(IGA_BD!$Q:$Q,IGA_BD!$G:$G,(VLOOKUP(AN$4,'Basic Data'!$A:$F,6,0)),IGA_BD!$F:$F,"&gt;="&amp;Analytices!$B$2,IGA_BD!$F:$F,"&lt;="&amp;Analytices!$B$3)</f>
        <v>0.43333333333333446</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399350</v>
      </c>
      <c r="C15" s="84">
        <f>SUMIFS(Input_Raw!G:G,Input_Raw!$A:$A,"&gt;="&amp;Analytices!$B$2,Input_Raw!$A:$A,"&lt;="&amp;Analytices!$B$3)</f>
        <v>454335</v>
      </c>
      <c r="D15" s="84">
        <f>SUMIFS(Input_Raw!H:H,Input_Raw!$A:$A,"&gt;="&amp;Analytices!$B$2,Input_Raw!$A:$A,"&lt;="&amp;Analytices!$B$3)</f>
        <v>454101</v>
      </c>
      <c r="E15" s="84">
        <f>SUMIFS(Input_Raw!I:I,Input_Raw!$A:$A,"&gt;="&amp;Analytices!$B$2,Input_Raw!$A:$A,"&lt;="&amp;Analytices!$B$3)</f>
        <v>447609</v>
      </c>
      <c r="F15" s="84">
        <f>SUMIFS(Input_Raw!J:J,Input_Raw!$A:$A,"&gt;="&amp;Analytices!$B$2,Input_Raw!$A:$A,"&lt;="&amp;Analytices!$B$3)</f>
        <v>417882</v>
      </c>
      <c r="G15" s="84">
        <f>SUMIFS(Input_Raw!K:K,Input_Raw!$A:$A,"&gt;="&amp;Analytices!$B$2,Input_Raw!$A:$A,"&lt;="&amp;Analytices!$B$3)</f>
        <v>455925</v>
      </c>
      <c r="H15" s="84">
        <f>SUMIFS(Input_Raw!L:L,Input_Raw!$A:$A,"&gt;="&amp;Analytices!$B$2,Input_Raw!$A:$A,"&lt;="&amp;Analytices!$B$3)</f>
        <v>458072</v>
      </c>
      <c r="I15" s="84">
        <f>SUMIFS(Input_Raw!M:M,Input_Raw!$A:$A,"&gt;="&amp;Analytices!$B$2,Input_Raw!$A:$A,"&lt;="&amp;Analytices!$B$3)</f>
        <v>459171</v>
      </c>
      <c r="J15" s="84">
        <f>SUMIFS(Input_Raw!N:N,Input_Raw!$A:$A,"&gt;="&amp;Analytices!$B$2,Input_Raw!$A:$A,"&lt;="&amp;Analytices!$B$3)</f>
        <v>500846</v>
      </c>
      <c r="K15" s="84">
        <f>SUMIFS(Input_Raw!O:O,Input_Raw!$A:$A,"&gt;="&amp;Analytices!$B$2,Input_Raw!$A:$A,"&lt;="&amp;Analytices!$B$3)</f>
        <v>453691</v>
      </c>
      <c r="L15" s="84">
        <f>SUMIFS(Input_Raw!P:P,Input_Raw!$A:$A,"&gt;="&amp;Analytices!$B$2,Input_Raw!$A:$A,"&lt;="&amp;Analytices!$B$3)</f>
        <v>457985</v>
      </c>
      <c r="M15" s="84">
        <f>SUMIFS(Input_Raw!Q:Q,Input_Raw!$A:$A,"&gt;="&amp;Analytices!$B$2,Input_Raw!$A:$A,"&lt;="&amp;Analytices!$B$3)</f>
        <v>480572</v>
      </c>
      <c r="N15" s="84">
        <f>SUMIFS(Input_Raw!R:R,Input_Raw!$A:$A,"&gt;="&amp;Analytices!$B$2,Input_Raw!$A:$A,"&lt;="&amp;Analytices!$B$3)</f>
        <v>506763</v>
      </c>
      <c r="O15" s="84">
        <f>SUMIFS(Input_Raw!S:S,Input_Raw!$A:$A,"&gt;="&amp;Analytices!$B$2,Input_Raw!$A:$A,"&lt;="&amp;Analytices!$B$3)</f>
        <v>506856</v>
      </c>
      <c r="P15" s="84">
        <f>SUMIFS(Input_Raw!T:T,Input_Raw!$A:$A,"&gt;="&amp;Analytices!$B$2,Input_Raw!$A:$A,"&lt;="&amp;Analytices!$B$3)</f>
        <v>503910</v>
      </c>
      <c r="Q15" s="84">
        <f>SUMIFS(Input_Raw!U:U,Input_Raw!$A:$A,"&gt;="&amp;Analytices!$B$2,Input_Raw!$A:$A,"&lt;="&amp;Analytices!$B$3)</f>
        <v>493585</v>
      </c>
      <c r="R15" s="84">
        <f>SUMIFS(Input_Raw!V:V,Input_Raw!$A:$A,"&gt;="&amp;Analytices!$B$2,Input_Raw!$A:$A,"&lt;="&amp;Analytices!$B$3)</f>
        <v>211526</v>
      </c>
      <c r="S15" s="84">
        <f>SUMIFS(Input_Raw!W:W,Input_Raw!$A:$A,"&gt;="&amp;Analytices!$B$2,Input_Raw!$A:$A,"&lt;="&amp;Analytices!$B$3)</f>
        <v>502971</v>
      </c>
      <c r="T15" s="84">
        <f>SUMIFS(Input_Raw!X:X,Input_Raw!$A:$A,"&gt;="&amp;Analytices!$B$2,Input_Raw!$A:$A,"&lt;="&amp;Analytices!$B$3)</f>
        <v>507810</v>
      </c>
      <c r="U15" s="84">
        <f>SUMIFS(Input_Raw!Y:Y,Input_Raw!$A:$A,"&gt;="&amp;Analytices!$B$2,Input_Raw!$A:$A,"&lt;="&amp;Analytices!$B$3)</f>
        <v>503835</v>
      </c>
      <c r="V15" s="84">
        <f>SUMIFS(Input_Raw!Z:Z,Input_Raw!$A:$A,"&gt;="&amp;Analytices!$B$2,Input_Raw!$A:$A,"&lt;="&amp;Analytices!$B$3)</f>
        <v>418998</v>
      </c>
      <c r="W15" s="84">
        <f>SUMIFS(Input_Raw!AA:AA,Input_Raw!$A:$A,"&gt;="&amp;Analytices!$B$2,Input_Raw!$A:$A,"&lt;="&amp;Analytices!$B$3)</f>
        <v>416827</v>
      </c>
      <c r="X15" s="84">
        <f>SUMIFS(Input_Raw!AB:AB,Input_Raw!$A:$A,"&gt;="&amp;Analytices!$B$2,Input_Raw!$A:$A,"&lt;="&amp;Analytices!$B$3)</f>
        <v>418578</v>
      </c>
      <c r="Y15" s="84">
        <f>SUMIFS(Input_Raw!AC:AC,Input_Raw!$A:$A,"&gt;="&amp;Analytices!$B$2,Input_Raw!$A:$A,"&lt;="&amp;Analytices!$B$3)</f>
        <v>418384</v>
      </c>
      <c r="Z15" s="84">
        <f>SUMIFS(Input_Raw!AD:AD,Input_Raw!$A:$A,"&gt;="&amp;Analytices!$B$2,Input_Raw!$A:$A,"&lt;="&amp;Analytices!$B$3)</f>
        <v>369582</v>
      </c>
      <c r="AA15" s="84">
        <f>SUMIFS(Input_Raw!AE:AE,Input_Raw!$A:$A,"&gt;="&amp;Analytices!$B$2,Input_Raw!$A:$A,"&lt;="&amp;Analytices!$B$3)</f>
        <v>416122</v>
      </c>
      <c r="AB15" s="84">
        <f>SUMIFS(Input_Raw!AF:AF,Input_Raw!$A:$A,"&gt;="&amp;Analytices!$B$2,Input_Raw!$A:$A,"&lt;="&amp;Analytices!$B$3)</f>
        <v>417520</v>
      </c>
      <c r="AC15" s="84">
        <f>SUMIFS(Input_Raw!AG:AG,Input_Raw!$A:$A,"&gt;="&amp;Analytices!$B$2,Input_Raw!$A:$A,"&lt;="&amp;Analytices!$B$3)</f>
        <v>0</v>
      </c>
      <c r="AD15" s="84">
        <f>SUMIFS(Input_Raw!AH:AH,Input_Raw!$A:$A,"&gt;="&amp;Analytices!$B$2,Input_Raw!$A:$A,"&lt;="&amp;Analytices!$B$3)</f>
        <v>407734</v>
      </c>
      <c r="AE15" s="84">
        <f>SUMIFS(Input_Raw!AI:AI,Input_Raw!$A:$A,"&gt;="&amp;Analytices!$B$2,Input_Raw!$A:$A,"&lt;="&amp;Analytices!$B$3)</f>
        <v>159917</v>
      </c>
      <c r="AF15" s="84">
        <f>SUMIFS(Input_Raw!AJ:AJ,Input_Raw!$A:$A,"&gt;="&amp;Analytices!$B$2,Input_Raw!$A:$A,"&lt;="&amp;Analytices!$B$3)</f>
        <v>357413</v>
      </c>
      <c r="AG15" s="84">
        <f>SUMIFS(Input_Raw!AK:AK,Input_Raw!$A:$A,"&gt;="&amp;Analytices!$B$2,Input_Raw!$A:$A,"&lt;="&amp;Analytices!$B$3)</f>
        <v>371946</v>
      </c>
      <c r="AH15" s="84">
        <f>SUMIFS(Input_Raw!AL:AL,Input_Raw!$A:$A,"&gt;="&amp;Analytices!$B$2,Input_Raw!$A:$A,"&lt;="&amp;Analytices!$B$3)</f>
        <v>372759</v>
      </c>
      <c r="AI15" s="84">
        <f>SUMIFS(Input_Raw!AM:AM,Input_Raw!$A:$A,"&gt;="&amp;Analytices!$B$2,Input_Raw!$A:$A,"&lt;="&amp;Analytices!$B$3)</f>
        <v>370580</v>
      </c>
      <c r="AJ15" s="84">
        <f>SUMIFS(Input_Raw!AN:AN,Input_Raw!$A:$A,"&gt;="&amp;Analytices!$B$2,Input_Raw!$A:$A,"&lt;="&amp;Analytices!$B$3)</f>
        <v>372752</v>
      </c>
      <c r="AK15" s="84">
        <f>SUMIFS(Input_Raw!AO:AO,Input_Raw!$A:$A,"&gt;="&amp;Analytices!$B$2,Input_Raw!$A:$A,"&lt;="&amp;Analytices!$B$3)</f>
        <v>382492</v>
      </c>
      <c r="AL15" s="84">
        <f>SUMIFS(Input_Raw!AP:AP,Input_Raw!$A:$A,"&gt;="&amp;Analytices!$B$2,Input_Raw!$A:$A,"&lt;="&amp;Analytices!$B$3)</f>
        <v>371296</v>
      </c>
      <c r="AM15" s="84">
        <f>SUMIFS(Input_Raw!AQ:AQ,Input_Raw!$A:$A,"&gt;="&amp;Analytices!$B$2,Input_Raw!$A:$A,"&lt;="&amp;Analytices!$B$3)</f>
        <v>370552</v>
      </c>
      <c r="AN15" s="84">
        <f>SUMIFS(Input_Raw!AR:AR,Input_Raw!$A:$A,"&gt;="&amp;Analytices!$B$2,Input_Raw!$A:$A,"&lt;="&amp;Analytices!$B$3)</f>
        <v>370539</v>
      </c>
    </row>
    <row r="16" spans="1:40" ht="34.5" customHeight="1">
      <c r="A16" s="359" t="s">
        <v>165</v>
      </c>
      <c r="B16" s="361">
        <f>IFERROR(($C$3-(SUM(B8:B12,B14,B6)))/$C$3,1)</f>
        <v>0.92162114197530864</v>
      </c>
      <c r="C16" s="361">
        <f t="shared" ref="C16:AN16" si="4">IFERROR(($C$3-(SUM(C8:C12,C14,C6)))/$C$3,1)</f>
        <v>0.96129706790123459</v>
      </c>
      <c r="D16" s="361">
        <f t="shared" si="4"/>
        <v>0.98833371913580248</v>
      </c>
      <c r="E16" s="361">
        <f t="shared" si="4"/>
        <v>0.96997723765432098</v>
      </c>
      <c r="F16" s="361">
        <f t="shared" si="4"/>
        <v>0.99745370370370368</v>
      </c>
      <c r="G16" s="361">
        <f t="shared" si="4"/>
        <v>0.98560223765432098</v>
      </c>
      <c r="H16" s="361">
        <f t="shared" si="4"/>
        <v>0.9887503858024691</v>
      </c>
      <c r="I16" s="361">
        <f t="shared" si="4"/>
        <v>0.99076427469135808</v>
      </c>
      <c r="J16" s="361">
        <f t="shared" si="4"/>
        <v>0.99442129629629628</v>
      </c>
      <c r="K16" s="361">
        <f t="shared" si="4"/>
        <v>0.98046334876543206</v>
      </c>
      <c r="L16" s="361">
        <f t="shared" si="4"/>
        <v>0.98141242283950625</v>
      </c>
      <c r="M16" s="361">
        <f t="shared" si="4"/>
        <v>0.95599575617283949</v>
      </c>
      <c r="N16" s="361">
        <f t="shared" si="4"/>
        <v>0.99534722222222216</v>
      </c>
      <c r="O16" s="361">
        <f t="shared" si="4"/>
        <v>0.99375000000000002</v>
      </c>
      <c r="P16" s="361">
        <f t="shared" si="4"/>
        <v>0.99048611111111107</v>
      </c>
      <c r="Q16" s="361">
        <f t="shared" si="4"/>
        <v>0.9441439043209876</v>
      </c>
      <c r="R16" s="361">
        <f t="shared" si="4"/>
        <v>0.46806134259259258</v>
      </c>
      <c r="S16" s="361">
        <f t="shared" si="4"/>
        <v>0.99743055555555549</v>
      </c>
      <c r="T16" s="361">
        <f t="shared" si="4"/>
        <v>0.99743055555555549</v>
      </c>
      <c r="U16" s="361">
        <f t="shared" si="4"/>
        <v>0.99256944444444439</v>
      </c>
      <c r="V16" s="361">
        <f t="shared" si="4"/>
        <v>0.99706018518518513</v>
      </c>
      <c r="W16" s="361">
        <f t="shared" si="4"/>
        <v>0.9819444444444444</v>
      </c>
      <c r="X16" s="361">
        <f t="shared" si="4"/>
        <v>0.99469907407407399</v>
      </c>
      <c r="Y16" s="361">
        <f t="shared" si="4"/>
        <v>0.9901388888888889</v>
      </c>
      <c r="Z16" s="361">
        <f t="shared" si="4"/>
        <v>0.98990740740740746</v>
      </c>
      <c r="AA16" s="361">
        <f t="shared" si="4"/>
        <v>0.99136574074074069</v>
      </c>
      <c r="AB16" s="361">
        <f t="shared" si="4"/>
        <v>0.98856481481481484</v>
      </c>
      <c r="AC16" s="361">
        <f t="shared" si="4"/>
        <v>-1.7245370370367317E-3</v>
      </c>
      <c r="AD16" s="361">
        <f t="shared" si="4"/>
        <v>0.99032407407407408</v>
      </c>
      <c r="AE16" s="361">
        <f t="shared" si="4"/>
        <v>0.34919714506172844</v>
      </c>
      <c r="AF16" s="361">
        <f t="shared" si="4"/>
        <v>0.95835648148148145</v>
      </c>
      <c r="AG16" s="361">
        <f t="shared" si="4"/>
        <v>0.99004629629629637</v>
      </c>
      <c r="AH16" s="361">
        <f t="shared" si="4"/>
        <v>0.9993981481481482</v>
      </c>
      <c r="AI16" s="361">
        <f t="shared" si="4"/>
        <v>0.99564814814814817</v>
      </c>
      <c r="AJ16" s="361">
        <f t="shared" si="4"/>
        <v>0.99131944444444442</v>
      </c>
      <c r="AK16" s="361">
        <f t="shared" si="4"/>
        <v>0.9993981481481482</v>
      </c>
      <c r="AL16" s="361">
        <f t="shared" si="4"/>
        <v>0.9993981481481482</v>
      </c>
      <c r="AM16" s="361">
        <f t="shared" si="4"/>
        <v>0.9993981481481482</v>
      </c>
      <c r="AN16" s="361">
        <f t="shared" si="4"/>
        <v>0.9981944444444445</v>
      </c>
    </row>
    <row r="17" spans="1:40" ht="14.45" hidden="1" customHeight="1">
      <c r="A17" s="362" t="s">
        <v>166</v>
      </c>
      <c r="B17" s="363">
        <f>SUMIFS(WTG_BD!$T:$T,WTG_BD!$F:$F,"&gt;="&amp;Analytices!$B$2,WTG_BD!$F:$F,"&lt;="&amp;Analytices!$B$3,WTG_BD!$G:$G,B4,WTG_BD!$M:$M,'Basic Data'!$N$10)</f>
        <v>49.783055555555556</v>
      </c>
      <c r="C17" s="363">
        <f>SUMIFS(WTG_BD!$T:$T,WTG_BD!$F:$F,"&gt;="&amp;Analytices!$B$2,WTG_BD!$F:$F,"&lt;="&amp;Analytices!$B$3,WTG_BD!$G:$G,C4,WTG_BD!$M:$M,'Basic Data'!$N$10)</f>
        <v>21.216388888888886</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7.4166666666666679</v>
      </c>
      <c r="L17" s="363">
        <f>SUMIFS(WTG_BD!$T:$T,WTG_BD!$F:$F,"&gt;="&amp;Analytices!$B$2,WTG_BD!$F:$F,"&lt;="&amp;Analytices!$B$3,WTG_BD!$G:$G,L4,WTG_BD!$M:$M,'Basic Data'!$N$10)</f>
        <v>6.7333333333333325</v>
      </c>
      <c r="M17" s="363">
        <f>SUMIFS(WTG_BD!$T:$T,WTG_BD!$F:$F,"&gt;="&amp;Analytices!$B$2,WTG_BD!$F:$F,"&lt;="&amp;Analytices!$B$3,WTG_BD!$G:$G,M4,WTG_BD!$M:$M,'Basic Data'!$N$10)</f>
        <v>29.833055555555564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2.0333333333333341</v>
      </c>
      <c r="Q17" s="363">
        <f>SUMIFS(WTG_BD!$T:$T,WTG_BD!$F:$F,"&gt;="&amp;Analytices!$B$2,WTG_BD!$F:$F,"&lt;="&amp;Analytices!$B$3,WTG_BD!$G:$G,Q4,WTG_BD!$M:$M,'Basic Data'!$N$10)</f>
        <v>35.766388888888883</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3.5000000000000009</v>
      </c>
      <c r="V17" s="363">
        <f>SUMIFS(WTG_BD!$T:$T,WTG_BD!$F:$F,"&gt;="&amp;Analytices!$B$2,WTG_BD!$F:$F,"&lt;="&amp;Analytices!$B$3,WTG_BD!$G:$G,V4,WTG_BD!$M:$M,'Basic Data'!$N$10)</f>
        <v>0.86666666666666625</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5.85</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81.998888888888899</v>
      </c>
      <c r="AD17" s="363">
        <f>SUMIFS(WTG_BD!$T:$T,WTG_BD!$F:$F,"&gt;="&amp;Analytices!$B$2,WTG_BD!$F:$F,"&lt;="&amp;Analytices!$B$3,WTG_BD!$G:$G,AD4,WTG_BD!$M:$M,'Basic Data'!$N$10)</f>
        <v>5.7166666666666686</v>
      </c>
      <c r="AE17" s="363">
        <f>SUMIFS(WTG_BD!$T:$T,WTG_BD!$F:$F,"&gt;="&amp;Analytices!$B$2,WTG_BD!$F:$F,"&lt;="&amp;Analytices!$B$3,WTG_BD!$G:$G,AE4,WTG_BD!$M:$M,'Basic Data'!$N$10)</f>
        <v>220.53083333333339</v>
      </c>
      <c r="AF17" s="363">
        <f>SUMIFS(WTG_BD!$T:$T,WTG_BD!$F:$F,"&gt;="&amp;Analytices!$B$2,WTG_BD!$F:$F,"&lt;="&amp;Analytices!$B$3,WTG_BD!$G:$G,AF4,WTG_BD!$M:$M,'Basic Data'!$N$10)</f>
        <v>29.549999999999997</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167</v>
      </c>
      <c r="B18" s="363">
        <f>COUNTIFS(WTG_BD!$F:$F,"&gt;="&amp;Analytices!$B$2,WTG_BD!$F:$F,"&lt;="&amp;Analytices!$B$3,WTG_BD!$G:$G,B4,WTG_BD!$M:$M,'Basic Data'!$N$10)</f>
        <v>9</v>
      </c>
      <c r="C18" s="363">
        <f>COUNTIFS(WTG_BD!$F:$F,"&gt;="&amp;Analytices!$B$2,WTG_BD!$F:$F,"&lt;="&amp;Analytices!$B$3,WTG_BD!$G:$G,C4,WTG_BD!$M:$M,'Basic Data'!$N$10)</f>
        <v>4</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2</v>
      </c>
      <c r="L18" s="363">
        <f>COUNTIFS(WTG_BD!$F:$F,"&gt;="&amp;Analytices!$B$2,WTG_BD!$F:$F,"&lt;="&amp;Analytices!$B$3,WTG_BD!$G:$G,L4,WTG_BD!$M:$M,'Basic Data'!$N$10)</f>
        <v>5</v>
      </c>
      <c r="M18" s="363">
        <f>COUNTIFS(WTG_BD!$F:$F,"&gt;="&amp;Analytices!$B$2,WTG_BD!$F:$F,"&lt;="&amp;Analytices!$B$3,WTG_BD!$G:$G,M4,WTG_BD!$M:$M,'Basic Data'!$N$10)</f>
        <v>10</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1</v>
      </c>
      <c r="Q18" s="363">
        <f>COUNTIFS(WTG_BD!$F:$F,"&gt;="&amp;Analytices!$B$2,WTG_BD!$F:$F,"&lt;="&amp;Analytices!$B$3,WTG_BD!$G:$G,Q4,WTG_BD!$M:$M,'Basic Data'!$N$10)</f>
        <v>14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3</v>
      </c>
      <c r="V18" s="363">
        <f>COUNTIFS(WTG_BD!$F:$F,"&gt;="&amp;Analytices!$B$2,WTG_BD!$F:$F,"&lt;="&amp;Analytices!$B$3,WTG_BD!$G:$G,V4,WTG_BD!$M:$M,'Basic Data'!$N$10)</f>
        <v>1</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1</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4</v>
      </c>
      <c r="AD18" s="363">
        <f>COUNTIFS(WTG_BD!$F:$F,"&gt;="&amp;Analytices!$B$2,WTG_BD!$F:$F,"&lt;="&amp;Analytices!$B$3,WTG_BD!$G:$G,AD4,WTG_BD!$M:$M,'Basic Data'!$N$10)</f>
        <v>3</v>
      </c>
      <c r="AE18" s="363">
        <f>COUNTIFS(WTG_BD!$F:$F,"&gt;="&amp;Analytices!$B$2,WTG_BD!$F:$F,"&lt;="&amp;Analytices!$B$3,WTG_BD!$G:$G,AE4,WTG_BD!$M:$M,'Basic Data'!$N$10)</f>
        <v>12</v>
      </c>
      <c r="AF18" s="363">
        <f>COUNTIFS(WTG_BD!$F:$F,"&gt;="&amp;Analytices!$B$2,WTG_BD!$F:$F,"&lt;="&amp;Analytices!$B$3,WTG_BD!$G:$G,AF4,WTG_BD!$M:$M,'Basic Data'!$N$10)</f>
        <v>9</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168</v>
      </c>
      <c r="B19" s="363">
        <f>IFERROR(B17/B18,0)</f>
        <v>5.5314506172839506</v>
      </c>
      <c r="C19" s="363">
        <f t="shared" ref="C19:AN19" si="5">IFERROR(C17/C18,0)</f>
        <v>5.3040972222222216</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3.7083333333333339</v>
      </c>
      <c r="L19" s="363">
        <f t="shared" si="5"/>
        <v>1.3466666666666665</v>
      </c>
      <c r="M19" s="363">
        <f t="shared" si="5"/>
        <v>2.9833055555555563</v>
      </c>
      <c r="N19" s="363">
        <f t="shared" si="5"/>
        <v>1.5</v>
      </c>
      <c r="O19" s="363">
        <f t="shared" si="5"/>
        <v>2.6499999999999986</v>
      </c>
      <c r="P19" s="363">
        <f t="shared" si="5"/>
        <v>2.0333333333333341</v>
      </c>
      <c r="Q19" s="363">
        <f t="shared" si="5"/>
        <v>2.5547420634920632</v>
      </c>
      <c r="R19" s="363">
        <f t="shared" si="5"/>
        <v>22.4203431372549</v>
      </c>
      <c r="S19" s="363">
        <f t="shared" si="5"/>
        <v>0</v>
      </c>
      <c r="T19" s="363">
        <f t="shared" si="5"/>
        <v>0</v>
      </c>
      <c r="U19" s="363">
        <f t="shared" si="5"/>
        <v>1.166666666666667</v>
      </c>
      <c r="V19" s="363">
        <f t="shared" si="5"/>
        <v>0.86666666666666625</v>
      </c>
      <c r="W19" s="363">
        <f t="shared" si="5"/>
        <v>4.1333333333333329</v>
      </c>
      <c r="X19" s="363">
        <f t="shared" si="5"/>
        <v>1.2833333333333328</v>
      </c>
      <c r="Y19" s="363">
        <f t="shared" si="5"/>
        <v>5.85</v>
      </c>
      <c r="Z19" s="363">
        <f t="shared" si="5"/>
        <v>1.708333333333333</v>
      </c>
      <c r="AA19" s="363">
        <f t="shared" si="5"/>
        <v>0</v>
      </c>
      <c r="AB19" s="363">
        <f t="shared" si="5"/>
        <v>3.4916666666666663</v>
      </c>
      <c r="AC19" s="363">
        <f t="shared" si="5"/>
        <v>20.499722222222225</v>
      </c>
      <c r="AD19" s="363">
        <f t="shared" si="5"/>
        <v>1.9055555555555561</v>
      </c>
      <c r="AE19" s="363">
        <f t="shared" si="5"/>
        <v>18.37756944444445</v>
      </c>
      <c r="AF19" s="363">
        <f t="shared" si="5"/>
        <v>3.2833333333333332</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169</v>
      </c>
      <c r="B20" s="363">
        <f>IFERROR(($C$3-B17)/B18,$C$3)</f>
        <v>74.468549382716049</v>
      </c>
      <c r="C20" s="363">
        <f t="shared" ref="C20:AN20" si="6">IFERROR(($C$3-C17)/C18,$C$3)</f>
        <v>174.69590277777777</v>
      </c>
      <c r="D20" s="363">
        <f t="shared" si="6"/>
        <v>720</v>
      </c>
      <c r="E20" s="363">
        <f t="shared" si="6"/>
        <v>117.50555555555555</v>
      </c>
      <c r="F20" s="363">
        <f t="shared" si="6"/>
        <v>719.41666666666663</v>
      </c>
      <c r="G20" s="363">
        <f t="shared" si="6"/>
        <v>358.14166666666665</v>
      </c>
      <c r="H20" s="363">
        <f t="shared" si="6"/>
        <v>718.55</v>
      </c>
      <c r="I20" s="363">
        <f t="shared" si="6"/>
        <v>720</v>
      </c>
      <c r="J20" s="363">
        <f t="shared" si="6"/>
        <v>239.2777777777778</v>
      </c>
      <c r="K20" s="363">
        <f t="shared" si="6"/>
        <v>356.29166666666669</v>
      </c>
      <c r="L20" s="363">
        <f t="shared" si="6"/>
        <v>142.65333333333334</v>
      </c>
      <c r="M20" s="363">
        <f t="shared" si="6"/>
        <v>69.01669444444444</v>
      </c>
      <c r="N20" s="363">
        <f t="shared" si="6"/>
        <v>718.5</v>
      </c>
      <c r="O20" s="363">
        <f t="shared" si="6"/>
        <v>717.35</v>
      </c>
      <c r="P20" s="363">
        <f t="shared" si="6"/>
        <v>717.9666666666667</v>
      </c>
      <c r="Q20" s="363">
        <f t="shared" si="6"/>
        <v>48.873829365079366</v>
      </c>
      <c r="R20" s="363">
        <f t="shared" si="6"/>
        <v>19.932598039215687</v>
      </c>
      <c r="S20" s="363">
        <f t="shared" si="6"/>
        <v>720</v>
      </c>
      <c r="T20" s="363">
        <f t="shared" si="6"/>
        <v>720</v>
      </c>
      <c r="U20" s="363">
        <f t="shared" si="6"/>
        <v>238.83333333333334</v>
      </c>
      <c r="V20" s="363">
        <f t="shared" si="6"/>
        <v>719.13333333333333</v>
      </c>
      <c r="W20" s="363">
        <f t="shared" si="6"/>
        <v>355.86666666666667</v>
      </c>
      <c r="X20" s="363">
        <f t="shared" si="6"/>
        <v>358.71666666666664</v>
      </c>
      <c r="Y20" s="363">
        <f t="shared" si="6"/>
        <v>714.15</v>
      </c>
      <c r="Z20" s="363">
        <f t="shared" si="6"/>
        <v>178.29166666666666</v>
      </c>
      <c r="AA20" s="363">
        <f t="shared" si="6"/>
        <v>720</v>
      </c>
      <c r="AB20" s="363">
        <f t="shared" si="6"/>
        <v>356.50833333333333</v>
      </c>
      <c r="AC20" s="363">
        <f t="shared" si="6"/>
        <v>159.50027777777777</v>
      </c>
      <c r="AD20" s="363">
        <f t="shared" si="6"/>
        <v>238.09444444444443</v>
      </c>
      <c r="AE20" s="363">
        <f t="shared" si="6"/>
        <v>41.622430555555553</v>
      </c>
      <c r="AF20" s="363">
        <f t="shared" si="6"/>
        <v>76.716666666666669</v>
      </c>
      <c r="AG20" s="363">
        <f t="shared" si="6"/>
        <v>719.38333333333333</v>
      </c>
      <c r="AH20" s="363">
        <f t="shared" si="6"/>
        <v>720</v>
      </c>
      <c r="AI20" s="363">
        <f t="shared" si="6"/>
        <v>358.65</v>
      </c>
      <c r="AJ20" s="363">
        <f t="shared" si="6"/>
        <v>358.77499999999998</v>
      </c>
      <c r="AK20" s="363">
        <f t="shared" si="6"/>
        <v>720</v>
      </c>
      <c r="AL20" s="363">
        <f t="shared" si="6"/>
        <v>720</v>
      </c>
      <c r="AM20" s="363">
        <f t="shared" si="6"/>
        <v>720</v>
      </c>
      <c r="AN20" s="363">
        <f t="shared" si="6"/>
        <v>719.13333333333333</v>
      </c>
    </row>
    <row r="21" spans="1:40" ht="29.1" customHeight="1">
      <c r="A21" s="359" t="s">
        <v>170</v>
      </c>
      <c r="B21" s="363">
        <f>ROUND(AVERAGEIFS(Input_Raw!AS:AS,Input_Raw!$A:$A,"&gt;="&amp;Analytices!$B$2,Input_Raw!$A:$A,"&lt;="&amp;Analytices!$B$3),1)</f>
        <v>5.7</v>
      </c>
      <c r="C21" s="363">
        <f>ROUND(AVERAGEIFS(Input_Raw!AT:AT,Input_Raw!$A:$A,"&gt;="&amp;Analytices!$B$2,Input_Raw!$A:$A,"&lt;="&amp;Analytices!$B$3),1)</f>
        <v>5.6</v>
      </c>
      <c r="D21" s="363">
        <f>ROUND(AVERAGEIFS(Input_Raw!AU:AU,Input_Raw!$A:$A,"&gt;="&amp;Analytices!$B$2,Input_Raw!$A:$A,"&lt;="&amp;Analytices!$B$3),1)</f>
        <v>5.5</v>
      </c>
      <c r="E21" s="363">
        <f>ROUND(AVERAGEIFS(Input_Raw!AV:AV,Input_Raw!$A:$A,"&gt;="&amp;Analytices!$B$2,Input_Raw!$A:$A,"&lt;="&amp;Analytices!$B$3),1)</f>
        <v>5.5</v>
      </c>
      <c r="F21" s="363">
        <f>ROUND(AVERAGEIFS(Input_Raw!AW:AW,Input_Raw!$A:$A,"&gt;="&amp;Analytices!$B$2,Input_Raw!$A:$A,"&lt;="&amp;Analytices!$B$3),1)</f>
        <v>5.7</v>
      </c>
      <c r="G21" s="363">
        <f>ROUND(AVERAGEIFS(Input_Raw!AX:AX,Input_Raw!$A:$A,"&gt;="&amp;Analytices!$B$2,Input_Raw!$A:$A,"&lt;="&amp;Analytices!$B$3),1)</f>
        <v>5.5</v>
      </c>
      <c r="H21" s="363">
        <f>ROUND(AVERAGEIFS(Input_Raw!AY:AY,Input_Raw!$A:$A,"&gt;="&amp;Analytices!$B$2,Input_Raw!$A:$A,"&lt;="&amp;Analytices!$B$3),1)</f>
        <v>5.4</v>
      </c>
      <c r="I21" s="363">
        <f>ROUND(AVERAGEIFS(Input_Raw!AZ:AZ,Input_Raw!$A:$A,"&gt;="&amp;Analytices!$B$2,Input_Raw!$A:$A,"&lt;="&amp;Analytices!$B$3),1)</f>
        <v>5.7</v>
      </c>
      <c r="J21" s="363">
        <f>ROUND(AVERAGEIFS(Input_Raw!BA:BA,Input_Raw!$A:$A,"&gt;="&amp;Analytices!$B$2,Input_Raw!$A:$A,"&lt;="&amp;Analytices!$B$3),1)</f>
        <v>5.4</v>
      </c>
      <c r="K21" s="363">
        <f>ROUND(AVERAGEIFS(Input_Raw!BB:BB,Input_Raw!$A:$A,"&gt;="&amp;Analytices!$B$2,Input_Raw!$A:$A,"&lt;="&amp;Analytices!$B$3),1)</f>
        <v>5.6</v>
      </c>
      <c r="L21" s="363">
        <f>ROUND(AVERAGEIFS(Input_Raw!BC:BC,Input_Raw!$A:$A,"&gt;="&amp;Analytices!$B$2,Input_Raw!$A:$A,"&lt;="&amp;Analytices!$B$3),1)</f>
        <v>5.7</v>
      </c>
      <c r="M21" s="363">
        <f>ROUND(AVERAGEIFS(Input_Raw!BD:BD,Input_Raw!$A:$A,"&gt;="&amp;Analytices!$B$2,Input_Raw!$A:$A,"&lt;="&amp;Analytices!$B$3),1)</f>
        <v>5.5</v>
      </c>
      <c r="N21" s="363">
        <f>ROUND(AVERAGEIFS(Input_Raw!BE:BE,Input_Raw!$A:$A,"&gt;="&amp;Analytices!$B$2,Input_Raw!$A:$A,"&lt;="&amp;Analytices!$B$3),1)</f>
        <v>5.7</v>
      </c>
      <c r="O21" s="363">
        <f>ROUND(AVERAGEIFS(Input_Raw!BF:BF,Input_Raw!$A:$A,"&gt;="&amp;Analytices!$B$2,Input_Raw!$A:$A,"&lt;="&amp;Analytices!$B$3),1)</f>
        <v>5.8</v>
      </c>
      <c r="P21" s="363">
        <f>ROUND(AVERAGEIFS(Input_Raw!BG:BG,Input_Raw!$A:$A,"&gt;="&amp;Analytices!$B$2,Input_Raw!$A:$A,"&lt;="&amp;Analytices!$B$3),1)</f>
        <v>5.7</v>
      </c>
      <c r="Q21" s="363">
        <f>ROUND(AVERAGEIFS(Input_Raw!BH:BH,Input_Raw!$A:$A,"&gt;="&amp;Analytices!$B$2,Input_Raw!$A:$A,"&lt;="&amp;Analytices!$B$3),1)</f>
        <v>5.6</v>
      </c>
      <c r="R21" s="363">
        <f>ROUND(AVERAGEIFS(Input_Raw!BI:BI,Input_Raw!$A:$A,"&gt;="&amp;Analytices!$B$2,Input_Raw!$A:$A,"&lt;="&amp;Analytices!$B$3),1)</f>
        <v>1.5</v>
      </c>
      <c r="S21" s="363">
        <f>ROUND(AVERAGEIFS(Input_Raw!BJ:BJ,Input_Raw!$A:$A,"&gt;="&amp;Analytices!$B$2,Input_Raw!$A:$A,"&lt;="&amp;Analytices!$B$3),1)</f>
        <v>5.9</v>
      </c>
      <c r="T21" s="363">
        <f>ROUND(AVERAGEIFS(Input_Raw!BK:BK,Input_Raw!$A:$A,"&gt;="&amp;Analytices!$B$2,Input_Raw!$A:$A,"&lt;="&amp;Analytices!$B$3),1)</f>
        <v>6</v>
      </c>
      <c r="U21" s="363">
        <f>ROUND(AVERAGEIFS(Input_Raw!BL:BL,Input_Raw!$A:$A,"&gt;="&amp;Analytices!$B$2,Input_Raw!$A:$A,"&lt;="&amp;Analytices!$B$3),1)</f>
        <v>5.9</v>
      </c>
      <c r="V21" s="363">
        <f>ROUND(AVERAGEIFS(Input_Raw!BM:BM,Input_Raw!$A:$A,"&gt;="&amp;Analytices!$B$2,Input_Raw!$A:$A,"&lt;="&amp;Analytices!$B$3),1)</f>
        <v>5.5</v>
      </c>
      <c r="W21" s="363">
        <f>ROUND(AVERAGEIFS(Input_Raw!BN:BN,Input_Raw!$A:$A,"&gt;="&amp;Analytices!$B$2,Input_Raw!$A:$A,"&lt;="&amp;Analytices!$B$3),1)</f>
        <v>5.7</v>
      </c>
      <c r="X21" s="363">
        <f>ROUND(AVERAGEIFS(Input_Raw!BO:BO,Input_Raw!$A:$A,"&gt;="&amp;Analytices!$B$2,Input_Raw!$A:$A,"&lt;="&amp;Analytices!$B$3),1)</f>
        <v>4.5999999999999996</v>
      </c>
      <c r="Y21" s="363">
        <f>ROUND(AVERAGEIFS(Input_Raw!BP:BP,Input_Raw!$A:$A,"&gt;="&amp;Analytices!$B$2,Input_Raw!$A:$A,"&lt;="&amp;Analytices!$B$3),1)</f>
        <v>5.6</v>
      </c>
      <c r="Z21" s="363">
        <f>ROUND(AVERAGEIFS(Input_Raw!BQ:BQ,Input_Raw!$A:$A,"&gt;="&amp;Analytices!$B$2,Input_Raw!$A:$A,"&lt;="&amp;Analytices!$B$3),1)</f>
        <v>5.5</v>
      </c>
      <c r="AA21" s="363">
        <f>ROUND(AVERAGEIFS(Input_Raw!BR:BR,Input_Raw!$A:$A,"&gt;="&amp;Analytices!$B$2,Input_Raw!$A:$A,"&lt;="&amp;Analytices!$B$3),1)</f>
        <v>5.6</v>
      </c>
      <c r="AB21" s="363">
        <f>ROUND(AVERAGEIFS(Input_Raw!BS:BS,Input_Raw!$A:$A,"&gt;="&amp;Analytices!$B$2,Input_Raw!$A:$A,"&lt;="&amp;Analytices!$B$3),1)</f>
        <v>5.3</v>
      </c>
      <c r="AC21" s="363">
        <f>ROUND(AVERAGEIFS(Input_Raw!BT:BT,Input_Raw!$A:$A,"&gt;="&amp;Analytices!$B$2,Input_Raw!$A:$A,"&lt;="&amp;Analytices!$B$3),1)</f>
        <v>0</v>
      </c>
      <c r="AD21" s="363">
        <f>ROUND(AVERAGEIFS(Input_Raw!BU:BU,Input_Raw!$A:$A,"&gt;="&amp;Analytices!$B$2,Input_Raw!$A:$A,"&lt;="&amp;Analytices!$B$3),1)</f>
        <v>5.4</v>
      </c>
      <c r="AE21" s="363">
        <f>ROUND(AVERAGEIFS(Input_Raw!BV:BV,Input_Raw!$A:$A,"&gt;="&amp;Analytices!$B$2,Input_Raw!$A:$A,"&lt;="&amp;Analytices!$B$3),1)</f>
        <v>0.2</v>
      </c>
      <c r="AF21" s="363">
        <f>ROUND(AVERAGEIFS(Input_Raw!BW:BW,Input_Raw!$A:$A,"&gt;="&amp;Analytices!$B$2,Input_Raw!$A:$A,"&lt;="&amp;Analytices!$B$3),1)</f>
        <v>5.4</v>
      </c>
      <c r="AG21" s="363">
        <f>ROUND(AVERAGEIFS(Input_Raw!BX:BX,Input_Raw!$A:$A,"&gt;="&amp;Analytices!$B$2,Input_Raw!$A:$A,"&lt;="&amp;Analytices!$B$3),1)</f>
        <v>5.3</v>
      </c>
      <c r="AH21" s="363">
        <f>ROUND(AVERAGEIFS(Input_Raw!BY:BY,Input_Raw!$A:$A,"&gt;="&amp;Analytices!$B$2,Input_Raw!$A:$A,"&lt;="&amp;Analytices!$B$3),1)</f>
        <v>5.7</v>
      </c>
      <c r="AI21" s="363">
        <f>ROUND(AVERAGEIFS(Input_Raw!BZ:BZ,Input_Raw!$A:$A,"&gt;="&amp;Analytices!$B$2,Input_Raw!$A:$A,"&lt;="&amp;Analytices!$B$3),1)</f>
        <v>5.6</v>
      </c>
      <c r="AJ21" s="363">
        <f>ROUND(AVERAGEIFS(Input_Raw!CA:CA,Input_Raw!$A:$A,"&gt;="&amp;Analytices!$B$2,Input_Raw!$A:$A,"&lt;="&amp;Analytices!$B$3),1)</f>
        <v>5.7</v>
      </c>
      <c r="AK21" s="363">
        <f>ROUND(AVERAGEIFS(Input_Raw!CB:CB,Input_Raw!$A:$A,"&gt;="&amp;Analytices!$B$2,Input_Raw!$A:$A,"&lt;="&amp;Analytices!$B$3),1)</f>
        <v>5.7</v>
      </c>
      <c r="AL21" s="363">
        <f>ROUND(AVERAGEIFS(Input_Raw!CC:CC,Input_Raw!$A:$A,"&gt;="&amp;Analytices!$B$2,Input_Raw!$A:$A,"&lt;="&amp;Analytices!$B$3),1)</f>
        <v>5.4</v>
      </c>
      <c r="AM21" s="363">
        <f>ROUND(AVERAGEIFS(Input_Raw!CD:CD,Input_Raw!$A:$A,"&gt;="&amp;Analytices!$B$2,Input_Raw!$A:$A,"&lt;="&amp;Analytices!$B$3),1)</f>
        <v>5.3</v>
      </c>
      <c r="AN21" s="363">
        <f>ROUND(AVERAGEIFS(Input_Raw!CE:CE,Input_Raw!$A:$A,"&gt;="&amp;Analytices!$B$2,Input_Raw!$A:$A,"&lt;="&amp;Analytices!$B$3),1)</f>
        <v>5.5</v>
      </c>
    </row>
    <row r="22" spans="1:40" ht="29.1" customHeight="1">
      <c r="A22" s="367"/>
    </row>
    <row r="23" spans="1:40" ht="29.1" customHeight="1">
      <c r="A23" s="434" t="s">
        <v>171</v>
      </c>
      <c r="B23" s="434"/>
      <c r="C23" s="434"/>
      <c r="D23" s="434"/>
      <c r="E23" s="434"/>
      <c r="F23" s="434"/>
      <c r="G23" s="434"/>
    </row>
    <row r="24" spans="1:40" ht="29.1" customHeight="1">
      <c r="A24" s="368">
        <v>45017</v>
      </c>
    </row>
    <row r="25" spans="1:40" ht="29.1" customHeight="1">
      <c r="D25" s="432" t="s">
        <v>172</v>
      </c>
      <c r="E25" s="432"/>
      <c r="F25" s="432" t="s">
        <v>173</v>
      </c>
      <c r="G25" s="432"/>
    </row>
    <row r="26" spans="1:40" ht="29.1" customHeight="1">
      <c r="D26" s="432">
        <f ca="1">F26</f>
        <v>20424</v>
      </c>
      <c r="E26" s="432"/>
      <c r="F26" s="433">
        <f ca="1">((TODAY()-1)-(A24))*24</f>
        <v>20424</v>
      </c>
      <c r="G26" s="433"/>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20424</v>
      </c>
    </row>
    <row r="31" spans="1:40" ht="29.1" customHeight="1">
      <c r="A31" s="98" t="s">
        <v>182</v>
      </c>
      <c r="B31" s="370">
        <v>9.3333333333333357</v>
      </c>
      <c r="C31" s="370">
        <v>2</v>
      </c>
      <c r="D31" s="363">
        <f t="shared" ref="D31:D94" si="7">B31/C31</f>
        <v>4.6666666666666679</v>
      </c>
      <c r="E31" s="363">
        <f t="shared" ref="E31:E94" ca="1" si="8">$D$26/C31</f>
        <v>10212</v>
      </c>
    </row>
    <row r="32" spans="1:40" ht="29.1" customHeight="1">
      <c r="A32" s="98" t="s">
        <v>183</v>
      </c>
      <c r="B32" s="370">
        <v>6.0666666666666691</v>
      </c>
      <c r="C32" s="370">
        <v>2</v>
      </c>
      <c r="D32" s="363">
        <f t="shared" si="7"/>
        <v>3.0333333333333345</v>
      </c>
      <c r="E32" s="363">
        <f t="shared" ca="1" si="8"/>
        <v>10212</v>
      </c>
    </row>
    <row r="33" spans="1:5" ht="29.1" customHeight="1">
      <c r="A33" s="98" t="s">
        <v>184</v>
      </c>
      <c r="B33" s="370">
        <v>33.93333333333333</v>
      </c>
      <c r="C33" s="370">
        <v>20</v>
      </c>
      <c r="D33" s="363">
        <f t="shared" si="7"/>
        <v>1.6966666666666665</v>
      </c>
      <c r="E33" s="363">
        <f t="shared" ca="1" si="8"/>
        <v>1021.2</v>
      </c>
    </row>
    <row r="34" spans="1:5" ht="29.1" customHeight="1">
      <c r="A34" s="98" t="s">
        <v>185</v>
      </c>
      <c r="B34" s="370">
        <v>14.616666666666678</v>
      </c>
      <c r="C34" s="370">
        <v>7</v>
      </c>
      <c r="D34" s="363">
        <f t="shared" si="7"/>
        <v>2.0880952380952396</v>
      </c>
      <c r="E34" s="363">
        <f t="shared" ca="1" si="8"/>
        <v>2917.7142857142858</v>
      </c>
    </row>
    <row r="35" spans="1:5" ht="29.1" customHeight="1">
      <c r="A35" s="98" t="s">
        <v>186</v>
      </c>
      <c r="B35" s="370">
        <v>22.416666666666664</v>
      </c>
      <c r="C35" s="370">
        <v>6</v>
      </c>
      <c r="D35" s="363">
        <f t="shared" si="7"/>
        <v>3.7361111111111107</v>
      </c>
      <c r="E35" s="363">
        <f t="shared" ca="1" si="8"/>
        <v>3404</v>
      </c>
    </row>
    <row r="36" spans="1:5" ht="29.1" customHeight="1">
      <c r="A36" s="98" t="s">
        <v>187</v>
      </c>
      <c r="B36" s="370">
        <v>325.73333333333335</v>
      </c>
      <c r="C36" s="370">
        <v>93</v>
      </c>
      <c r="D36" s="363">
        <f t="shared" si="7"/>
        <v>3.5025089605734769</v>
      </c>
      <c r="E36" s="363">
        <f t="shared" ca="1" si="8"/>
        <v>219.61290322580646</v>
      </c>
    </row>
    <row r="37" spans="1:5" ht="29.1" customHeight="1">
      <c r="A37" s="98" t="s">
        <v>188</v>
      </c>
      <c r="B37" s="370">
        <v>31.283333333333331</v>
      </c>
      <c r="C37" s="370">
        <v>12</v>
      </c>
      <c r="D37" s="363">
        <f t="shared" si="7"/>
        <v>2.6069444444444443</v>
      </c>
      <c r="E37" s="363">
        <f t="shared" ca="1" si="8"/>
        <v>1702</v>
      </c>
    </row>
    <row r="38" spans="1:5" ht="29.1" customHeight="1">
      <c r="A38" s="98" t="s">
        <v>189</v>
      </c>
      <c r="B38" s="370">
        <v>30.949999999999996</v>
      </c>
      <c r="C38" s="370">
        <v>19</v>
      </c>
      <c r="D38" s="363">
        <f t="shared" si="7"/>
        <v>1.6289473684210525</v>
      </c>
      <c r="E38" s="363">
        <f t="shared" ca="1" si="8"/>
        <v>1074.9473684210527</v>
      </c>
    </row>
    <row r="39" spans="1:5" ht="29.1" customHeight="1">
      <c r="A39" s="98" t="s">
        <v>190</v>
      </c>
      <c r="B39" s="370">
        <v>72.816666666666649</v>
      </c>
      <c r="C39" s="370">
        <v>10</v>
      </c>
      <c r="D39" s="363">
        <f t="shared" si="7"/>
        <v>7.2816666666666645</v>
      </c>
      <c r="E39" s="363">
        <f t="shared" ca="1" si="8"/>
        <v>2042.4</v>
      </c>
    </row>
    <row r="40" spans="1:5" ht="29.1" customHeight="1">
      <c r="A40" s="98" t="s">
        <v>191</v>
      </c>
      <c r="B40" s="370">
        <v>5.1666666666666679</v>
      </c>
      <c r="C40" s="370">
        <v>1</v>
      </c>
      <c r="D40" s="363">
        <f t="shared" si="7"/>
        <v>5.1666666666666679</v>
      </c>
      <c r="E40" s="363">
        <f t="shared" ca="1" si="8"/>
        <v>20424</v>
      </c>
    </row>
    <row r="41" spans="1:5" ht="29.1" customHeight="1">
      <c r="A41" s="98" t="s">
        <v>192</v>
      </c>
      <c r="B41" s="370">
        <v>13.316666666666663</v>
      </c>
      <c r="C41" s="370">
        <v>5</v>
      </c>
      <c r="D41" s="363">
        <f t="shared" si="7"/>
        <v>2.6633333333333327</v>
      </c>
      <c r="E41" s="363">
        <f t="shared" ca="1" si="8"/>
        <v>4084.8</v>
      </c>
    </row>
    <row r="42" spans="1:5" ht="29.1" customHeight="1">
      <c r="A42" s="98" t="s">
        <v>193</v>
      </c>
      <c r="B42" s="370">
        <v>0.41666666666666785</v>
      </c>
      <c r="C42" s="370">
        <v>1</v>
      </c>
      <c r="D42" s="363">
        <f t="shared" si="7"/>
        <v>0.41666666666666785</v>
      </c>
      <c r="E42" s="363">
        <f t="shared" ca="1" si="8"/>
        <v>20424</v>
      </c>
    </row>
    <row r="43" spans="1:5" ht="29.1" customHeight="1">
      <c r="A43" s="98" t="s">
        <v>194</v>
      </c>
      <c r="B43" s="370">
        <v>0.33333333333333215</v>
      </c>
      <c r="C43" s="370">
        <v>2</v>
      </c>
      <c r="D43" s="363">
        <f t="shared" si="7"/>
        <v>0.16666666666666607</v>
      </c>
      <c r="E43" s="363">
        <f t="shared" ca="1" si="8"/>
        <v>10212</v>
      </c>
    </row>
    <row r="44" spans="1:5" ht="29.1" customHeight="1">
      <c r="A44" s="98" t="s">
        <v>195</v>
      </c>
      <c r="B44" s="370">
        <v>40.266666666666673</v>
      </c>
      <c r="C44" s="370">
        <v>13</v>
      </c>
      <c r="D44" s="363">
        <f t="shared" si="7"/>
        <v>3.097435897435898</v>
      </c>
      <c r="E44" s="363">
        <f t="shared" ca="1" si="8"/>
        <v>1571.0769230769231</v>
      </c>
    </row>
    <row r="45" spans="1:5" ht="29.1" customHeight="1">
      <c r="A45" s="98" t="s">
        <v>196</v>
      </c>
      <c r="B45" s="370">
        <v>9.9666666666666615</v>
      </c>
      <c r="C45" s="370">
        <v>7</v>
      </c>
      <c r="D45" s="363">
        <f t="shared" si="7"/>
        <v>1.423809523809523</v>
      </c>
      <c r="E45" s="363">
        <f t="shared" ca="1" si="8"/>
        <v>2917.7142857142858</v>
      </c>
    </row>
    <row r="46" spans="1:5" ht="29.1" customHeight="1">
      <c r="A46" s="98" t="s">
        <v>197</v>
      </c>
      <c r="B46" s="370">
        <v>45.133333333333333</v>
      </c>
      <c r="C46" s="370">
        <v>18</v>
      </c>
      <c r="D46" s="363">
        <f t="shared" si="7"/>
        <v>2.5074074074074075</v>
      </c>
      <c r="E46" s="363">
        <f t="shared" ca="1" si="8"/>
        <v>1134.6666666666667</v>
      </c>
    </row>
    <row r="47" spans="1:5" ht="29.1" customHeight="1">
      <c r="A47" s="98" t="s">
        <v>198</v>
      </c>
      <c r="B47" s="370">
        <v>1.8999999999999981</v>
      </c>
      <c r="C47" s="370">
        <v>2</v>
      </c>
      <c r="D47" s="363">
        <f t="shared" si="7"/>
        <v>0.94999999999999907</v>
      </c>
      <c r="E47" s="363">
        <f t="shared" ca="1" si="8"/>
        <v>10212</v>
      </c>
    </row>
    <row r="48" spans="1:5" ht="29.1" customHeight="1">
      <c r="A48" s="98" t="s">
        <v>199</v>
      </c>
      <c r="B48" s="370">
        <v>9.9833333333333307</v>
      </c>
      <c r="C48" s="370">
        <v>4</v>
      </c>
      <c r="D48" s="363">
        <f t="shared" si="7"/>
        <v>2.4958333333333327</v>
      </c>
      <c r="E48" s="363">
        <f t="shared" ca="1" si="8"/>
        <v>5106</v>
      </c>
    </row>
    <row r="49" spans="1:5" ht="29.1" customHeight="1">
      <c r="A49" s="98" t="s">
        <v>200</v>
      </c>
      <c r="B49" s="370">
        <v>13.5</v>
      </c>
      <c r="C49" s="370">
        <v>2</v>
      </c>
      <c r="D49" s="363">
        <f t="shared" si="7"/>
        <v>6.75</v>
      </c>
      <c r="E49" s="363">
        <f t="shared" ca="1" si="8"/>
        <v>10212</v>
      </c>
    </row>
    <row r="50" spans="1:5" ht="29.1" customHeight="1">
      <c r="A50" s="98" t="s">
        <v>201</v>
      </c>
      <c r="B50" s="370">
        <v>3.2500000000000018</v>
      </c>
      <c r="C50" s="370">
        <v>2</v>
      </c>
      <c r="D50" s="363">
        <f t="shared" si="7"/>
        <v>1.6250000000000009</v>
      </c>
      <c r="E50" s="363">
        <f t="shared" ca="1" si="8"/>
        <v>10212</v>
      </c>
    </row>
    <row r="51" spans="1:5" ht="29.1" customHeight="1">
      <c r="A51" s="98" t="s">
        <v>202</v>
      </c>
      <c r="B51" s="370">
        <v>14.86666666666666</v>
      </c>
      <c r="C51" s="370">
        <v>4</v>
      </c>
      <c r="D51" s="363">
        <f t="shared" si="7"/>
        <v>3.716666666666665</v>
      </c>
      <c r="E51" s="363">
        <f t="shared" ca="1" si="8"/>
        <v>5106</v>
      </c>
    </row>
    <row r="52" spans="1:5" ht="29.1" customHeight="1">
      <c r="A52" s="98" t="s">
        <v>203</v>
      </c>
      <c r="B52" s="370">
        <v>1.5166666666666666</v>
      </c>
      <c r="C52" s="370">
        <v>1</v>
      </c>
      <c r="D52" s="363">
        <f t="shared" si="7"/>
        <v>1.5166666666666666</v>
      </c>
      <c r="E52" s="363">
        <f t="shared" ca="1" si="8"/>
        <v>20424</v>
      </c>
    </row>
    <row r="53" spans="1:5" ht="29.1" customHeight="1">
      <c r="A53" s="98" t="s">
        <v>204</v>
      </c>
      <c r="B53" s="370">
        <v>0.36666666666666803</v>
      </c>
      <c r="C53" s="370">
        <v>1</v>
      </c>
      <c r="D53" s="363">
        <f t="shared" si="7"/>
        <v>0.36666666666666803</v>
      </c>
      <c r="E53" s="363">
        <f t="shared" ca="1" si="8"/>
        <v>20424</v>
      </c>
    </row>
    <row r="54" spans="1:5" ht="29.1" customHeight="1">
      <c r="A54" s="98" t="s">
        <v>205</v>
      </c>
      <c r="B54" s="370">
        <v>7.0833333333333339</v>
      </c>
      <c r="C54" s="370">
        <v>3</v>
      </c>
      <c r="D54" s="363">
        <f t="shared" si="7"/>
        <v>2.3611111111111112</v>
      </c>
      <c r="E54" s="363">
        <f t="shared" ca="1" si="8"/>
        <v>6808</v>
      </c>
    </row>
    <row r="55" spans="1:5" ht="29.1" customHeight="1">
      <c r="A55" s="98" t="s">
        <v>206</v>
      </c>
      <c r="B55" s="370">
        <v>13.066666666666663</v>
      </c>
      <c r="C55" s="370">
        <v>19</v>
      </c>
      <c r="D55" s="363">
        <f t="shared" si="7"/>
        <v>0.68771929824561384</v>
      </c>
      <c r="E55" s="363">
        <f t="shared" ca="1" si="8"/>
        <v>1074.9473684210527</v>
      </c>
    </row>
    <row r="56" spans="1:5" ht="29.1" customHeight="1">
      <c r="A56" s="98" t="s">
        <v>207</v>
      </c>
      <c r="B56" s="370">
        <v>2.35</v>
      </c>
      <c r="C56" s="370">
        <v>2</v>
      </c>
      <c r="D56" s="363">
        <f t="shared" si="7"/>
        <v>1.175</v>
      </c>
      <c r="E56" s="363">
        <f t="shared" ca="1" si="8"/>
        <v>10212</v>
      </c>
    </row>
    <row r="57" spans="1:5" ht="29.1" customHeight="1">
      <c r="A57" s="98" t="s">
        <v>208</v>
      </c>
      <c r="B57" s="370">
        <v>50.683333333333337</v>
      </c>
      <c r="C57" s="370">
        <v>11</v>
      </c>
      <c r="D57" s="363">
        <f t="shared" si="7"/>
        <v>4.6075757575757583</v>
      </c>
      <c r="E57" s="363">
        <f t="shared" ca="1" si="8"/>
        <v>1856.7272727272727</v>
      </c>
    </row>
    <row r="58" spans="1:5" ht="29.1" customHeight="1">
      <c r="A58" s="98" t="s">
        <v>209</v>
      </c>
      <c r="B58" s="370">
        <v>6.6666666666666679</v>
      </c>
      <c r="C58" s="370">
        <v>2</v>
      </c>
      <c r="D58" s="363">
        <f t="shared" si="7"/>
        <v>3.3333333333333339</v>
      </c>
      <c r="E58" s="363">
        <f t="shared" ca="1" si="8"/>
        <v>10212</v>
      </c>
    </row>
    <row r="59" spans="1:5" ht="29.1" customHeight="1">
      <c r="A59" s="98" t="s">
        <v>210</v>
      </c>
      <c r="B59" s="370">
        <v>7.9999999999999947</v>
      </c>
      <c r="C59" s="370">
        <v>7</v>
      </c>
      <c r="D59" s="363">
        <f t="shared" si="7"/>
        <v>1.1428571428571421</v>
      </c>
      <c r="E59" s="363">
        <f t="shared" ca="1" si="8"/>
        <v>2917.7142857142858</v>
      </c>
    </row>
    <row r="60" spans="1:5" ht="29.1" customHeight="1">
      <c r="A60" s="98" t="s">
        <v>211</v>
      </c>
      <c r="B60" s="370">
        <v>7.0833333333333313</v>
      </c>
      <c r="C60" s="370">
        <v>8</v>
      </c>
      <c r="D60" s="363">
        <f t="shared" si="7"/>
        <v>0.88541666666666641</v>
      </c>
      <c r="E60" s="363">
        <f t="shared" ca="1" si="8"/>
        <v>2553</v>
      </c>
    </row>
    <row r="61" spans="1:5" ht="29.1" customHeight="1">
      <c r="A61" s="98" t="s">
        <v>212</v>
      </c>
      <c r="B61" s="370">
        <v>45.050000000000004</v>
      </c>
      <c r="C61" s="370">
        <v>18</v>
      </c>
      <c r="D61" s="363">
        <f t="shared" si="7"/>
        <v>2.5027777777777782</v>
      </c>
      <c r="E61" s="363">
        <f t="shared" ca="1" si="8"/>
        <v>1134.6666666666667</v>
      </c>
    </row>
    <row r="62" spans="1:5" ht="29.1" customHeight="1">
      <c r="A62" s="98" t="s">
        <v>213</v>
      </c>
      <c r="B62" s="370">
        <v>168.99999999999997</v>
      </c>
      <c r="C62" s="370">
        <v>71</v>
      </c>
      <c r="D62" s="363">
        <f t="shared" si="7"/>
        <v>2.3802816901408446</v>
      </c>
      <c r="E62" s="363">
        <f t="shared" ca="1" si="8"/>
        <v>287.66197183098592</v>
      </c>
    </row>
    <row r="63" spans="1:5" ht="29.1" customHeight="1">
      <c r="A63" s="98" t="s">
        <v>214</v>
      </c>
      <c r="B63" s="84">
        <v>3.6333333333333337</v>
      </c>
      <c r="C63" s="84">
        <v>2</v>
      </c>
      <c r="D63" s="363">
        <f t="shared" si="7"/>
        <v>1.8166666666666669</v>
      </c>
      <c r="E63" s="363">
        <f t="shared" ca="1" si="8"/>
        <v>10212</v>
      </c>
    </row>
    <row r="64" spans="1:5" ht="29.1" customHeight="1">
      <c r="A64" s="98" t="s">
        <v>215</v>
      </c>
      <c r="B64" s="370">
        <v>107.58333333333334</v>
      </c>
      <c r="C64" s="370">
        <v>18</v>
      </c>
      <c r="D64" s="363">
        <f t="shared" si="7"/>
        <v>5.9768518518518521</v>
      </c>
      <c r="E64" s="363">
        <f t="shared" ca="1" si="8"/>
        <v>1134.6666666666667</v>
      </c>
    </row>
    <row r="65" spans="1:5" ht="29.1" customHeight="1">
      <c r="A65" s="98" t="s">
        <v>216</v>
      </c>
      <c r="B65" s="370">
        <v>3.8833333333333302</v>
      </c>
      <c r="C65" s="370">
        <v>2</v>
      </c>
      <c r="D65" s="363">
        <f t="shared" si="7"/>
        <v>1.9416666666666651</v>
      </c>
      <c r="E65" s="363">
        <f t="shared" ca="1" si="8"/>
        <v>10212</v>
      </c>
    </row>
    <row r="66" spans="1:5" ht="29.1" customHeight="1">
      <c r="A66" s="98" t="s">
        <v>217</v>
      </c>
      <c r="B66" s="370">
        <v>0.46666666666666501</v>
      </c>
      <c r="C66" s="370">
        <v>1</v>
      </c>
      <c r="D66" s="363">
        <f t="shared" si="7"/>
        <v>0.46666666666666501</v>
      </c>
      <c r="E66" s="363">
        <f t="shared" ca="1" si="8"/>
        <v>20424</v>
      </c>
    </row>
    <row r="67" spans="1:5" ht="29.1" customHeight="1">
      <c r="A67" s="98" t="s">
        <v>218</v>
      </c>
      <c r="B67" s="370">
        <v>21.883333333333333</v>
      </c>
      <c r="C67" s="370">
        <v>11</v>
      </c>
      <c r="D67" s="363">
        <f t="shared" si="7"/>
        <v>1.9893939393939393</v>
      </c>
      <c r="E67" s="363">
        <f t="shared" ca="1" si="8"/>
        <v>1856.7272727272727</v>
      </c>
    </row>
    <row r="68" spans="1:5" ht="29.1" customHeight="1">
      <c r="A68" s="98" t="s">
        <v>219</v>
      </c>
      <c r="B68" s="370">
        <v>3.5499999999999994</v>
      </c>
      <c r="C68" s="370">
        <v>3</v>
      </c>
      <c r="D68" s="363">
        <f t="shared" si="7"/>
        <v>1.1833333333333331</v>
      </c>
      <c r="E68" s="363">
        <f t="shared" ca="1" si="8"/>
        <v>6808</v>
      </c>
    </row>
    <row r="69" spans="1:5" ht="29.1" customHeight="1">
      <c r="A69" s="98" t="s">
        <v>220</v>
      </c>
      <c r="B69" s="370">
        <v>10.433333333333334</v>
      </c>
      <c r="C69" s="370">
        <v>5</v>
      </c>
      <c r="D69" s="363">
        <f t="shared" si="7"/>
        <v>2.0866666666666669</v>
      </c>
      <c r="E69" s="363">
        <f t="shared" ca="1" si="8"/>
        <v>4084.8</v>
      </c>
    </row>
    <row r="70" spans="1:5" ht="29.1" customHeight="1">
      <c r="A70" s="98" t="s">
        <v>221</v>
      </c>
      <c r="B70" s="370">
        <v>120.08333333333333</v>
      </c>
      <c r="C70" s="370">
        <v>23</v>
      </c>
      <c r="D70" s="363">
        <f t="shared" si="7"/>
        <v>5.2210144927536231</v>
      </c>
      <c r="E70" s="363">
        <f t="shared" ca="1" si="8"/>
        <v>888</v>
      </c>
    </row>
    <row r="71" spans="1:5" ht="29.1" customHeight="1">
      <c r="A71" s="98" t="s">
        <v>222</v>
      </c>
      <c r="B71" s="370">
        <v>48.433333333333337</v>
      </c>
      <c r="C71" s="370">
        <v>12</v>
      </c>
      <c r="D71" s="363">
        <f t="shared" si="7"/>
        <v>4.0361111111111114</v>
      </c>
      <c r="E71" s="363">
        <f t="shared" ca="1" si="8"/>
        <v>1702</v>
      </c>
    </row>
    <row r="72" spans="1:5" ht="29.1" customHeight="1">
      <c r="A72" s="98" t="s">
        <v>223</v>
      </c>
      <c r="B72" s="370">
        <v>40.04999999999999</v>
      </c>
      <c r="C72" s="370">
        <v>13</v>
      </c>
      <c r="D72" s="363">
        <f t="shared" si="7"/>
        <v>3.08076923076923</v>
      </c>
      <c r="E72" s="363">
        <f t="shared" ca="1" si="8"/>
        <v>1571.0769230769231</v>
      </c>
    </row>
    <row r="73" spans="1:5" ht="29.1" customHeight="1">
      <c r="A73" s="98" t="s">
        <v>224</v>
      </c>
      <c r="B73" s="370">
        <v>917.15000000000055</v>
      </c>
      <c r="C73" s="370">
        <v>200</v>
      </c>
      <c r="D73" s="363">
        <f t="shared" si="7"/>
        <v>4.5857500000000027</v>
      </c>
      <c r="E73" s="363">
        <f t="shared" ca="1" si="8"/>
        <v>102.12</v>
      </c>
    </row>
    <row r="74" spans="1:5" ht="29.1" customHeight="1">
      <c r="A74" s="98" t="s">
        <v>225</v>
      </c>
      <c r="B74" s="370">
        <v>147.41666666666669</v>
      </c>
      <c r="C74" s="370">
        <v>7</v>
      </c>
      <c r="D74" s="363">
        <f t="shared" si="7"/>
        <v>21.059523809523814</v>
      </c>
      <c r="E74" s="363">
        <f t="shared" ca="1" si="8"/>
        <v>2917.7142857142858</v>
      </c>
    </row>
    <row r="75" spans="1:5" ht="29.1" customHeight="1">
      <c r="A75" s="98" t="s">
        <v>226</v>
      </c>
      <c r="B75" s="370">
        <v>35.799999999999997</v>
      </c>
      <c r="C75" s="370">
        <v>10</v>
      </c>
      <c r="D75" s="363">
        <f t="shared" si="7"/>
        <v>3.5799999999999996</v>
      </c>
      <c r="E75" s="363">
        <f t="shared" ca="1" si="8"/>
        <v>2042.4</v>
      </c>
    </row>
    <row r="76" spans="1:5" ht="29.1" customHeight="1">
      <c r="A76" s="98" t="s">
        <v>227</v>
      </c>
      <c r="B76" s="370">
        <v>152.71666666666673</v>
      </c>
      <c r="C76" s="370">
        <v>47</v>
      </c>
      <c r="D76" s="363">
        <f t="shared" si="7"/>
        <v>3.2492907801418451</v>
      </c>
      <c r="E76" s="363">
        <f t="shared" ca="1" si="8"/>
        <v>434.55319148936172</v>
      </c>
    </row>
    <row r="77" spans="1:5" ht="29.1" customHeight="1">
      <c r="A77" s="98" t="s">
        <v>228</v>
      </c>
      <c r="B77" s="370">
        <v>15.916666666666663</v>
      </c>
      <c r="C77" s="370">
        <v>4</v>
      </c>
      <c r="D77" s="363">
        <f t="shared" si="7"/>
        <v>3.9791666666666656</v>
      </c>
      <c r="E77" s="363">
        <f t="shared" ca="1" si="8"/>
        <v>5106</v>
      </c>
    </row>
    <row r="78" spans="1:5" ht="29.1" customHeight="1">
      <c r="A78" s="98" t="s">
        <v>229</v>
      </c>
      <c r="B78" s="370">
        <v>74.63333333333334</v>
      </c>
      <c r="C78" s="370">
        <v>34</v>
      </c>
      <c r="D78" s="363">
        <f t="shared" si="7"/>
        <v>2.1950980392156865</v>
      </c>
      <c r="E78" s="363">
        <f t="shared" ca="1" si="8"/>
        <v>600.70588235294122</v>
      </c>
    </row>
    <row r="79" spans="1:5" ht="29.1" customHeight="1">
      <c r="A79" s="98" t="s">
        <v>230</v>
      </c>
      <c r="B79" s="370">
        <v>241.31611111111107</v>
      </c>
      <c r="C79" s="370">
        <v>69</v>
      </c>
      <c r="D79" s="363">
        <f t="shared" si="7"/>
        <v>3.4973349436392906</v>
      </c>
      <c r="E79" s="363">
        <f t="shared" ca="1" si="8"/>
        <v>296</v>
      </c>
    </row>
    <row r="80" spans="1:5" ht="29.1" customHeight="1">
      <c r="A80" s="98" t="s">
        <v>231</v>
      </c>
      <c r="B80" s="370">
        <v>12.233333333333338</v>
      </c>
      <c r="C80" s="370">
        <v>4</v>
      </c>
      <c r="D80" s="363">
        <f t="shared" si="7"/>
        <v>3.0583333333333345</v>
      </c>
      <c r="E80" s="363">
        <f t="shared" ca="1" si="8"/>
        <v>5106</v>
      </c>
    </row>
    <row r="81" spans="1:5" ht="29.1" customHeight="1">
      <c r="A81" s="98" t="s">
        <v>232</v>
      </c>
      <c r="B81" s="370">
        <v>25.333333333333329</v>
      </c>
      <c r="C81" s="370">
        <v>6</v>
      </c>
      <c r="D81" s="363">
        <f t="shared" si="7"/>
        <v>4.2222222222222214</v>
      </c>
      <c r="E81" s="363">
        <f t="shared" ca="1" si="8"/>
        <v>3404</v>
      </c>
    </row>
    <row r="82" spans="1:5" ht="29.1" customHeight="1">
      <c r="A82" s="98" t="s">
        <v>233</v>
      </c>
      <c r="B82" s="370">
        <v>20.683333333333341</v>
      </c>
      <c r="C82" s="370">
        <v>5</v>
      </c>
      <c r="D82" s="363">
        <f t="shared" si="7"/>
        <v>4.1366666666666685</v>
      </c>
      <c r="E82" s="363">
        <f t="shared" ca="1" si="8"/>
        <v>4084.8</v>
      </c>
    </row>
    <row r="83" spans="1:5" ht="29.1" customHeight="1">
      <c r="A83" s="98" t="s">
        <v>234</v>
      </c>
      <c r="B83" s="370">
        <v>4.9833333333333325</v>
      </c>
      <c r="C83" s="370">
        <v>1</v>
      </c>
      <c r="D83" s="363">
        <f t="shared" si="7"/>
        <v>4.9833333333333325</v>
      </c>
      <c r="E83" s="363">
        <f t="shared" ca="1" si="8"/>
        <v>20424</v>
      </c>
    </row>
    <row r="84" spans="1:5" ht="29.1" customHeight="1">
      <c r="A84" s="98" t="s">
        <v>235</v>
      </c>
      <c r="B84" s="370">
        <v>3.5166666666666693</v>
      </c>
      <c r="C84" s="370">
        <v>3</v>
      </c>
      <c r="D84" s="363">
        <f t="shared" si="7"/>
        <v>1.1722222222222232</v>
      </c>
      <c r="E84" s="363">
        <f t="shared" ca="1" si="8"/>
        <v>6808</v>
      </c>
    </row>
    <row r="85" spans="1:5" ht="29.1" customHeight="1">
      <c r="A85" s="98" t="s">
        <v>236</v>
      </c>
      <c r="B85" s="370">
        <v>287.5333333333333</v>
      </c>
      <c r="C85" s="370">
        <v>50</v>
      </c>
      <c r="D85" s="363">
        <f t="shared" si="7"/>
        <v>5.7506666666666657</v>
      </c>
      <c r="E85" s="363">
        <f t="shared" ca="1" si="8"/>
        <v>408.48</v>
      </c>
    </row>
    <row r="86" spans="1:5" ht="29.1" customHeight="1">
      <c r="A86" s="98" t="s">
        <v>237</v>
      </c>
      <c r="B86" s="370">
        <v>29.383333333333336</v>
      </c>
      <c r="C86" s="370">
        <v>12</v>
      </c>
      <c r="D86" s="363">
        <f t="shared" si="7"/>
        <v>2.4486111111111115</v>
      </c>
      <c r="E86" s="363">
        <f t="shared" ca="1" si="8"/>
        <v>1702</v>
      </c>
    </row>
    <row r="87" spans="1:5" ht="29.1" customHeight="1">
      <c r="A87" s="98" t="s">
        <v>238</v>
      </c>
      <c r="B87" s="370">
        <v>420.54999999999995</v>
      </c>
      <c r="C87" s="370">
        <v>64</v>
      </c>
      <c r="D87" s="363">
        <f t="shared" si="7"/>
        <v>6.5710937499999993</v>
      </c>
      <c r="E87" s="363">
        <f t="shared" ca="1" si="8"/>
        <v>319.125</v>
      </c>
    </row>
    <row r="88" spans="1:5" ht="29.1" customHeight="1">
      <c r="A88" s="98" t="s">
        <v>239</v>
      </c>
      <c r="B88" s="370">
        <v>24.283333333333335</v>
      </c>
      <c r="C88" s="370">
        <v>8</v>
      </c>
      <c r="D88" s="363">
        <f t="shared" si="7"/>
        <v>3.0354166666666669</v>
      </c>
      <c r="E88" s="363">
        <f t="shared" ca="1" si="8"/>
        <v>2553</v>
      </c>
    </row>
    <row r="89" spans="1:5" ht="29.1" customHeight="1">
      <c r="A89" s="98" t="s">
        <v>240</v>
      </c>
      <c r="B89" s="370">
        <v>9.1499999999999986</v>
      </c>
      <c r="C89" s="370">
        <v>3</v>
      </c>
      <c r="D89" s="363">
        <f t="shared" si="7"/>
        <v>3.0499999999999994</v>
      </c>
      <c r="E89" s="363">
        <f t="shared" ca="1" si="8"/>
        <v>6808</v>
      </c>
    </row>
    <row r="90" spans="1:5" ht="29.1" customHeight="1">
      <c r="A90" s="98" t="s">
        <v>241</v>
      </c>
      <c r="B90" s="370">
        <v>3.5999999999999979</v>
      </c>
      <c r="C90" s="370">
        <v>1</v>
      </c>
      <c r="D90" s="363">
        <f t="shared" si="7"/>
        <v>3.5999999999999979</v>
      </c>
      <c r="E90" s="363">
        <f t="shared" ca="1" si="8"/>
        <v>20424</v>
      </c>
    </row>
    <row r="91" spans="1:5" ht="29.1" customHeight="1">
      <c r="A91" s="98" t="s">
        <v>242</v>
      </c>
      <c r="B91" s="370">
        <v>7.2333333333333325</v>
      </c>
      <c r="C91" s="370">
        <v>4</v>
      </c>
      <c r="D91" s="363">
        <f t="shared" si="7"/>
        <v>1.8083333333333331</v>
      </c>
      <c r="E91" s="363">
        <f t="shared" ca="1" si="8"/>
        <v>5106</v>
      </c>
    </row>
    <row r="92" spans="1:5" ht="29.1" customHeight="1">
      <c r="A92" s="98" t="s">
        <v>243</v>
      </c>
      <c r="B92" s="370">
        <v>92.783333333333346</v>
      </c>
      <c r="C92" s="370">
        <v>15</v>
      </c>
      <c r="D92" s="363">
        <f t="shared" si="7"/>
        <v>6.1855555555555561</v>
      </c>
      <c r="E92" s="363">
        <f t="shared" ca="1" si="8"/>
        <v>1361.6</v>
      </c>
    </row>
    <row r="93" spans="1:5" ht="29.1" customHeight="1">
      <c r="A93" s="98" t="s">
        <v>244</v>
      </c>
      <c r="B93" s="370">
        <v>4.2333333333333343</v>
      </c>
      <c r="C93" s="370">
        <v>3</v>
      </c>
      <c r="D93" s="363">
        <f t="shared" si="7"/>
        <v>1.4111111111111114</v>
      </c>
      <c r="E93" s="363">
        <f t="shared" ca="1" si="8"/>
        <v>6808</v>
      </c>
    </row>
    <row r="94" spans="1:5" ht="29.1" customHeight="1">
      <c r="A94" s="98" t="s">
        <v>245</v>
      </c>
      <c r="B94" s="370">
        <v>2.6833333333333327</v>
      </c>
      <c r="C94" s="370">
        <v>4</v>
      </c>
      <c r="D94" s="363">
        <f t="shared" si="7"/>
        <v>0.67083333333333317</v>
      </c>
      <c r="E94" s="363">
        <f t="shared" ca="1" si="8"/>
        <v>5106</v>
      </c>
    </row>
    <row r="95" spans="1:5" ht="29.1" customHeight="1">
      <c r="A95" s="98" t="s">
        <v>246</v>
      </c>
      <c r="B95" s="370">
        <v>8.5333333333333314</v>
      </c>
      <c r="C95" s="370">
        <v>10</v>
      </c>
      <c r="D95" s="363">
        <f t="shared" ref="D95:D108" si="9">B95/C95</f>
        <v>0.85333333333333317</v>
      </c>
      <c r="E95" s="363">
        <f t="shared" ref="E95:E108" ca="1" si="10">$D$26/C95</f>
        <v>2042.4</v>
      </c>
    </row>
    <row r="96" spans="1:5" ht="29.1" customHeight="1">
      <c r="A96" s="98" t="s">
        <v>247</v>
      </c>
      <c r="B96" s="370">
        <v>5.6666666666666679</v>
      </c>
      <c r="C96" s="370">
        <v>1</v>
      </c>
      <c r="D96" s="363">
        <f t="shared" si="9"/>
        <v>5.6666666666666679</v>
      </c>
      <c r="E96" s="363">
        <f t="shared" ca="1" si="10"/>
        <v>20424</v>
      </c>
    </row>
    <row r="97" spans="1:5" ht="29.1" customHeight="1">
      <c r="A97" s="98" t="s">
        <v>248</v>
      </c>
      <c r="B97" s="370">
        <v>33.916666666666671</v>
      </c>
      <c r="C97" s="370">
        <v>11</v>
      </c>
      <c r="D97" s="363">
        <f t="shared" si="9"/>
        <v>3.0833333333333339</v>
      </c>
      <c r="E97" s="363">
        <f t="shared" ca="1" si="10"/>
        <v>1856.7272727272727</v>
      </c>
    </row>
    <row r="98" spans="1:5" ht="29.1" customHeight="1">
      <c r="A98" s="98" t="s">
        <v>249</v>
      </c>
      <c r="B98" s="370">
        <v>22.583333333333336</v>
      </c>
      <c r="C98" s="370">
        <v>4</v>
      </c>
      <c r="D98" s="363">
        <f t="shared" si="9"/>
        <v>5.6458333333333339</v>
      </c>
      <c r="E98" s="363">
        <f t="shared" ca="1" si="10"/>
        <v>5106</v>
      </c>
    </row>
    <row r="99" spans="1:5" ht="29.1" customHeight="1">
      <c r="A99" s="98" t="s">
        <v>250</v>
      </c>
      <c r="B99" s="370">
        <v>6.6499999999999995</v>
      </c>
      <c r="C99" s="370">
        <v>5</v>
      </c>
      <c r="D99" s="363">
        <f t="shared" si="9"/>
        <v>1.3299999999999998</v>
      </c>
      <c r="E99" s="363">
        <f t="shared" ca="1" si="10"/>
        <v>4084.8</v>
      </c>
    </row>
    <row r="100" spans="1:5" ht="29.1" customHeight="1">
      <c r="A100" s="98" t="s">
        <v>251</v>
      </c>
      <c r="B100" s="370">
        <v>3.1666666666666661</v>
      </c>
      <c r="C100" s="370">
        <v>1</v>
      </c>
      <c r="D100" s="363">
        <f t="shared" si="9"/>
        <v>3.1666666666666661</v>
      </c>
      <c r="E100" s="363">
        <f t="shared" ca="1" si="10"/>
        <v>20424</v>
      </c>
    </row>
    <row r="101" spans="1:5" ht="29.1" customHeight="1">
      <c r="A101" s="98" t="s">
        <v>252</v>
      </c>
      <c r="B101" s="370">
        <v>12.033333333333333</v>
      </c>
      <c r="C101" s="370">
        <v>4</v>
      </c>
      <c r="D101" s="363">
        <f t="shared" si="9"/>
        <v>3.0083333333333333</v>
      </c>
      <c r="E101" s="363">
        <f t="shared" ca="1" si="10"/>
        <v>5106</v>
      </c>
    </row>
    <row r="102" spans="1:5" ht="29.1" customHeight="1">
      <c r="A102" s="98" t="s">
        <v>253</v>
      </c>
      <c r="B102" s="370">
        <v>74.649999999999991</v>
      </c>
      <c r="C102" s="370">
        <v>24</v>
      </c>
      <c r="D102" s="363">
        <f t="shared" si="9"/>
        <v>3.1104166666666662</v>
      </c>
      <c r="E102" s="363">
        <f t="shared" ca="1" si="10"/>
        <v>851</v>
      </c>
    </row>
    <row r="103" spans="1:5" ht="29.1" customHeight="1">
      <c r="A103" s="98" t="s">
        <v>254</v>
      </c>
      <c r="B103" s="370">
        <v>11.083333333333332</v>
      </c>
      <c r="C103" s="370">
        <v>5</v>
      </c>
      <c r="D103" s="363">
        <f t="shared" si="9"/>
        <v>2.2166666666666663</v>
      </c>
      <c r="E103" s="363">
        <f t="shared" ca="1" si="10"/>
        <v>4084.8</v>
      </c>
    </row>
    <row r="104" spans="1:5" ht="29.1" customHeight="1">
      <c r="A104" s="98" t="s">
        <v>255</v>
      </c>
      <c r="B104" s="370">
        <v>79.483333333333348</v>
      </c>
      <c r="C104" s="370">
        <v>40</v>
      </c>
      <c r="D104" s="363">
        <f t="shared" si="9"/>
        <v>1.9870833333333338</v>
      </c>
      <c r="E104" s="363">
        <f t="shared" ca="1" si="10"/>
        <v>510.6</v>
      </c>
    </row>
    <row r="105" spans="1:5" ht="29.1" customHeight="1">
      <c r="A105" s="98" t="s">
        <v>256</v>
      </c>
      <c r="B105" s="370">
        <v>9.8333333333333357</v>
      </c>
      <c r="C105" s="370">
        <v>3</v>
      </c>
      <c r="D105" s="363">
        <f t="shared" si="9"/>
        <v>3.2777777777777786</v>
      </c>
      <c r="E105" s="363">
        <f t="shared" ca="1" si="10"/>
        <v>6808</v>
      </c>
    </row>
    <row r="106" spans="1:5" ht="29.1" customHeight="1">
      <c r="A106" s="98" t="s">
        <v>257</v>
      </c>
      <c r="B106" s="370">
        <v>9.2166666666666668</v>
      </c>
      <c r="C106" s="370">
        <v>2</v>
      </c>
      <c r="D106" s="363">
        <f t="shared" si="9"/>
        <v>4.6083333333333334</v>
      </c>
      <c r="E106" s="363">
        <f t="shared" ca="1" si="10"/>
        <v>10212</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20424</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4" priority="10" operator="lessThan">
      <formula>$D$2+$D$3</formula>
    </cfRule>
    <cfRule type="cellIs" dxfId="3"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Q127" activePane="bottomRight" state="frozen"/>
      <selection pane="topRight" activeCell="B1" sqref="B1"/>
      <selection pane="bottomLeft" activeCell="A5" sqref="A5"/>
      <selection pane="bottomRight" activeCell="AD128" sqref="AD128"/>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6">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9">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381</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v>18450</v>
      </c>
      <c r="G128" s="15">
        <v>15697</v>
      </c>
      <c r="H128" s="15">
        <v>18453</v>
      </c>
      <c r="I128" s="15">
        <v>18449</v>
      </c>
      <c r="J128" s="15">
        <v>14825</v>
      </c>
      <c r="K128" s="15">
        <v>18456</v>
      </c>
      <c r="L128" s="15">
        <v>18438</v>
      </c>
      <c r="M128" s="15">
        <v>18452</v>
      </c>
      <c r="N128" s="15">
        <v>20474</v>
      </c>
      <c r="O128" s="15">
        <v>15589</v>
      </c>
      <c r="P128" s="15">
        <v>18458</v>
      </c>
      <c r="Q128" s="15">
        <v>14793</v>
      </c>
      <c r="R128" s="15">
        <v>20476</v>
      </c>
      <c r="S128" s="15">
        <v>20472</v>
      </c>
      <c r="T128" s="15">
        <v>20478</v>
      </c>
      <c r="U128" s="15">
        <v>20475</v>
      </c>
      <c r="V128" s="15">
        <v>20476</v>
      </c>
      <c r="W128" s="15">
        <v>20468</v>
      </c>
      <c r="X128" s="15">
        <v>20478</v>
      </c>
      <c r="Y128" s="15">
        <v>19011</v>
      </c>
      <c r="Z128" s="15">
        <v>14842</v>
      </c>
      <c r="AA128" s="15">
        <v>14839</v>
      </c>
      <c r="AB128" s="15">
        <v>14835</v>
      </c>
      <c r="AC128" s="15">
        <v>14848</v>
      </c>
      <c r="AD128" s="15">
        <v>13452</v>
      </c>
      <c r="AE128" s="15">
        <v>14838</v>
      </c>
      <c r="AF128" s="15">
        <v>14845</v>
      </c>
      <c r="AG128" s="15">
        <v>0</v>
      </c>
      <c r="AH128" s="15">
        <v>12547</v>
      </c>
      <c r="AI128" s="15">
        <v>12785</v>
      </c>
      <c r="AJ128" s="15">
        <v>8257</v>
      </c>
      <c r="AK128" s="15">
        <v>13455</v>
      </c>
      <c r="AL128" s="15">
        <v>13457</v>
      </c>
      <c r="AM128" s="15">
        <v>13451</v>
      </c>
      <c r="AN128" s="15">
        <v>13456</v>
      </c>
      <c r="AO128" s="15">
        <v>13455</v>
      </c>
      <c r="AP128" s="15">
        <v>13449</v>
      </c>
      <c r="AQ128" s="15">
        <v>13456</v>
      </c>
      <c r="AR128" s="15">
        <v>13458</v>
      </c>
      <c r="AS128" s="16">
        <v>5.0754985294117674</v>
      </c>
      <c r="AT128" s="16">
        <v>5.3434958333333338</v>
      </c>
      <c r="AU128" s="16">
        <v>5.0553076388888858</v>
      </c>
      <c r="AV128" s="16">
        <v>5.8</v>
      </c>
      <c r="AW128" s="16">
        <v>5</v>
      </c>
      <c r="AX128" s="16">
        <v>5.4</v>
      </c>
      <c r="AY128" s="16">
        <v>4.9429823529411756</v>
      </c>
      <c r="AZ128" s="16">
        <v>4.9764632352941165</v>
      </c>
      <c r="BA128" s="16">
        <v>5.2576333333333336</v>
      </c>
      <c r="BB128" s="16">
        <v>5.670325663716814</v>
      </c>
      <c r="BC128" s="16">
        <v>5.5863234234234236</v>
      </c>
      <c r="BD128" s="16">
        <v>5.4673336283185847</v>
      </c>
      <c r="BE128" s="16">
        <v>5.2683985294117646</v>
      </c>
      <c r="BF128" s="16">
        <v>5.2848022058823538</v>
      </c>
      <c r="BG128" s="16">
        <v>5.2838499999999984</v>
      </c>
      <c r="BH128" s="16">
        <v>5.0754985294117674</v>
      </c>
      <c r="BI128" s="16">
        <v>0</v>
      </c>
      <c r="BJ128" s="16">
        <v>5.0553076388888858</v>
      </c>
      <c r="BK128" s="16">
        <v>5.8</v>
      </c>
      <c r="BL128" s="16">
        <v>5.3</v>
      </c>
      <c r="BM128" s="16">
        <v>5.9</v>
      </c>
      <c r="BN128" s="16">
        <v>4.9429823529411756</v>
      </c>
      <c r="BO128" s="16">
        <v>4.9764632352941165</v>
      </c>
      <c r="BP128" s="16">
        <v>5.2576333333333336</v>
      </c>
      <c r="BQ128" s="16">
        <v>5.670325663716814</v>
      </c>
      <c r="BR128" s="16">
        <v>5.5863234234234236</v>
      </c>
      <c r="BS128" s="16">
        <v>5.4673336283185847</v>
      </c>
      <c r="BT128" s="16">
        <v>0</v>
      </c>
      <c r="BU128" s="16">
        <v>5.2848022058823538</v>
      </c>
      <c r="BV128" s="16">
        <v>0</v>
      </c>
      <c r="BW128" s="16">
        <v>5.5</v>
      </c>
      <c r="BX128" s="16">
        <v>5.3</v>
      </c>
      <c r="BY128" s="16">
        <v>6.7</v>
      </c>
      <c r="BZ128" s="16">
        <v>6.1</v>
      </c>
      <c r="CA128" s="16">
        <v>5.2</v>
      </c>
      <c r="CB128" s="16">
        <v>5.7</v>
      </c>
      <c r="CC128" s="16">
        <v>5.2</v>
      </c>
      <c r="CD128" s="16">
        <v>5.9</v>
      </c>
      <c r="CE128" s="16">
        <v>5.7</v>
      </c>
      <c r="CF128" s="17">
        <f>SUM(Input_Raw[[#This Row],[G01]:[G40]])</f>
        <v>616593</v>
      </c>
      <c r="CG128" s="18">
        <f>IFERROR(AVERAGE(Input_Raw[[#This Row],[WS_G01]:[WS_G40]]),"")</f>
        <v>5.000745753465794</v>
      </c>
      <c r="CH128" s="19"/>
      <c r="CI128" s="19"/>
      <c r="CJ128" s="15">
        <v>248650</v>
      </c>
      <c r="CK128" s="15">
        <v>2198</v>
      </c>
      <c r="CL128" s="15">
        <v>287625</v>
      </c>
      <c r="CM128" s="15">
        <v>2223</v>
      </c>
      <c r="CN128" s="15">
        <v>265610</v>
      </c>
      <c r="CO128" s="15">
        <v>1832</v>
      </c>
      <c r="CP128" s="15">
        <v>302469</v>
      </c>
      <c r="CQ128" s="15">
        <v>1878</v>
      </c>
      <c r="CR128" s="91">
        <f>IF(((Input_Raw[[#This Row],[33 kV_Wind_F1_Export reading]]-CJ127)*1200)&gt;0,(Input_Raw[[#This Row],[33 kV_Wind_F1_Export reading]]-CJ127)*1200,0)</f>
        <v>128400</v>
      </c>
      <c r="CS128" s="91">
        <f>IF(((Input_Raw[[#This Row],[33 kV_Wind_F1_Import reading]]-CK127)*1200)&gt;0,(Input_Raw[[#This Row],[33 kV_Wind_F1_Import reading]]-CK127)*1200,0)</f>
        <v>0</v>
      </c>
      <c r="CT128" s="91">
        <f>IF(((Input_Raw[[#This Row],[33 kV_Wind_F2_Export_reading]]-CL127)*1200)&gt;0,(Input_Raw[[#This Row],[33 kV_Wind_F2_Export_reading]]-CL127)*1200,0)</f>
        <v>128400</v>
      </c>
      <c r="CU128" s="91">
        <f>IF(((Input_Raw[[#This Row],[33 kV_Wind_F2_Import_reading]]-CM127)*1200)&gt;0,(Input_Raw[[#This Row],[33 kV_Wind_F2_Import_reading]]-CM127)*1200,0)</f>
        <v>0</v>
      </c>
      <c r="CV128" s="91">
        <f>IF(((Input_Raw[[#This Row],[33 kV_Wind_F3_Export_Reading]]-CN127)*1200)&gt;0,(Input_Raw[[#This Row],[33 kV_Wind_F3_Export_Reading]]-CN127)*1200,0)</f>
        <v>159600</v>
      </c>
      <c r="CW128" s="91">
        <f>IF(((Input_Raw[[#This Row],[33 kV_Wind_F3_Import_Reading]]-CO127)*1200)&gt;0,(Input_Raw[[#This Row],[33 kV_Wind_F3_Import_Reading]]-CO127)*1200,0)</f>
        <v>0</v>
      </c>
      <c r="CX128" s="91">
        <f>IF(((Input_Raw[[#This Row],[33 kV_Wind_F4_Export Reading]]-CP127)*1200)&gt;0,(Input_Raw[[#This Row],[33 kV_Wind_F4_Export Reading]]-CP127)*1200,0)</f>
        <v>196800</v>
      </c>
      <c r="CY128" s="172"/>
      <c r="CZ128" s="172">
        <f>Input_Raw[[#This Row],[33 kV_F1_Total_Export (KWh)]]+Input_Raw[[#This Row],[33 kV_F2_Total_Export (KWh)2]]+Input_Raw[[#This Row],[33 kV_Wind_F3_Export (KWh)]]+Input_Raw[[#This Row],[33 kV_Wind_F4_Export (KWh)]]</f>
        <v>613200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5.5028195260082846E-3</v>
      </c>
      <c r="DC128" s="100">
        <v>96</v>
      </c>
      <c r="DD128" s="100">
        <v>171766</v>
      </c>
      <c r="DE128" s="102">
        <v>616.59</v>
      </c>
      <c r="DF128" s="99"/>
      <c r="DG128" s="101">
        <v>78</v>
      </c>
      <c r="DH128" s="168" t="s">
        <v>381</v>
      </c>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B118" activePane="bottomRight" state="frozen"/>
      <selection pane="topRight" activeCell="AB39" sqref="AB39"/>
      <selection pane="bottomLeft" activeCell="AB39" sqref="AB39"/>
      <selection pane="bottomRight" activeCell="A130" sqref="A130"/>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f>IFERROR(_xlfn.XLOOKUP($A125,Input_Raw!$A:$A,Input_Raw!CG:CG),"")</f>
        <v>5.000745753465794</v>
      </c>
      <c r="N125" s="109">
        <f>IFERROR(_xlfn.XLOOKUP($A125,Input_Raw!$A:$A,Input_Raw!CH:CH),"")</f>
        <v>0</v>
      </c>
      <c r="O125" s="121">
        <f t="shared" si="10"/>
        <v>0.92784521376497964</v>
      </c>
      <c r="P125" s="121">
        <f>IFERROR(1-SUMIF(WTG_BD!$F:$F,$A125,WTG_BD!$AA:$AA)/($AA125+SUMIF(WTG_BD!$F:$F,$A125,WTG_BD!$AA:$AA)),"")</f>
        <v>0.93486003831001296</v>
      </c>
      <c r="Q125" s="122">
        <f>IFERROR(1-SUMIF(IGA_BD!$F:$F,$A125,IGA_BD!$V:$V)/($AA125+SUMIF(IGA_BD!$F:$F,$A125,IGA_BD!$V:$V)),"")</f>
        <v>0.9924963906279336</v>
      </c>
      <c r="R125" s="127">
        <f>IFERROR(1-SUMIF(Grid_BD!$F:$F,$A125,Grid_BD!$X:$X)/($AA125+SUMIF(Grid_BD!$F:$F,$A125,Grid_BD!$X:$X)),"")</f>
        <v>1</v>
      </c>
      <c r="S125" s="105"/>
      <c r="T125" s="122"/>
      <c r="U125" s="123"/>
      <c r="V125" s="105"/>
      <c r="W125" s="124">
        <f>IFERROR(Table13[[#This Row],[Mtr_Net_Exp (KWh)]]/(24*AR125*1000),"")</f>
        <v>0.32756410256410257</v>
      </c>
      <c r="X125" s="105">
        <f>IFERROR(_xlfn.XLOOKUP($A125,Input_Raw!$A:$A,Input_Raw!$CF:$CF),"")</f>
        <v>616593</v>
      </c>
      <c r="Y125" s="105">
        <f>IFERROR(_xlfn.XLOOKUP($A125,Input_Raw!$A:$A,Input_Raw!$CZ:$CZ),"")</f>
        <v>613200</v>
      </c>
      <c r="Z125" s="105">
        <f>IFERROR(_xlfn.XLOOKUP($A125,Input_Raw!$A:$A,Input_Raw!$DA:$DA),"")</f>
        <v>0</v>
      </c>
      <c r="AA125" s="107">
        <f t="shared" si="9"/>
        <v>613200</v>
      </c>
      <c r="AB125" s="105">
        <f>IFERROR(_xlfn.XLOOKUP($A125,Input_Raw!$A:$A,Input_Raw!$DG:$DG),"")</f>
        <v>78</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616.59</v>
      </c>
      <c r="AJ125" s="105"/>
      <c r="AK125" s="105"/>
      <c r="AL125" s="105"/>
      <c r="AM125" s="105"/>
      <c r="AN125" s="126">
        <f>IFERROR(_xlfn.XLOOKUP($A125,Input_Raw!$A:$A,Input_Raw!$DB:$DB),"")</f>
        <v>5.5028195260082846E-3</v>
      </c>
      <c r="AO125" s="124">
        <f>IFERROR((_xlfn.XLOOKUP($A125,'WTG Reactive Power'!$A:$A,'WTG Reactive Power'!$AR:$AR))/X125/1000,"")</f>
        <v>0</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30</v>
      </c>
      <c r="R53" s="139"/>
      <c r="S53" s="139"/>
      <c r="T53" s="138">
        <f t="shared" si="21"/>
        <v>585.79781940673683</v>
      </c>
      <c r="U53" s="139">
        <f t="shared" si="22"/>
        <v>17573.934582202106</v>
      </c>
      <c r="V53" s="139">
        <f>SUMIF($F$2:F53,F53,$U$2:U53)</f>
        <v>60148.889196149008</v>
      </c>
      <c r="W53" s="111">
        <f t="shared" si="14"/>
        <v>0.31292618558052182</v>
      </c>
      <c r="X53" s="111">
        <f t="shared" si="15"/>
        <v>0.31292618558052182</v>
      </c>
      <c r="Y53" s="111">
        <f t="shared" si="16"/>
        <v>0.26554394114284896</v>
      </c>
      <c r="Z53" s="138">
        <f>IFERROR(AVERAGEIF('Daily KPI'!D:D,Table14[[#This Row],[Month]],'Daily KPI'!AB:AB),"")</f>
        <v>75.483870967741936</v>
      </c>
      <c r="AA53" s="134">
        <f>IFERROR(AVERAGEIF($F$2:F53,F53,$Z$2:Z53),"")</f>
        <v>77.370967741935488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60148.889196149008</v>
      </c>
      <c r="W54" s="111">
        <f t="shared" si="14"/>
        <v>0.3290671118921199</v>
      </c>
      <c r="X54" s="111" t="str">
        <f t="shared" si="15"/>
        <v/>
      </c>
      <c r="Y54" s="111">
        <f t="shared" si="16"/>
        <v>0.26554394114284896</v>
      </c>
      <c r="Z54" s="138">
        <f>IFERROR(AVERAGEIF('Daily KPI'!D:D,Table14[[#This Row],[Month]],'Daily KPI'!AB:AB),"")</f>
        <v>0</v>
      </c>
      <c r="AA54" s="134">
        <f>IFERROR(AVERAGEIF($F$2:F54,F54,$Z$2:Z54),"")</f>
        <v>61.896774193548389</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60148.889196149008</v>
      </c>
      <c r="W55" s="111">
        <f t="shared" si="14"/>
        <v>0.14932143895938593</v>
      </c>
      <c r="X55" s="111" t="str">
        <f t="shared" si="15"/>
        <v/>
      </c>
      <c r="Y55" s="111">
        <f t="shared" si="16"/>
        <v>0.26554394114284896</v>
      </c>
      <c r="Z55" s="138" t="str">
        <f>IFERROR(AVERAGEIF('Daily KPI'!D:D,Table14[[#This Row],[Month]],'Daily KPI'!AB:AB),"")</f>
        <v/>
      </c>
      <c r="AA55" s="134">
        <f>IFERROR(AVERAGEIF($F$2:F55,F55,$Z$2:Z55),"")</f>
        <v>61.896774193548389</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60148.889196149008</v>
      </c>
      <c r="W56" s="111">
        <f t="shared" si="14"/>
        <v>8.792620744576421E-2</v>
      </c>
      <c r="X56" s="111" t="str">
        <f t="shared" si="15"/>
        <v/>
      </c>
      <c r="Y56" s="111">
        <f t="shared" si="16"/>
        <v>0.26554394114284896</v>
      </c>
      <c r="Z56" s="138" t="str">
        <f>IFERROR(AVERAGEIF('Daily KPI'!D:D,Table14[[#This Row],[Month]],'Daily KPI'!AB:AB),"")</f>
        <v/>
      </c>
      <c r="AA56" s="134">
        <f>IFERROR(AVERAGEIF($F$2:F56,F56,$Z$2:Z56),"")</f>
        <v>61.896774193548389</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60148.889196149008</v>
      </c>
      <c r="W57" s="111">
        <f t="shared" si="14"/>
        <v>8.6832512342204377E-2</v>
      </c>
      <c r="X57" s="111" t="str">
        <f t="shared" si="15"/>
        <v/>
      </c>
      <c r="Y57" s="111">
        <f t="shared" si="16"/>
        <v>0.26554394114284896</v>
      </c>
      <c r="Z57" s="138" t="str">
        <f>IFERROR(AVERAGEIF('Daily KPI'!D:D,Table14[[#This Row],[Month]],'Daily KPI'!AB:AB),"")</f>
        <v/>
      </c>
      <c r="AA57" s="134">
        <f>IFERROR(AVERAGEIF($F$2:F57,F57,$Z$2:Z57),"")</f>
        <v>61.896774193548389</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60148.889196149008</v>
      </c>
      <c r="W58" s="111">
        <f t="shared" si="14"/>
        <v>9.8249152945422247E-2</v>
      </c>
      <c r="X58" s="111" t="str">
        <f t="shared" si="15"/>
        <v/>
      </c>
      <c r="Y58" s="111">
        <f t="shared" si="16"/>
        <v>0.26554394114284896</v>
      </c>
      <c r="Z58" s="138" t="str">
        <f>IFERROR(AVERAGEIF('Daily KPI'!D:D,Table14[[#This Row],[Month]],'Daily KPI'!AB:AB),"")</f>
        <v/>
      </c>
      <c r="AA58" s="134">
        <f>IFERROR(AVERAGEIF($F$2:F58,F58,$Z$2:Z58),"")</f>
        <v>61.896774193548389</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60148.889196149008</v>
      </c>
      <c r="W59" s="111">
        <f t="shared" si="14"/>
        <v>6.8425959399653721E-2</v>
      </c>
      <c r="X59" s="111" t="str">
        <f t="shared" si="15"/>
        <v/>
      </c>
      <c r="Y59" s="111">
        <f t="shared" si="16"/>
        <v>0.26554394114284896</v>
      </c>
      <c r="Z59" s="138" t="str">
        <f>IFERROR(AVERAGEIF('Daily KPI'!D:D,Table14[[#This Row],[Month]],'Daily KPI'!AB:AB),"")</f>
        <v/>
      </c>
      <c r="AA59" s="134">
        <f>IFERROR(AVERAGEIF($F$2:F59,F59,$Z$2:Z59),"")</f>
        <v>61.896774193548389</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60148.889196149008</v>
      </c>
      <c r="W60" s="111">
        <f t="shared" si="14"/>
        <v>9.1834188464722688E-2</v>
      </c>
      <c r="X60" s="111" t="str">
        <f t="shared" si="15"/>
        <v/>
      </c>
      <c r="Y60" s="111">
        <f t="shared" si="16"/>
        <v>0.26554394114284896</v>
      </c>
      <c r="Z60" s="138" t="str">
        <f>IFERROR(AVERAGEIF('Daily KPI'!D:D,Table14[[#This Row],[Month]],'Daily KPI'!AB:AB),"")</f>
        <v/>
      </c>
      <c r="AA60" s="134">
        <f>IFERROR(AVERAGEIF($F$2:F60,F60,$Z$2:Z60),"")</f>
        <v>61.896774193548389</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60148.889196149008</v>
      </c>
      <c r="W61" s="111">
        <f t="shared" si="14"/>
        <v>0.11813901253417405</v>
      </c>
      <c r="X61" s="111" t="str">
        <f t="shared" si="15"/>
        <v/>
      </c>
      <c r="Y61" s="111">
        <f t="shared" si="16"/>
        <v>0.26554394114284896</v>
      </c>
      <c r="Z61" s="138" t="str">
        <f>IFERROR(AVERAGEIF('Daily KPI'!D:D,Table14[[#This Row],[Month]],'Daily KPI'!AB:AB),"")</f>
        <v/>
      </c>
      <c r="AA61" s="134">
        <f>IFERROR(AVERAGEIF($F$2:F61,F61,$Z$2:Z61),"")</f>
        <v>61.896774193548389</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76"/>
  <sheetViews>
    <sheetView zoomScale="96" zoomScaleNormal="96" workbookViewId="0">
      <pane xSplit="7" ySplit="1" topLeftCell="H1064" activePane="bottomRight" state="frozen"/>
      <selection pane="topRight" activeCell="H1" sqref="H1"/>
      <selection pane="bottomLeft" activeCell="A2" sqref="A2"/>
      <selection pane="bottomRight" activeCell="S1083" sqref="S1083"/>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ht="14.1" customHeight="1">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30">
      <c r="A961" s="105">
        <f t="shared" si="14"/>
        <v>960</v>
      </c>
      <c r="B961" s="371">
        <f>YEAR(Table6[[#This Row],[Date]])+IF(MONTH(Table6[[#This Row],[Date]])&gt;=4,1,0)</f>
        <v>2026</v>
      </c>
      <c r="C961" s="372">
        <f>YEAR(Table6[[#This Row],[Date]])</f>
        <v>2025</v>
      </c>
      <c r="D961" s="105" t="s">
        <v>490</v>
      </c>
      <c r="E961" s="119">
        <f>Table6[[#This Row],[Date]]-DAY(Table6[[#This Row],[Date]])+1</f>
        <v>45839</v>
      </c>
      <c r="F961" s="373">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75">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c r="AC961" s="105"/>
      <c r="AD961" s="105"/>
    </row>
    <row r="962" spans="1:30">
      <c r="A962" s="105">
        <f t="shared" si="14"/>
        <v>961</v>
      </c>
      <c r="B962" s="371">
        <f>YEAR(Table6[[#This Row],[Date]])+IF(MONTH(Table6[[#This Row],[Date]])&gt;=4,1,0)</f>
        <v>2026</v>
      </c>
      <c r="C962" s="372">
        <f>YEAR(Table6[[#This Row],[Date]])</f>
        <v>2025</v>
      </c>
      <c r="D962" s="105" t="s">
        <v>490</v>
      </c>
      <c r="E962" s="119">
        <f>Table6[[#This Row],[Date]]-DAY(Table6[[#This Row],[Date]])+1</f>
        <v>45839</v>
      </c>
      <c r="F962" s="373">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75">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c r="AC962" s="105"/>
      <c r="AD962" s="105"/>
    </row>
    <row r="963" spans="1:30">
      <c r="A963" s="105">
        <f t="shared" si="14"/>
        <v>962</v>
      </c>
      <c r="B963" s="371">
        <f>YEAR(Table6[[#This Row],[Date]])+IF(MONTH(Table6[[#This Row],[Date]])&gt;=4,1,0)</f>
        <v>2026</v>
      </c>
      <c r="C963" s="372">
        <f>YEAR(Table6[[#This Row],[Date]])</f>
        <v>2025</v>
      </c>
      <c r="D963" s="105" t="s">
        <v>490</v>
      </c>
      <c r="E963" s="119">
        <f>Table6[[#This Row],[Date]]-DAY(Table6[[#This Row],[Date]])+1</f>
        <v>45839</v>
      </c>
      <c r="F963" s="373">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75">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c r="AC963" s="105"/>
      <c r="AD963" s="105"/>
    </row>
    <row r="964" spans="1:30">
      <c r="A964" s="105">
        <f t="shared" si="14"/>
        <v>963</v>
      </c>
      <c r="B964" s="371">
        <f>YEAR(Table6[[#This Row],[Date]])+IF(MONTH(Table6[[#This Row],[Date]])&gt;=4,1,0)</f>
        <v>2026</v>
      </c>
      <c r="C964" s="372">
        <f>YEAR(Table6[[#This Row],[Date]])</f>
        <v>2025</v>
      </c>
      <c r="D964" s="105" t="s">
        <v>490</v>
      </c>
      <c r="E964" s="119">
        <f>Table6[[#This Row],[Date]]-DAY(Table6[[#This Row],[Date]])+1</f>
        <v>45839</v>
      </c>
      <c r="F964" s="373">
        <v>45850</v>
      </c>
      <c r="G964" s="374"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75">
        <f>Table6[[#This Row],[Breakdown Time]]*(1/39)</f>
        <v>6.7948717948717915E-2</v>
      </c>
      <c r="X964" s="336" t="s">
        <v>465</v>
      </c>
      <c r="Y964" s="352" t="s">
        <v>129</v>
      </c>
      <c r="Z964" s="105">
        <v>13125</v>
      </c>
      <c r="AA964" s="107">
        <f>IFERROR((Table6[[#This Row],[Paired WTG Generation for loss calculation]]/24)*Table6[[#This Row],[Breakdown Time]],"")</f>
        <v>1449.2187499999993</v>
      </c>
      <c r="AB964" s="107" t="s">
        <v>478</v>
      </c>
      <c r="AC964" s="105"/>
      <c r="AD964" s="105"/>
    </row>
    <row r="965" spans="1:30">
      <c r="A965" s="105">
        <f t="shared" ref="A965:A1028" si="15">A964+1</f>
        <v>964</v>
      </c>
      <c r="B965" s="371">
        <f>YEAR(Table6[[#This Row],[Date]])+IF(MONTH(Table6[[#This Row],[Date]])&gt;=4,1,0)</f>
        <v>2026</v>
      </c>
      <c r="C965" s="372">
        <f>YEAR(Table6[[#This Row],[Date]])</f>
        <v>2025</v>
      </c>
      <c r="D965" s="105" t="s">
        <v>490</v>
      </c>
      <c r="E965" s="119">
        <f>Table6[[#This Row],[Date]]-DAY(Table6[[#This Row],[Date]])+1</f>
        <v>45839</v>
      </c>
      <c r="F965" s="373">
        <v>45850</v>
      </c>
      <c r="G965" s="374"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75">
        <f>Table6[[#This Row],[Breakdown Time]]*(1/39)</f>
        <v>3.7179487179487186E-2</v>
      </c>
      <c r="X965" s="336" t="s">
        <v>465</v>
      </c>
      <c r="Y965" s="352" t="s">
        <v>143</v>
      </c>
      <c r="Z965" s="105">
        <v>10001</v>
      </c>
      <c r="AA965" s="107">
        <f>IFERROR((Table6[[#This Row],[Paired WTG Generation for loss calculation]]/24)*Table6[[#This Row],[Breakdown Time]],"")</f>
        <v>604.22708333333333</v>
      </c>
      <c r="AB965" s="107" t="s">
        <v>478</v>
      </c>
      <c r="AC965" s="105"/>
      <c r="AD965" s="105"/>
    </row>
    <row r="966" spans="1:30">
      <c r="A966" s="105">
        <f t="shared" si="15"/>
        <v>965</v>
      </c>
      <c r="B966" s="371">
        <f>YEAR(Table6[[#This Row],[Date]])+IF(MONTH(Table6[[#This Row],[Date]])&gt;=4,1,0)</f>
        <v>2026</v>
      </c>
      <c r="C966" s="372">
        <f>YEAR(Table6[[#This Row],[Date]])</f>
        <v>2025</v>
      </c>
      <c r="D966" s="105" t="s">
        <v>490</v>
      </c>
      <c r="E966" s="119">
        <f>Table6[[#This Row],[Date]]-DAY(Table6[[#This Row],[Date]])+1</f>
        <v>45839</v>
      </c>
      <c r="F966" s="373">
        <v>45850</v>
      </c>
      <c r="G966" s="374"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75">
        <f>Table6[[#This Row],[Breakdown Time]]*(1/39)</f>
        <v>7.0085470085470072E-2</v>
      </c>
      <c r="X966" s="336" t="s">
        <v>465</v>
      </c>
      <c r="Y966" s="352" t="s">
        <v>139</v>
      </c>
      <c r="Z966" s="105">
        <v>8688</v>
      </c>
      <c r="AA966" s="107">
        <f>IFERROR((Table6[[#This Row],[Paired WTG Generation for loss calculation]]/24)*Table6[[#This Row],[Breakdown Time]],"")</f>
        <v>989.46666666666658</v>
      </c>
      <c r="AB966" s="107" t="s">
        <v>478</v>
      </c>
      <c r="AC966" s="105"/>
      <c r="AD966" s="105"/>
    </row>
    <row r="967" spans="1:30">
      <c r="A967" s="105">
        <f t="shared" si="15"/>
        <v>966</v>
      </c>
      <c r="B967" s="371">
        <f>YEAR(Table6[[#This Row],[Date]])+IF(MONTH(Table6[[#This Row],[Date]])&gt;=4,1,0)</f>
        <v>2026</v>
      </c>
      <c r="C967" s="372">
        <f>YEAR(Table6[[#This Row],[Date]])</f>
        <v>2025</v>
      </c>
      <c r="D967" s="105" t="s">
        <v>490</v>
      </c>
      <c r="E967" s="119">
        <f>Table6[[#This Row],[Date]]-DAY(Table6[[#This Row],[Date]])+1</f>
        <v>45839</v>
      </c>
      <c r="F967" s="373">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75">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c r="AC967" s="105"/>
      <c r="AD967" s="105"/>
    </row>
    <row r="968" spans="1:30">
      <c r="A968" s="105">
        <f t="shared" si="15"/>
        <v>967</v>
      </c>
      <c r="B968" s="371">
        <f>YEAR(Table6[[#This Row],[Date]])+IF(MONTH(Table6[[#This Row],[Date]])&gt;=4,1,0)</f>
        <v>2026</v>
      </c>
      <c r="C968" s="372">
        <f>YEAR(Table6[[#This Row],[Date]])</f>
        <v>2025</v>
      </c>
      <c r="D968" s="105" t="s">
        <v>490</v>
      </c>
      <c r="E968" s="119">
        <f>Table6[[#This Row],[Date]]-DAY(Table6[[#This Row],[Date]])+1</f>
        <v>45839</v>
      </c>
      <c r="F968" s="373">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75">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c r="AC968" s="105"/>
      <c r="AD968" s="105"/>
    </row>
    <row r="969" spans="1:30">
      <c r="A969" s="105">
        <f t="shared" si="15"/>
        <v>968</v>
      </c>
      <c r="B969" s="371">
        <f>YEAR(Table6[[#This Row],[Date]])+IF(MONTH(Table6[[#This Row],[Date]])&gt;=4,1,0)</f>
        <v>2026</v>
      </c>
      <c r="C969" s="372">
        <f>YEAR(Table6[[#This Row],[Date]])</f>
        <v>2025</v>
      </c>
      <c r="D969" s="105" t="s">
        <v>490</v>
      </c>
      <c r="E969" s="119">
        <f>Table6[[#This Row],[Date]]-DAY(Table6[[#This Row],[Date]])+1</f>
        <v>45839</v>
      </c>
      <c r="F969" s="373">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75">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c r="AC969" s="105"/>
      <c r="AD969" s="105"/>
    </row>
    <row r="970" spans="1:30">
      <c r="A970" s="105">
        <f t="shared" si="15"/>
        <v>969</v>
      </c>
      <c r="B970" s="371">
        <f>YEAR(Table6[[#This Row],[Date]])+IF(MONTH(Table6[[#This Row],[Date]])&gt;=4,1,0)</f>
        <v>2026</v>
      </c>
      <c r="C970" s="372">
        <f>YEAR(Table6[[#This Row],[Date]])</f>
        <v>2025</v>
      </c>
      <c r="D970" s="105" t="s">
        <v>490</v>
      </c>
      <c r="E970" s="119">
        <f>Table6[[#This Row],[Date]]-DAY(Table6[[#This Row],[Date]])+1</f>
        <v>45839</v>
      </c>
      <c r="F970" s="373">
        <v>45851</v>
      </c>
      <c r="G970" s="374"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75">
        <f>Table6[[#This Row],[Breakdown Time]]*(1/39)</f>
        <v>3.8461538461538464E-2</v>
      </c>
      <c r="X970" s="336" t="s">
        <v>465</v>
      </c>
      <c r="Y970" s="352" t="s">
        <v>124</v>
      </c>
      <c r="Z970" s="105">
        <v>14266</v>
      </c>
      <c r="AA970" s="107">
        <f>IFERROR((Table6[[#This Row],[Paired WTG Generation for loss calculation]]/24)*Table6[[#This Row],[Breakdown Time]],"")</f>
        <v>891.625</v>
      </c>
      <c r="AB970" s="107" t="s">
        <v>478</v>
      </c>
      <c r="AC970" s="105"/>
      <c r="AD970" s="105"/>
    </row>
    <row r="971" spans="1:30">
      <c r="A971" s="105">
        <f t="shared" si="15"/>
        <v>970</v>
      </c>
      <c r="B971" s="371">
        <f>YEAR(Table6[[#This Row],[Date]])+IF(MONTH(Table6[[#This Row],[Date]])&gt;=4,1,0)</f>
        <v>2026</v>
      </c>
      <c r="C971" s="372">
        <f>YEAR(Table6[[#This Row],[Date]])</f>
        <v>2025</v>
      </c>
      <c r="D971" s="105" t="s">
        <v>490</v>
      </c>
      <c r="E971" s="119">
        <f>Table6[[#This Row],[Date]]-DAY(Table6[[#This Row],[Date]])+1</f>
        <v>45839</v>
      </c>
      <c r="F971" s="373">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75">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c r="AC971" s="105"/>
      <c r="AD971" s="105"/>
    </row>
    <row r="972" spans="1:30">
      <c r="A972" s="105">
        <f t="shared" si="15"/>
        <v>971</v>
      </c>
      <c r="B972" s="371">
        <f>YEAR(Table6[[#This Row],[Date]])+IF(MONTH(Table6[[#This Row],[Date]])&gt;=4,1,0)</f>
        <v>2026</v>
      </c>
      <c r="C972" s="372">
        <f>YEAR(Table6[[#This Row],[Date]])</f>
        <v>2025</v>
      </c>
      <c r="D972" s="105" t="s">
        <v>490</v>
      </c>
      <c r="E972" s="119">
        <f>Table6[[#This Row],[Date]]-DAY(Table6[[#This Row],[Date]])+1</f>
        <v>45839</v>
      </c>
      <c r="F972" s="373">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75">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c r="AC972" s="105"/>
      <c r="AD972" s="105"/>
    </row>
    <row r="973" spans="1:30">
      <c r="A973" s="105">
        <f t="shared" si="15"/>
        <v>972</v>
      </c>
      <c r="B973" s="371">
        <f>YEAR(Table6[[#This Row],[Date]])+IF(MONTH(Table6[[#This Row],[Date]])&gt;=4,1,0)</f>
        <v>2026</v>
      </c>
      <c r="C973" s="372">
        <f>YEAR(Table6[[#This Row],[Date]])</f>
        <v>2025</v>
      </c>
      <c r="D973" s="105" t="s">
        <v>490</v>
      </c>
      <c r="E973" s="119">
        <f>Table6[[#This Row],[Date]]-DAY(Table6[[#This Row],[Date]])+1</f>
        <v>45839</v>
      </c>
      <c r="F973" s="373">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75">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c r="AC973" s="105"/>
      <c r="AD973" s="105"/>
    </row>
    <row r="974" spans="1:30">
      <c r="A974" s="105">
        <f t="shared" si="15"/>
        <v>973</v>
      </c>
      <c r="B974" s="371">
        <f>YEAR(Table6[[#This Row],[Date]])+IF(MONTH(Table6[[#This Row],[Date]])&gt;=4,1,0)</f>
        <v>2026</v>
      </c>
      <c r="C974" s="372">
        <f>YEAR(Table6[[#This Row],[Date]])</f>
        <v>2025</v>
      </c>
      <c r="D974" s="105" t="s">
        <v>490</v>
      </c>
      <c r="E974" s="119">
        <f>Table6[[#This Row],[Date]]-DAY(Table6[[#This Row],[Date]])+1</f>
        <v>45839</v>
      </c>
      <c r="F974" s="373">
        <v>45852</v>
      </c>
      <c r="G974" s="374"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78"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75">
        <f>Table6[[#This Row],[Breakdown Time]]*(1/39)</f>
        <v>1.4529914529914546E-2</v>
      </c>
      <c r="X974" s="336" t="s">
        <v>465</v>
      </c>
      <c r="Y974" s="352" t="s">
        <v>121</v>
      </c>
      <c r="Z974" s="105">
        <v>20987</v>
      </c>
      <c r="AA974" s="107">
        <f>IFERROR((Table6[[#This Row],[Paired WTG Generation for loss calculation]]/24)*Table6[[#This Row],[Breakdown Time]],"")</f>
        <v>495.52638888888947</v>
      </c>
      <c r="AB974" s="107" t="s">
        <v>478</v>
      </c>
      <c r="AC974" s="105"/>
      <c r="AD974" s="105"/>
    </row>
    <row r="975" spans="1:30">
      <c r="A975" s="105">
        <f t="shared" si="15"/>
        <v>974</v>
      </c>
      <c r="B975" s="371">
        <f>YEAR(Table6[[#This Row],[Date]])+IF(MONTH(Table6[[#This Row],[Date]])&gt;=4,1,0)</f>
        <v>2026</v>
      </c>
      <c r="C975" s="372">
        <f>YEAR(Table6[[#This Row],[Date]])</f>
        <v>2025</v>
      </c>
      <c r="D975" s="105" t="s">
        <v>490</v>
      </c>
      <c r="E975" s="119">
        <f>Table6[[#This Row],[Date]]-DAY(Table6[[#This Row],[Date]])+1</f>
        <v>45839</v>
      </c>
      <c r="F975" s="373">
        <v>45852</v>
      </c>
      <c r="G975" s="374"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78"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75">
        <f>Table6[[#This Row],[Breakdown Time]]*(1/39)</f>
        <v>4.9572649572649563E-2</v>
      </c>
      <c r="X975" s="336" t="s">
        <v>465</v>
      </c>
      <c r="Y975" s="352" t="s">
        <v>117</v>
      </c>
      <c r="Z975" s="105">
        <v>20981</v>
      </c>
      <c r="AA975" s="107">
        <f>IFERROR((Table6[[#This Row],[Paired WTG Generation for loss calculation]]/24)*Table6[[#This Row],[Breakdown Time]],"")</f>
        <v>1690.1361111111109</v>
      </c>
      <c r="AB975" s="107" t="s">
        <v>478</v>
      </c>
      <c r="AC975" s="105"/>
      <c r="AD975" s="105"/>
    </row>
    <row r="976" spans="1:30">
      <c r="A976" s="105">
        <f t="shared" si="15"/>
        <v>975</v>
      </c>
      <c r="B976" s="371">
        <f>YEAR(Table6[[#This Row],[Date]])+IF(MONTH(Table6[[#This Row],[Date]])&gt;=4,1,0)</f>
        <v>2026</v>
      </c>
      <c r="C976" s="372">
        <f>YEAR(Table6[[#This Row],[Date]])</f>
        <v>2025</v>
      </c>
      <c r="D976" s="105" t="s">
        <v>490</v>
      </c>
      <c r="E976" s="119">
        <f>Table6[[#This Row],[Date]]-DAY(Table6[[#This Row],[Date]])+1</f>
        <v>45839</v>
      </c>
      <c r="F976" s="373">
        <v>45852</v>
      </c>
      <c r="G976" s="374"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78"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75">
        <f>Table6[[#This Row],[Breakdown Time]]*(1/39)</f>
        <v>3.2051282051282007E-2</v>
      </c>
      <c r="X976" s="336" t="s">
        <v>465</v>
      </c>
      <c r="Y976" s="352" t="s">
        <v>117</v>
      </c>
      <c r="Z976" s="105">
        <v>20981</v>
      </c>
      <c r="AA976" s="107">
        <f>IFERROR((Table6[[#This Row],[Paired WTG Generation for loss calculation]]/24)*Table6[[#This Row],[Breakdown Time]],"")</f>
        <v>1092.7604166666652</v>
      </c>
      <c r="AB976" s="107" t="s">
        <v>478</v>
      </c>
      <c r="AC976" s="105"/>
      <c r="AD976" s="105"/>
    </row>
    <row r="977" spans="1:30">
      <c r="A977" s="105">
        <f t="shared" si="15"/>
        <v>976</v>
      </c>
      <c r="B977" s="371">
        <f>YEAR(Table6[[#This Row],[Date]])+IF(MONTH(Table6[[#This Row],[Date]])&gt;=4,1,0)</f>
        <v>2026</v>
      </c>
      <c r="C977" s="372">
        <f>YEAR(Table6[[#This Row],[Date]])</f>
        <v>2025</v>
      </c>
      <c r="D977" s="105" t="s">
        <v>490</v>
      </c>
      <c r="E977" s="119">
        <f>Table6[[#This Row],[Date]]-DAY(Table6[[#This Row],[Date]])+1</f>
        <v>45839</v>
      </c>
      <c r="F977" s="373">
        <v>45852</v>
      </c>
      <c r="G977" s="374"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78"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75">
        <f>Table6[[#This Row],[Breakdown Time]]*(1/39)</f>
        <v>5.9829059829059955E-3</v>
      </c>
      <c r="X977" s="336" t="s">
        <v>465</v>
      </c>
      <c r="Y977" s="352" t="s">
        <v>123</v>
      </c>
      <c r="Z977" s="105">
        <v>22625</v>
      </c>
      <c r="AA977" s="107">
        <f>IFERROR((Table6[[#This Row],[Paired WTG Generation for loss calculation]]/24)*Table6[[#This Row],[Breakdown Time]],"")</f>
        <v>219.96527777777825</v>
      </c>
      <c r="AB977" s="107" t="s">
        <v>478</v>
      </c>
      <c r="AC977" s="105"/>
      <c r="AD977" s="105"/>
    </row>
    <row r="978" spans="1:30">
      <c r="A978" s="105">
        <f t="shared" si="15"/>
        <v>977</v>
      </c>
      <c r="B978" s="371">
        <f>YEAR(Table6[[#This Row],[Date]])+IF(MONTH(Table6[[#This Row],[Date]])&gt;=4,1,0)</f>
        <v>2026</v>
      </c>
      <c r="C978" s="372">
        <f>YEAR(Table6[[#This Row],[Date]])</f>
        <v>2025</v>
      </c>
      <c r="D978" s="105" t="s">
        <v>490</v>
      </c>
      <c r="E978" s="119">
        <f>Table6[[#This Row],[Date]]-DAY(Table6[[#This Row],[Date]])+1</f>
        <v>45839</v>
      </c>
      <c r="F978" s="373">
        <v>45852</v>
      </c>
      <c r="G978" s="374"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78" t="s">
        <v>1270</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46" t="s">
        <v>463</v>
      </c>
      <c r="W978" s="377">
        <f>Table6[[#This Row],[Breakdown Time]]*(1/39)</f>
        <v>6.837606837606881E-3</v>
      </c>
      <c r="X978" s="336" t="s">
        <v>465</v>
      </c>
      <c r="Y978" s="346" t="s">
        <v>123</v>
      </c>
      <c r="Z978" s="105">
        <v>22625</v>
      </c>
      <c r="AA978" s="107">
        <f>IFERROR((Table6[[#This Row],[Paired WTG Generation for loss calculation]]/24)*Table6[[#This Row],[Breakdown Time]],"")</f>
        <v>251.38888888889051</v>
      </c>
      <c r="AB978" s="107" t="s">
        <v>478</v>
      </c>
      <c r="AC978" s="105"/>
      <c r="AD978" s="105"/>
    </row>
    <row r="979" spans="1:30">
      <c r="A979" s="105">
        <f t="shared" si="15"/>
        <v>978</v>
      </c>
      <c r="B979" s="371">
        <f>YEAR(Table6[[#This Row],[Date]])+IF(MONTH(Table6[[#This Row],[Date]])&gt;=4,1,0)</f>
        <v>2026</v>
      </c>
      <c r="C979" s="372">
        <f>YEAR(Table6[[#This Row],[Date]])</f>
        <v>2025</v>
      </c>
      <c r="D979" s="105" t="s">
        <v>490</v>
      </c>
      <c r="E979" s="119">
        <f>Table6[[#This Row],[Date]]-DAY(Table6[[#This Row],[Date]])+1</f>
        <v>45839</v>
      </c>
      <c r="F979" s="373">
        <v>45852</v>
      </c>
      <c r="G979" s="374"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78" t="s">
        <v>1270</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46" t="s">
        <v>463</v>
      </c>
      <c r="W979" s="377">
        <f>Table6[[#This Row],[Breakdown Time]]*(1/39)</f>
        <v>3.7179487179487186E-2</v>
      </c>
      <c r="X979" s="336" t="s">
        <v>465</v>
      </c>
      <c r="Y979" s="346" t="s">
        <v>133</v>
      </c>
      <c r="Z979" s="105">
        <v>22647</v>
      </c>
      <c r="AA979" s="107">
        <f>IFERROR((Table6[[#This Row],[Paired WTG Generation for loss calculation]]/24)*Table6[[#This Row],[Breakdown Time]],"")</f>
        <v>1368.2562500000001</v>
      </c>
      <c r="AB979" s="107" t="s">
        <v>478</v>
      </c>
      <c r="AC979" s="105"/>
      <c r="AD979" s="105"/>
    </row>
    <row r="980" spans="1:30">
      <c r="A980" s="105">
        <f t="shared" si="15"/>
        <v>979</v>
      </c>
      <c r="B980" s="371">
        <f>YEAR(Table6[[#This Row],[Date]])+IF(MONTH(Table6[[#This Row],[Date]])&gt;=4,1,0)</f>
        <v>2026</v>
      </c>
      <c r="C980" s="372">
        <f>YEAR(Table6[[#This Row],[Date]])</f>
        <v>2025</v>
      </c>
      <c r="D980" s="105" t="s">
        <v>490</v>
      </c>
      <c r="E980" s="119">
        <f>Table6[[#This Row],[Date]]-DAY(Table6[[#This Row],[Date]])+1</f>
        <v>45839</v>
      </c>
      <c r="F980" s="373">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77">
        <f>Table6[[#This Row],[Breakdown Time]]*(1/39)</f>
        <v>0.61537749287749288</v>
      </c>
      <c r="X980" s="336" t="s">
        <v>465</v>
      </c>
      <c r="Y980" s="352" t="s">
        <v>143</v>
      </c>
      <c r="Z980" s="15">
        <v>8789</v>
      </c>
      <c r="AA980" s="107">
        <f>IFERROR((Table6[[#This Row],[Paired WTG Generation for loss calculation]]/24)*Table6[[#This Row],[Breakdown Time]],"")</f>
        <v>8788.8982754629633</v>
      </c>
      <c r="AB980" s="105" t="s">
        <v>1347</v>
      </c>
      <c r="AC980" s="105"/>
      <c r="AD980" s="105"/>
    </row>
    <row r="981" spans="1:30">
      <c r="A981" s="105">
        <f t="shared" si="15"/>
        <v>980</v>
      </c>
      <c r="B981" s="371">
        <f>YEAR(Table6[[#This Row],[Date]])+IF(MONTH(Table6[[#This Row],[Date]])&gt;=4,1,0)</f>
        <v>2026</v>
      </c>
      <c r="C981" s="372">
        <f>YEAR(Table6[[#This Row],[Date]])</f>
        <v>2025</v>
      </c>
      <c r="D981" s="105" t="s">
        <v>490</v>
      </c>
      <c r="E981" s="119">
        <f>Table6[[#This Row],[Date]]-DAY(Table6[[#This Row],[Date]])+1</f>
        <v>45839</v>
      </c>
      <c r="F981" s="373">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77">
        <f>Table6[[#This Row],[Breakdown Time]]*(1/39)</f>
        <v>0.61537749287749288</v>
      </c>
      <c r="X981" s="336" t="s">
        <v>1212</v>
      </c>
      <c r="Y981" s="352" t="s">
        <v>143</v>
      </c>
      <c r="Z981" s="15">
        <v>8789</v>
      </c>
      <c r="AA981" s="107">
        <f>IFERROR((Table6[[#This Row],[Paired WTG Generation for loss calculation]]/24)*Table6[[#This Row],[Breakdown Time]],"")</f>
        <v>8788.8982754629633</v>
      </c>
      <c r="AB981" s="105" t="s">
        <v>478</v>
      </c>
      <c r="AC981" s="105"/>
      <c r="AD981" s="105"/>
    </row>
    <row r="982" spans="1:30">
      <c r="A982" s="105">
        <f t="shared" si="15"/>
        <v>981</v>
      </c>
      <c r="B982" s="371">
        <f>YEAR(Table6[[#This Row],[Date]])+IF(MONTH(Table6[[#This Row],[Date]])&gt;=4,1,0)</f>
        <v>2026</v>
      </c>
      <c r="C982" s="372">
        <f>YEAR(Table6[[#This Row],[Date]])</f>
        <v>2025</v>
      </c>
      <c r="D982" s="105" t="s">
        <v>490</v>
      </c>
      <c r="E982" s="119">
        <f>Table6[[#This Row],[Date]]-DAY(Table6[[#This Row],[Date]])+1</f>
        <v>45839</v>
      </c>
      <c r="F982" s="373">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77">
        <f>Table6[[#This Row],[Breakdown Time]]*(1/39)</f>
        <v>0.61537749287749288</v>
      </c>
      <c r="X982" s="336" t="s">
        <v>465</v>
      </c>
      <c r="Y982" s="352" t="s">
        <v>130</v>
      </c>
      <c r="Z982" s="15">
        <v>12435</v>
      </c>
      <c r="AA982" s="107">
        <f>IFERROR((Table6[[#This Row],[Paired WTG Generation for loss calculation]]/24)*Table6[[#This Row],[Breakdown Time]],"")</f>
        <v>12434.856076388891</v>
      </c>
      <c r="AB982" s="105" t="s">
        <v>1353</v>
      </c>
      <c r="AC982" s="105"/>
      <c r="AD982" s="105"/>
    </row>
    <row r="983" spans="1:30">
      <c r="A983" s="105">
        <f t="shared" si="15"/>
        <v>982</v>
      </c>
      <c r="B983" s="371">
        <f>YEAR(Table6[[#This Row],[Date]])+IF(MONTH(Table6[[#This Row],[Date]])&gt;=4,1,0)</f>
        <v>2026</v>
      </c>
      <c r="C983" s="372">
        <f>YEAR(Table6[[#This Row],[Date]])</f>
        <v>2025</v>
      </c>
      <c r="D983" s="105" t="s">
        <v>490</v>
      </c>
      <c r="E983" s="119">
        <f>Table6[[#This Row],[Date]]-DAY(Table6[[#This Row],[Date]])+1</f>
        <v>45839</v>
      </c>
      <c r="F983" s="373">
        <v>45853</v>
      </c>
      <c r="G983" s="374"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46" t="s">
        <v>463</v>
      </c>
      <c r="W983" s="377">
        <f>Table6[[#This Row],[Breakdown Time]]*(1/39)</f>
        <v>9.3162393162393164E-2</v>
      </c>
      <c r="X983" s="336" t="s">
        <v>465</v>
      </c>
      <c r="Y983" s="346" t="s">
        <v>147</v>
      </c>
      <c r="Z983" s="15">
        <v>8259</v>
      </c>
      <c r="AA983" s="107">
        <f>IFERROR((Table6[[#This Row],[Paired WTG Generation for loss calculation]]/24)*Table6[[#This Row],[Breakdown Time]],"")</f>
        <v>1250.3208333333334</v>
      </c>
      <c r="AB983" s="107" t="s">
        <v>478</v>
      </c>
      <c r="AC983" s="105"/>
      <c r="AD983" s="105"/>
    </row>
    <row r="984" spans="1:30">
      <c r="A984" s="105">
        <f t="shared" si="15"/>
        <v>983</v>
      </c>
      <c r="B984" s="371">
        <f>YEAR(Table6[[#This Row],[Date]])+IF(MONTH(Table6[[#This Row],[Date]])&gt;=4,1,0)</f>
        <v>2026</v>
      </c>
      <c r="C984" s="372">
        <f>YEAR(Table6[[#This Row],[Date]])</f>
        <v>2025</v>
      </c>
      <c r="D984" s="105" t="s">
        <v>490</v>
      </c>
      <c r="E984" s="119">
        <f>Table6[[#This Row],[Date]]-DAY(Table6[[#This Row],[Date]])+1</f>
        <v>45839</v>
      </c>
      <c r="F984" s="373">
        <v>45853</v>
      </c>
      <c r="G984" s="374"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46" t="s">
        <v>463</v>
      </c>
      <c r="W984" s="377">
        <f>Table6[[#This Row],[Breakdown Time]]*(1/39)</f>
        <v>5.8974358974358966E-2</v>
      </c>
      <c r="X984" s="336" t="s">
        <v>465</v>
      </c>
      <c r="Y984" s="346" t="s">
        <v>139</v>
      </c>
      <c r="Z984" s="15">
        <v>8260</v>
      </c>
      <c r="AA984" s="107">
        <f>IFERROR((Table6[[#This Row],[Paired WTG Generation for loss calculation]]/24)*Table6[[#This Row],[Breakdown Time]],"")</f>
        <v>791.58333333333337</v>
      </c>
      <c r="AB984" s="107" t="s">
        <v>478</v>
      </c>
      <c r="AC984" s="105"/>
      <c r="AD984" s="105"/>
    </row>
    <row r="985" spans="1:30">
      <c r="A985" s="105">
        <f t="shared" si="15"/>
        <v>984</v>
      </c>
      <c r="B985" s="371">
        <f>YEAR(Table6[[#This Row],[Date]])+IF(MONTH(Table6[[#This Row],[Date]])&gt;=4,1,0)</f>
        <v>2026</v>
      </c>
      <c r="C985" s="372">
        <f>YEAR(Table6[[#This Row],[Date]])</f>
        <v>2025</v>
      </c>
      <c r="D985" s="105" t="s">
        <v>490</v>
      </c>
      <c r="E985" s="119">
        <f>Table6[[#This Row],[Date]]-DAY(Table6[[#This Row],[Date]])+1</f>
        <v>45839</v>
      </c>
      <c r="F985" s="373">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105"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77">
        <f>Table6[[#This Row],[Breakdown Time]]*(1/39)</f>
        <v>0.61537749287749288</v>
      </c>
      <c r="X985" s="336" t="s">
        <v>465</v>
      </c>
      <c r="Y985" s="352" t="s">
        <v>143</v>
      </c>
      <c r="Z985" s="380">
        <v>3759</v>
      </c>
      <c r="AA985" s="107">
        <f>IFERROR((Table6[[#This Row],[Paired WTG Generation for loss calculation]]/24)*Table6[[#This Row],[Breakdown Time]],"")</f>
        <v>3758.9564930555562</v>
      </c>
      <c r="AB985" s="105" t="s">
        <v>1381</v>
      </c>
      <c r="AC985" s="105"/>
      <c r="AD985" s="105"/>
    </row>
    <row r="986" spans="1:30">
      <c r="A986" s="105">
        <f t="shared" si="15"/>
        <v>985</v>
      </c>
      <c r="B986" s="371">
        <f>YEAR(Table6[[#This Row],[Date]])+IF(MONTH(Table6[[#This Row],[Date]])&gt;=4,1,0)</f>
        <v>2026</v>
      </c>
      <c r="C986" s="372">
        <f>YEAR(Table6[[#This Row],[Date]])</f>
        <v>2025</v>
      </c>
      <c r="D986" s="105" t="s">
        <v>490</v>
      </c>
      <c r="E986" s="119">
        <f>Table6[[#This Row],[Date]]-DAY(Table6[[#This Row],[Date]])+1</f>
        <v>45839</v>
      </c>
      <c r="F986" s="373">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105"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77">
        <f>Table6[[#This Row],[Breakdown Time]]*(1/39)</f>
        <v>0.61537749287749288</v>
      </c>
      <c r="X986" s="336" t="s">
        <v>1212</v>
      </c>
      <c r="Y986" s="352" t="s">
        <v>143</v>
      </c>
      <c r="Z986" s="380">
        <v>3759</v>
      </c>
      <c r="AA986" s="107">
        <f>IFERROR((Table6[[#This Row],[Paired WTG Generation for loss calculation]]/24)*Table6[[#This Row],[Breakdown Time]],"")</f>
        <v>3758.9564930555562</v>
      </c>
      <c r="AB986" s="105" t="s">
        <v>478</v>
      </c>
      <c r="AC986" s="105"/>
      <c r="AD986" s="105"/>
    </row>
    <row r="987" spans="1:30">
      <c r="A987" s="105">
        <f t="shared" si="15"/>
        <v>986</v>
      </c>
      <c r="B987" s="371">
        <f>YEAR(Table6[[#This Row],[Date]])+IF(MONTH(Table6[[#This Row],[Date]])&gt;=4,1,0)</f>
        <v>2026</v>
      </c>
      <c r="C987" s="372">
        <f>YEAR(Table6[[#This Row],[Date]])</f>
        <v>2025</v>
      </c>
      <c r="D987" s="105" t="s">
        <v>490</v>
      </c>
      <c r="E987" s="119">
        <f>Table6[[#This Row],[Date]]-DAY(Table6[[#This Row],[Date]])+1</f>
        <v>45839</v>
      </c>
      <c r="F987" s="373">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105" t="s">
        <v>1270</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46" t="s">
        <v>463</v>
      </c>
      <c r="W987" s="377">
        <f>Table6[[#This Row],[Breakdown Time]]*(1/39)</f>
        <v>0.49230769230769239</v>
      </c>
      <c r="X987" s="336" t="s">
        <v>465</v>
      </c>
      <c r="Y987" s="352" t="s">
        <v>130</v>
      </c>
      <c r="Z987" s="15">
        <v>3456</v>
      </c>
      <c r="AA987" s="107">
        <f>IFERROR((Table6[[#This Row],[Paired WTG Generation for loss calculation]]/24)*Table6[[#This Row],[Breakdown Time]],"")</f>
        <v>2764.8</v>
      </c>
      <c r="AB987" s="107" t="s">
        <v>478</v>
      </c>
      <c r="AC987" s="105"/>
      <c r="AD987" s="105"/>
    </row>
    <row r="988" spans="1:30">
      <c r="A988" s="105">
        <f t="shared" si="15"/>
        <v>987</v>
      </c>
      <c r="B988" s="371">
        <f>YEAR(Table6[[#This Row],[Date]])+IF(MONTH(Table6[[#This Row],[Date]])&gt;=4,1,0)</f>
        <v>2026</v>
      </c>
      <c r="C988" s="372">
        <f>YEAR(Table6[[#This Row],[Date]])</f>
        <v>2025</v>
      </c>
      <c r="D988" s="105" t="s">
        <v>490</v>
      </c>
      <c r="E988" s="119">
        <f>Table6[[#This Row],[Date]]-DAY(Table6[[#This Row],[Date]])+1</f>
        <v>45839</v>
      </c>
      <c r="F988" s="373">
        <v>45854</v>
      </c>
      <c r="G988" s="374"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105" t="s">
        <v>230</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46" t="s">
        <v>463</v>
      </c>
      <c r="W988" s="377">
        <f>Table6[[#This Row],[Breakdown Time]]*(1/39)</f>
        <v>7.6068376068376076E-2</v>
      </c>
      <c r="X988" s="336" t="s">
        <v>465</v>
      </c>
      <c r="Y988" s="346" t="s">
        <v>130</v>
      </c>
      <c r="Z988" s="15">
        <v>3456</v>
      </c>
      <c r="AA988" s="107">
        <f>IFERROR((Table6[[#This Row],[Paired WTG Generation for loss calculation]]/24)*Table6[[#This Row],[Breakdown Time]],"")</f>
        <v>427.20000000000005</v>
      </c>
      <c r="AB988" s="107" t="s">
        <v>478</v>
      </c>
      <c r="AC988" s="105"/>
      <c r="AD988" s="105"/>
    </row>
    <row r="989" spans="1:30">
      <c r="A989" s="105">
        <f t="shared" si="15"/>
        <v>988</v>
      </c>
      <c r="B989" s="371">
        <f>YEAR(Table6[[#This Row],[Date]])+IF(MONTH(Table6[[#This Row],[Date]])&gt;=4,1,0)</f>
        <v>2026</v>
      </c>
      <c r="C989" s="372">
        <f>YEAR(Table6[[#This Row],[Date]])</f>
        <v>2025</v>
      </c>
      <c r="D989" s="105" t="s">
        <v>490</v>
      </c>
      <c r="E989" s="119">
        <f>Table6[[#This Row],[Date]]-DAY(Table6[[#This Row],[Date]])+1</f>
        <v>45839</v>
      </c>
      <c r="F989" s="373">
        <v>45854</v>
      </c>
      <c r="G989" s="374"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105" t="s">
        <v>230</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46" t="s">
        <v>463</v>
      </c>
      <c r="W989" s="377">
        <f>Table6[[#This Row],[Breakdown Time]]*(1/39)</f>
        <v>6.3675213675213685E-2</v>
      </c>
      <c r="X989" s="336" t="s">
        <v>465</v>
      </c>
      <c r="Y989" s="346" t="s">
        <v>147</v>
      </c>
      <c r="Z989" s="380">
        <v>3038</v>
      </c>
      <c r="AA989" s="107">
        <f>IFERROR((Table6[[#This Row],[Paired WTG Generation for loss calculation]]/24)*Table6[[#This Row],[Breakdown Time]],"")</f>
        <v>314.34861111111115</v>
      </c>
      <c r="AB989" s="107" t="s">
        <v>478</v>
      </c>
      <c r="AC989" s="105"/>
      <c r="AD989" s="105"/>
    </row>
    <row r="990" spans="1:30">
      <c r="A990" s="105">
        <f t="shared" si="15"/>
        <v>989</v>
      </c>
      <c r="B990" s="371">
        <f>YEAR(Table6[[#This Row],[Date]])+IF(MONTH(Table6[[#This Row],[Date]])&gt;=4,1,0)</f>
        <v>2026</v>
      </c>
      <c r="C990" s="372">
        <f>YEAR(Table6[[#This Row],[Date]])</f>
        <v>2025</v>
      </c>
      <c r="D990" s="105" t="s">
        <v>490</v>
      </c>
      <c r="E990" s="119">
        <f>Table6[[#This Row],[Date]]-DAY(Table6[[#This Row],[Date]])+1</f>
        <v>45839</v>
      </c>
      <c r="F990" s="373">
        <v>45854</v>
      </c>
      <c r="G990" s="374"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105" t="s">
        <v>1270</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46" t="s">
        <v>463</v>
      </c>
      <c r="W990" s="377">
        <f>Table6[[#This Row],[Breakdown Time]]*(1/39)</f>
        <v>3.162393162393165E-2</v>
      </c>
      <c r="X990" s="336" t="s">
        <v>465</v>
      </c>
      <c r="Y990" s="346" t="s">
        <v>127</v>
      </c>
      <c r="Z990" s="15">
        <v>3498</v>
      </c>
      <c r="AA990" s="107">
        <f>IFERROR((Table6[[#This Row],[Paired WTG Generation for loss calculation]]/24)*Table6[[#This Row],[Breakdown Time]],"")</f>
        <v>179.75833333333347</v>
      </c>
      <c r="AB990" s="107" t="s">
        <v>478</v>
      </c>
      <c r="AC990" s="105"/>
      <c r="AD990" s="105"/>
    </row>
    <row r="991" spans="1:30">
      <c r="A991" s="105">
        <f t="shared" si="15"/>
        <v>990</v>
      </c>
      <c r="B991" s="371">
        <f>YEAR(Table6[[#This Row],[Date]])+IF(MONTH(Table6[[#This Row],[Date]])&gt;=4,1,0)</f>
        <v>2026</v>
      </c>
      <c r="C991" s="372">
        <f>YEAR(Table6[[#This Row],[Date]])</f>
        <v>2025</v>
      </c>
      <c r="D991" s="105" t="s">
        <v>490</v>
      </c>
      <c r="E991" s="119">
        <f>Table6[[#This Row],[Date]]-DAY(Table6[[#This Row],[Date]])+1</f>
        <v>45839</v>
      </c>
      <c r="F991" s="373">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105"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77">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c r="AC991" s="105"/>
      <c r="AD991" s="105"/>
    </row>
    <row r="992" spans="1:30">
      <c r="A992" s="105">
        <f t="shared" si="15"/>
        <v>991</v>
      </c>
      <c r="B992" s="371">
        <f>YEAR(Table6[[#This Row],[Date]])+IF(MONTH(Table6[[#This Row],[Date]])&gt;=4,1,0)</f>
        <v>2026</v>
      </c>
      <c r="C992" s="372">
        <f>YEAR(Table6[[#This Row],[Date]])</f>
        <v>2025</v>
      </c>
      <c r="D992" s="105" t="s">
        <v>490</v>
      </c>
      <c r="E992" s="119">
        <f>Table6[[#This Row],[Date]]-DAY(Table6[[#This Row],[Date]])+1</f>
        <v>45839</v>
      </c>
      <c r="F992" s="373">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105"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77">
        <f>Table6[[#This Row],[Breakdown Time]]*(1/39)</f>
        <v>0.61537749287749288</v>
      </c>
      <c r="X992" s="336" t="s">
        <v>1212</v>
      </c>
      <c r="Y992" s="352" t="s">
        <v>143</v>
      </c>
      <c r="Z992" s="105">
        <v>2198</v>
      </c>
      <c r="AA992" s="107">
        <f>IFERROR((Table6[[#This Row],[Paired WTG Generation for loss calculation]]/24)*Table6[[#This Row],[Breakdown Time]],"")</f>
        <v>2197.9745601851855</v>
      </c>
      <c r="AB992" s="107" t="s">
        <v>478</v>
      </c>
      <c r="AC992" s="105"/>
      <c r="AD992" s="105"/>
    </row>
    <row r="993" spans="1:30">
      <c r="A993" s="105">
        <f t="shared" si="15"/>
        <v>992</v>
      </c>
      <c r="B993" s="371">
        <f>YEAR(Table6[[#This Row],[Date]])+IF(MONTH(Table6[[#This Row],[Date]])&gt;=4,1,0)</f>
        <v>2026</v>
      </c>
      <c r="C993" s="372">
        <f>YEAR(Table6[[#This Row],[Date]])</f>
        <v>2025</v>
      </c>
      <c r="D993" s="105" t="s">
        <v>490</v>
      </c>
      <c r="E993" s="119">
        <f>Table6[[#This Row],[Date]]-DAY(Table6[[#This Row],[Date]])+1</f>
        <v>45839</v>
      </c>
      <c r="F993" s="373">
        <v>45855</v>
      </c>
      <c r="G993" s="374" t="s">
        <v>115</v>
      </c>
      <c r="H993" s="39" t="str">
        <f>_xlfn.XLOOKUP(Table6[[#This Row],[Affected WTG]],'Basic Data'!$A:$A,'Basic Data'!$B:$B)</f>
        <v>PWEGPL</v>
      </c>
      <c r="I993" s="39" t="str">
        <f>_xlfn.XLOOKUP(Table6[[#This Row],[Affected WTG]],'Basic Data'!$A:$A,'Basic Data'!$C:$C)</f>
        <v>MSEDCL</v>
      </c>
      <c r="J993" s="381">
        <f>IFERROR(VLOOKUP(Table6[[#This Row],[Affected WTG]],'Basic Data'!$A$3:$E$56,5,0),"")</f>
        <v>2.564102564102564E-2</v>
      </c>
      <c r="K993" s="105">
        <v>2118</v>
      </c>
      <c r="L993" s="39" t="str">
        <f>IFERROR(VLOOKUP(Table6[[#This Row],[Error Code]],'Basic Data'!$T:$U,2,0),"")</f>
        <v>Bus Error - Interbus Failure</v>
      </c>
      <c r="M993" s="346" t="s">
        <v>462</v>
      </c>
      <c r="N993" s="105" t="s">
        <v>1270</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46" t="s">
        <v>463</v>
      </c>
      <c r="W993" s="377">
        <f>Table6[[#This Row],[Breakdown Time]]*(1/39)</f>
        <v>2.3931623931623913E-2</v>
      </c>
      <c r="X993" s="337" t="s">
        <v>465</v>
      </c>
      <c r="Y993" s="346" t="s">
        <v>121</v>
      </c>
      <c r="Z993" s="105">
        <v>1956</v>
      </c>
      <c r="AA993" s="107">
        <f>IFERROR((Table6[[#This Row],[Paired WTG Generation for loss calculation]]/24)*Table6[[#This Row],[Breakdown Time]],"")</f>
        <v>76.06666666666662</v>
      </c>
      <c r="AB993" s="107" t="s">
        <v>478</v>
      </c>
      <c r="AC993" s="105"/>
      <c r="AD993" s="105"/>
    </row>
    <row r="994" spans="1:30">
      <c r="A994" s="105">
        <f t="shared" si="15"/>
        <v>993</v>
      </c>
      <c r="B994" s="371">
        <f>YEAR(Table6[[#This Row],[Date]])+IF(MONTH(Table6[[#This Row],[Date]])&gt;=4,1,0)</f>
        <v>2026</v>
      </c>
      <c r="C994" s="372">
        <f>YEAR(Table6[[#This Row],[Date]])</f>
        <v>2025</v>
      </c>
      <c r="D994" s="105" t="s">
        <v>490</v>
      </c>
      <c r="E994" s="119">
        <f>Table6[[#This Row],[Date]]-DAY(Table6[[#This Row],[Date]])+1</f>
        <v>45839</v>
      </c>
      <c r="F994" s="373">
        <v>45855</v>
      </c>
      <c r="G994" s="374" t="s">
        <v>116</v>
      </c>
      <c r="H994" s="39" t="str">
        <f>_xlfn.XLOOKUP(Table6[[#This Row],[Affected WTG]],'Basic Data'!$A:$A,'Basic Data'!$B:$B)</f>
        <v>PWEGPL</v>
      </c>
      <c r="I994" s="39" t="str">
        <f>_xlfn.XLOOKUP(Table6[[#This Row],[Affected WTG]],'Basic Data'!$A:$A,'Basic Data'!$C:$C)</f>
        <v>MSEDCL</v>
      </c>
      <c r="J994" s="381">
        <f>IFERROR(VLOOKUP(Table6[[#This Row],[Affected WTG]],'Basic Data'!$A$3:$E$56,5,0),"")</f>
        <v>2.564102564102564E-2</v>
      </c>
      <c r="K994" s="105">
        <v>5225</v>
      </c>
      <c r="L994" s="39" t="str">
        <f>IFERROR(VLOOKUP(Table6[[#This Row],[Error Code]],'Basic Data'!$T:$U,2,0),"")</f>
        <v>Fault In Analog Electronic Power Supply</v>
      </c>
      <c r="M994" s="346" t="s">
        <v>462</v>
      </c>
      <c r="N994" s="105" t="s">
        <v>1270</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46" t="s">
        <v>463</v>
      </c>
      <c r="W994" s="377">
        <f>Table6[[#This Row],[Breakdown Time]]*(1/39)</f>
        <v>4.4444444444444418E-2</v>
      </c>
      <c r="X994" s="337" t="s">
        <v>465</v>
      </c>
      <c r="Y994" s="346" t="s">
        <v>118</v>
      </c>
      <c r="Z994" s="105">
        <v>1948</v>
      </c>
      <c r="AA994" s="107">
        <f>IFERROR((Table6[[#This Row],[Paired WTG Generation for loss calculation]]/24)*Table6[[#This Row],[Breakdown Time]],"")</f>
        <v>140.68888888888884</v>
      </c>
      <c r="AB994" s="107" t="s">
        <v>478</v>
      </c>
      <c r="AC994" s="105"/>
      <c r="AD994" s="105"/>
    </row>
    <row r="995" spans="1:30">
      <c r="A995" s="105">
        <f t="shared" si="15"/>
        <v>994</v>
      </c>
      <c r="B995" s="371">
        <f>YEAR(Table6[[#This Row],[Date]])+IF(MONTH(Table6[[#This Row],[Date]])&gt;=4,1,0)</f>
        <v>2026</v>
      </c>
      <c r="C995" s="372">
        <f>YEAR(Table6[[#This Row],[Date]])</f>
        <v>2025</v>
      </c>
      <c r="D995" s="105" t="s">
        <v>490</v>
      </c>
      <c r="E995" s="119">
        <f>Table6[[#This Row],[Date]]-DAY(Table6[[#This Row],[Date]])+1</f>
        <v>45839</v>
      </c>
      <c r="F995" s="373">
        <v>45855</v>
      </c>
      <c r="G995" s="374" t="s">
        <v>120</v>
      </c>
      <c r="H995" s="39" t="str">
        <f>_xlfn.XLOOKUP(Table6[[#This Row],[Affected WTG]],'Basic Data'!$A:$A,'Basic Data'!$B:$B)</f>
        <v>PWEGPL</v>
      </c>
      <c r="I995" s="39" t="str">
        <f>_xlfn.XLOOKUP(Table6[[#This Row],[Affected WTG]],'Basic Data'!$A:$A,'Basic Data'!$C:$C)</f>
        <v>MSEDCL</v>
      </c>
      <c r="J995" s="381">
        <f>IFERROR(VLOOKUP(Table6[[#This Row],[Affected WTG]],'Basic Data'!$A$3:$E$56,5,0),"")</f>
        <v>2.564102564102564E-2</v>
      </c>
      <c r="K995" s="105">
        <v>5216</v>
      </c>
      <c r="L995" s="39" t="str">
        <f>IFERROR(VLOOKUP(Table6[[#This Row],[Error Code]],'Basic Data'!$T:$U,2,0),"")</f>
        <v>Grid Voltage Failure</v>
      </c>
      <c r="M995" s="346" t="s">
        <v>462</v>
      </c>
      <c r="N995" s="105" t="s">
        <v>1270</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46" t="s">
        <v>463</v>
      </c>
      <c r="W995" s="377">
        <f>Table6[[#This Row],[Breakdown Time]]*(1/39)</f>
        <v>6.3247863247863231E-2</v>
      </c>
      <c r="X995" s="337" t="s">
        <v>465</v>
      </c>
      <c r="Y995" s="346" t="s">
        <v>117</v>
      </c>
      <c r="Z995" s="105">
        <v>1952</v>
      </c>
      <c r="AA995" s="107">
        <f>IFERROR((Table6[[#This Row],[Paired WTG Generation for loss calculation]]/24)*Table6[[#This Row],[Breakdown Time]],"")</f>
        <v>200.62222222222215</v>
      </c>
      <c r="AB995" s="107" t="s">
        <v>478</v>
      </c>
      <c r="AC995" s="105"/>
      <c r="AD995" s="105"/>
    </row>
    <row r="996" spans="1:30">
      <c r="A996" s="105">
        <f t="shared" si="15"/>
        <v>995</v>
      </c>
      <c r="B996" s="371">
        <f>YEAR(Table6[[#This Row],[Date]])+IF(MONTH(Table6[[#This Row],[Date]])&gt;=4,1,0)</f>
        <v>2026</v>
      </c>
      <c r="C996" s="372">
        <f>YEAR(Table6[[#This Row],[Date]])</f>
        <v>2025</v>
      </c>
      <c r="D996" s="105" t="s">
        <v>490</v>
      </c>
      <c r="E996" s="119">
        <f>Table6[[#This Row],[Date]]-DAY(Table6[[#This Row],[Date]])+1</f>
        <v>45839</v>
      </c>
      <c r="F996" s="373">
        <v>45855</v>
      </c>
      <c r="G996" s="374" t="s">
        <v>123</v>
      </c>
      <c r="H996" s="39" t="str">
        <f>_xlfn.XLOOKUP(Table6[[#This Row],[Affected WTG]],'Basic Data'!$A:$A,'Basic Data'!$B:$B)</f>
        <v>PWEGPL</v>
      </c>
      <c r="I996" s="39" t="str">
        <f>_xlfn.XLOOKUP(Table6[[#This Row],[Affected WTG]],'Basic Data'!$A:$A,'Basic Data'!$C:$C)</f>
        <v>MSEDCL</v>
      </c>
      <c r="J996" s="381">
        <f>IFERROR(VLOOKUP(Table6[[#This Row],[Affected WTG]],'Basic Data'!$A$3:$E$56,5,0),"")</f>
        <v>2.564102564102564E-2</v>
      </c>
      <c r="K996" s="105">
        <v>203</v>
      </c>
      <c r="L996" s="39" t="str">
        <f>IFERROR(VLOOKUP(Table6[[#This Row],[Error Code]],'Basic Data'!$T:$U,2,0),"")</f>
        <v>Low Pressure On Hydraulic Group</v>
      </c>
      <c r="M996" s="346" t="s">
        <v>462</v>
      </c>
      <c r="N996" s="105" t="s">
        <v>1270</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46" t="s">
        <v>463</v>
      </c>
      <c r="W996" s="377">
        <f>Table6[[#This Row],[Breakdown Time]]*(1/39)</f>
        <v>1.7948717948717954E-2</v>
      </c>
      <c r="X996" s="337" t="s">
        <v>465</v>
      </c>
      <c r="Y996" s="346" t="s">
        <v>126</v>
      </c>
      <c r="Z996" s="105">
        <v>2012</v>
      </c>
      <c r="AA996" s="107">
        <f>IFERROR((Table6[[#This Row],[Paired WTG Generation for loss calculation]]/24)*Table6[[#This Row],[Breakdown Time]],"")</f>
        <v>58.683333333333344</v>
      </c>
      <c r="AB996" s="107" t="s">
        <v>478</v>
      </c>
      <c r="AC996" s="105"/>
      <c r="AD996" s="105"/>
    </row>
    <row r="997" spans="1:30">
      <c r="A997" s="105">
        <f t="shared" si="15"/>
        <v>996</v>
      </c>
      <c r="B997" s="371">
        <f>YEAR(Table6[[#This Row],[Date]])+IF(MONTH(Table6[[#This Row],[Date]])&gt;=4,1,0)</f>
        <v>2026</v>
      </c>
      <c r="C997" s="372">
        <f>YEAR(Table6[[#This Row],[Date]])</f>
        <v>2025</v>
      </c>
      <c r="D997" s="105" t="s">
        <v>490</v>
      </c>
      <c r="E997" s="119">
        <f>Table6[[#This Row],[Date]]-DAY(Table6[[#This Row],[Date]])+1</f>
        <v>45839</v>
      </c>
      <c r="F997" s="373">
        <v>45855</v>
      </c>
      <c r="G997" s="374" t="s">
        <v>126</v>
      </c>
      <c r="H997" s="39" t="str">
        <f>_xlfn.XLOOKUP(Table6[[#This Row],[Affected WTG]],'Basic Data'!$A:$A,'Basic Data'!$B:$B)</f>
        <v>PWEGPL</v>
      </c>
      <c r="I997" s="39" t="str">
        <f>_xlfn.XLOOKUP(Table6[[#This Row],[Affected WTG]],'Basic Data'!$A:$A,'Basic Data'!$C:$C)</f>
        <v>MSEDCL</v>
      </c>
      <c r="J997" s="381">
        <f>IFERROR(VLOOKUP(Table6[[#This Row],[Affected WTG]],'Basic Data'!$A$3:$E$56,5,0),"")</f>
        <v>2.564102564102564E-2</v>
      </c>
      <c r="K997" s="105">
        <v>700</v>
      </c>
      <c r="L997" s="39" t="str">
        <f>IFERROR(VLOOKUP(Table6[[#This Row],[Error Code]],'Basic Data'!$T:$U,2,0),"")</f>
        <v>PLC-Converter Communication Error</v>
      </c>
      <c r="M997" s="346" t="s">
        <v>462</v>
      </c>
      <c r="N997" s="105" t="s">
        <v>1270</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46" t="s">
        <v>463</v>
      </c>
      <c r="W997" s="377">
        <f>Table6[[#This Row],[Breakdown Time]]*(1/39)</f>
        <v>1.2820512820512843E-2</v>
      </c>
      <c r="X997" s="337" t="s">
        <v>465</v>
      </c>
      <c r="Y997" s="346" t="s">
        <v>123</v>
      </c>
      <c r="Z997" s="105">
        <v>2001</v>
      </c>
      <c r="AA997" s="107">
        <f>IFERROR((Table6[[#This Row],[Paired WTG Generation for loss calculation]]/24)*Table6[[#This Row],[Breakdown Time]],"")</f>
        <v>41.687500000000071</v>
      </c>
      <c r="AB997" s="107" t="s">
        <v>478</v>
      </c>
      <c r="AC997" s="105"/>
      <c r="AD997" s="105"/>
    </row>
    <row r="998" spans="1:30">
      <c r="A998" s="105">
        <f t="shared" si="15"/>
        <v>997</v>
      </c>
      <c r="B998" s="371">
        <f>YEAR(Table6[[#This Row],[Date]])+IF(MONTH(Table6[[#This Row],[Date]])&gt;=4,1,0)</f>
        <v>2026</v>
      </c>
      <c r="C998" s="372">
        <f>YEAR(Table6[[#This Row],[Date]])</f>
        <v>2025</v>
      </c>
      <c r="D998" s="105" t="s">
        <v>490</v>
      </c>
      <c r="E998" s="119">
        <f>Table6[[#This Row],[Date]]-DAY(Table6[[#This Row],[Date]])+1</f>
        <v>45839</v>
      </c>
      <c r="F998" s="373">
        <v>45855</v>
      </c>
      <c r="G998" s="374" t="s">
        <v>130</v>
      </c>
      <c r="H998" s="39" t="str">
        <f>_xlfn.XLOOKUP(Table6[[#This Row],[Affected WTG]],'Basic Data'!$A:$A,'Basic Data'!$B:$B)</f>
        <v>PWEGPL</v>
      </c>
      <c r="I998" s="39" t="str">
        <f>_xlfn.XLOOKUP(Table6[[#This Row],[Affected WTG]],'Basic Data'!$A:$A,'Basic Data'!$C:$C)</f>
        <v>MSEDCL</v>
      </c>
      <c r="J998" s="381">
        <f>IFERROR(VLOOKUP(Table6[[#This Row],[Affected WTG]],'Basic Data'!$A$3:$E$56,5,0),"")</f>
        <v>2.564102564102564E-2</v>
      </c>
      <c r="K998" s="105">
        <v>5203</v>
      </c>
      <c r="L998" s="39" t="str">
        <f>IFERROR(VLOOKUP(Table6[[#This Row],[Error Code]],'Basic Data'!$T:$U,2,0),"")</f>
        <v>Heating/Coolant Thermal Magnetic Failure</v>
      </c>
      <c r="M998" s="346" t="s">
        <v>462</v>
      </c>
      <c r="N998" s="105" t="s">
        <v>1270</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46" t="s">
        <v>463</v>
      </c>
      <c r="W998" s="377">
        <f>Table6[[#This Row],[Breakdown Time]]*(1/39)</f>
        <v>4.7435897435897399E-2</v>
      </c>
      <c r="X998" s="337" t="s">
        <v>465</v>
      </c>
      <c r="Y998" s="346" t="s">
        <v>129</v>
      </c>
      <c r="Z998" s="105">
        <v>2109</v>
      </c>
      <c r="AA998" s="107">
        <f>IFERROR((Table6[[#This Row],[Paired WTG Generation for loss calculation]]/24)*Table6[[#This Row],[Breakdown Time]],"")</f>
        <v>162.56874999999988</v>
      </c>
      <c r="AB998" s="107" t="s">
        <v>478</v>
      </c>
      <c r="AC998" s="105"/>
      <c r="AD998" s="105"/>
    </row>
    <row r="999" spans="1:30">
      <c r="A999" s="105">
        <f t="shared" si="15"/>
        <v>998</v>
      </c>
      <c r="B999" s="371">
        <f>YEAR(Table6[[#This Row],[Date]])+IF(MONTH(Table6[[#This Row],[Date]])&gt;=4,1,0)</f>
        <v>2026</v>
      </c>
      <c r="C999" s="372">
        <f>YEAR(Table6[[#This Row],[Date]])</f>
        <v>2025</v>
      </c>
      <c r="D999" s="105" t="s">
        <v>490</v>
      </c>
      <c r="E999" s="119">
        <f>Table6[[#This Row],[Date]]-DAY(Table6[[#This Row],[Date]])+1</f>
        <v>45839</v>
      </c>
      <c r="F999" s="373">
        <v>45855</v>
      </c>
      <c r="G999" s="374" t="s">
        <v>131</v>
      </c>
      <c r="H999" s="39" t="str">
        <f>_xlfn.XLOOKUP(Table6[[#This Row],[Affected WTG]],'Basic Data'!$A:$A,'Basic Data'!$B:$B)</f>
        <v>PWEGPL</v>
      </c>
      <c r="I999" s="39" t="str">
        <f>_xlfn.XLOOKUP(Table6[[#This Row],[Affected WTG]],'Basic Data'!$A:$A,'Basic Data'!$C:$C)</f>
        <v>MSEDCL</v>
      </c>
      <c r="J999" s="381">
        <f>IFERROR(VLOOKUP(Table6[[#This Row],[Affected WTG]],'Basic Data'!$A$3:$E$56,5,0),"")</f>
        <v>2.564102564102564E-2</v>
      </c>
      <c r="K999" s="105" t="s">
        <v>466</v>
      </c>
      <c r="L999" s="39" t="str">
        <f>IFERROR(VLOOKUP(Table6[[#This Row],[Error Code]],'Basic Data'!$T:$U,2,0),"")</f>
        <v>Manual Stop</v>
      </c>
      <c r="M999" s="346" t="s">
        <v>462</v>
      </c>
      <c r="N999" s="105" t="s">
        <v>230</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46" t="s">
        <v>463</v>
      </c>
      <c r="W999" s="377">
        <f>Table6[[#This Row],[Breakdown Time]]*(1/39)</f>
        <v>5.0000000000000024E-2</v>
      </c>
      <c r="X999" s="337" t="s">
        <v>465</v>
      </c>
      <c r="Y999" s="346" t="s">
        <v>130</v>
      </c>
      <c r="Z999" s="105">
        <v>2018</v>
      </c>
      <c r="AA999" s="107">
        <f>IFERROR((Table6[[#This Row],[Paired WTG Generation for loss calculation]]/24)*Table6[[#This Row],[Breakdown Time]],"")</f>
        <v>163.96250000000009</v>
      </c>
      <c r="AB999" s="107" t="s">
        <v>478</v>
      </c>
      <c r="AC999" s="105"/>
      <c r="AD999" s="105"/>
    </row>
    <row r="1000" spans="1:30">
      <c r="A1000" s="105">
        <f t="shared" si="15"/>
        <v>999</v>
      </c>
      <c r="B1000" s="371">
        <f>YEAR(Table6[[#This Row],[Date]])+IF(MONTH(Table6[[#This Row],[Date]])&gt;=4,1,0)</f>
        <v>2026</v>
      </c>
      <c r="C1000" s="372">
        <f>YEAR(Table6[[#This Row],[Date]])</f>
        <v>2025</v>
      </c>
      <c r="D1000" s="105" t="s">
        <v>490</v>
      </c>
      <c r="E1000" s="119">
        <f>Table6[[#This Row],[Date]]-DAY(Table6[[#This Row],[Date]])+1</f>
        <v>45839</v>
      </c>
      <c r="F1000" s="373">
        <v>45855</v>
      </c>
      <c r="G1000" s="374" t="s">
        <v>145</v>
      </c>
      <c r="H1000" s="39" t="str">
        <f>_xlfn.XLOOKUP(Table6[[#This Row],[Affected WTG]],'Basic Data'!$A:$A,'Basic Data'!$B:$B)</f>
        <v>PWEGPL</v>
      </c>
      <c r="I1000" s="39" t="str">
        <f>_xlfn.XLOOKUP(Table6[[#This Row],[Affected WTG]],'Basic Data'!$A:$A,'Basic Data'!$C:$C)</f>
        <v>MSEDCL</v>
      </c>
      <c r="J1000" s="381">
        <f>IFERROR(VLOOKUP(Table6[[#This Row],[Affected WTG]],'Basic Data'!$A$3:$E$56,5,0),"")</f>
        <v>2.564102564102564E-2</v>
      </c>
      <c r="K1000" s="105">
        <v>5201</v>
      </c>
      <c r="L1000" s="39" t="str">
        <f>IFERROR(VLOOKUP(Table6[[#This Row],[Error Code]],'Basic Data'!$T:$U,2,0),"")</f>
        <v>Magnetothermic Trigger Of The Stator Protection</v>
      </c>
      <c r="M1000" s="346" t="s">
        <v>462</v>
      </c>
      <c r="N1000" s="105" t="s">
        <v>1270</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46" t="s">
        <v>463</v>
      </c>
      <c r="W1000" s="377">
        <f>Table6[[#This Row],[Breakdown Time]]*(1/39)</f>
        <v>1.581196581196579E-2</v>
      </c>
      <c r="X1000" s="337" t="s">
        <v>465</v>
      </c>
      <c r="Y1000" s="346" t="s">
        <v>139</v>
      </c>
      <c r="Z1000" s="105">
        <v>1850</v>
      </c>
      <c r="AA1000" s="107">
        <f>IFERROR((Table6[[#This Row],[Paired WTG Generation for loss calculation]]/24)*Table6[[#This Row],[Breakdown Time]],"")</f>
        <v>47.53472222222215</v>
      </c>
      <c r="AB1000" s="107" t="s">
        <v>478</v>
      </c>
      <c r="AC1000" s="105"/>
      <c r="AD1000" s="105"/>
    </row>
    <row r="1001" spans="1:30">
      <c r="A1001" s="105">
        <f t="shared" si="15"/>
        <v>1000</v>
      </c>
      <c r="B1001" s="371">
        <f>YEAR(Table6[[#This Row],[Date]])+IF(MONTH(Table6[[#This Row],[Date]])&gt;=4,1,0)</f>
        <v>2026</v>
      </c>
      <c r="C1001" s="372">
        <f>YEAR(Table6[[#This Row],[Date]])</f>
        <v>2025</v>
      </c>
      <c r="D1001" s="105" t="s">
        <v>490</v>
      </c>
      <c r="E1001" s="119">
        <f>Table6[[#This Row],[Date]]-DAY(Table6[[#This Row],[Date]])+1</f>
        <v>45839</v>
      </c>
      <c r="F1001" s="373">
        <v>45855</v>
      </c>
      <c r="G1001" s="374" t="s">
        <v>148</v>
      </c>
      <c r="H1001" s="39" t="str">
        <f>_xlfn.XLOOKUP(Table6[[#This Row],[Affected WTG]],'Basic Data'!$A:$A,'Basic Data'!$B:$B)</f>
        <v>PWEGPL</v>
      </c>
      <c r="I1001" s="39" t="str">
        <f>_xlfn.XLOOKUP(Table6[[#This Row],[Affected WTG]],'Basic Data'!$A:$A,'Basic Data'!$C:$C)</f>
        <v>MSEDCL</v>
      </c>
      <c r="J1001" s="381">
        <f>IFERROR(VLOOKUP(Table6[[#This Row],[Affected WTG]],'Basic Data'!$A$3:$E$56,5,0),"")</f>
        <v>2.564102564102564E-2</v>
      </c>
      <c r="K1001" s="105">
        <v>5201</v>
      </c>
      <c r="L1001" s="39" t="str">
        <f>IFERROR(VLOOKUP(Table6[[#This Row],[Error Code]],'Basic Data'!$T:$U,2,0),"")</f>
        <v>Magnetothermic Trigger Of The Stator Protection</v>
      </c>
      <c r="M1001" s="346" t="s">
        <v>462</v>
      </c>
      <c r="N1001" s="105" t="s">
        <v>1270</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46" t="s">
        <v>463</v>
      </c>
      <c r="W1001" s="377">
        <f>Table6[[#This Row],[Breakdown Time]]*(1/39)</f>
        <v>2.8632478632478597E-2</v>
      </c>
      <c r="X1001" s="337" t="s">
        <v>465</v>
      </c>
      <c r="Y1001" s="346" t="s">
        <v>149</v>
      </c>
      <c r="Z1001" s="105">
        <v>1536</v>
      </c>
      <c r="AA1001" s="107">
        <f>IFERROR((Table6[[#This Row],[Paired WTG Generation for loss calculation]]/24)*Table6[[#This Row],[Breakdown Time]],"")</f>
        <v>71.466666666666583</v>
      </c>
      <c r="AB1001" s="107" t="s">
        <v>478</v>
      </c>
      <c r="AC1001" s="105"/>
      <c r="AD1001" s="105"/>
    </row>
    <row r="1002" spans="1:30">
      <c r="A1002" s="105">
        <f t="shared" si="15"/>
        <v>1001</v>
      </c>
      <c r="B1002" s="371">
        <f>YEAR(Table6[[#This Row],[Date]])+IF(MONTH(Table6[[#This Row],[Date]])&gt;=4,1,0)</f>
        <v>2026</v>
      </c>
      <c r="C1002" s="372">
        <f>YEAR(Table6[[#This Row],[Date]])</f>
        <v>2025</v>
      </c>
      <c r="D1002" s="105" t="s">
        <v>490</v>
      </c>
      <c r="E1002" s="119">
        <f>Table6[[#This Row],[Date]]-DAY(Table6[[#This Row],[Date]])+1</f>
        <v>45839</v>
      </c>
      <c r="F1002" s="373">
        <v>45855</v>
      </c>
      <c r="G1002" s="374" t="s">
        <v>149</v>
      </c>
      <c r="H1002" s="39" t="str">
        <f>_xlfn.XLOOKUP(Table6[[#This Row],[Affected WTG]],'Basic Data'!$A:$A,'Basic Data'!$B:$B)</f>
        <v>PWEGPL</v>
      </c>
      <c r="I1002" s="39" t="str">
        <f>_xlfn.XLOOKUP(Table6[[#This Row],[Affected WTG]],'Basic Data'!$A:$A,'Basic Data'!$C:$C)</f>
        <v>MSEDCL</v>
      </c>
      <c r="J1002" s="381">
        <f>IFERROR(VLOOKUP(Table6[[#This Row],[Affected WTG]],'Basic Data'!$A$3:$E$56,5,0),"")</f>
        <v>2.564102564102564E-2</v>
      </c>
      <c r="K1002" s="105">
        <v>5201</v>
      </c>
      <c r="L1002" s="39" t="str">
        <f>IFERROR(VLOOKUP(Table6[[#This Row],[Error Code]],'Basic Data'!$T:$U,2,0),"")</f>
        <v>Magnetothermic Trigger Of The Stator Protection</v>
      </c>
      <c r="M1002" s="346" t="s">
        <v>462</v>
      </c>
      <c r="N1002" s="105" t="s">
        <v>1270</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46" t="s">
        <v>463</v>
      </c>
      <c r="W1002" s="377">
        <f>Table6[[#This Row],[Breakdown Time]]*(1/39)</f>
        <v>2.4358974358974338E-2</v>
      </c>
      <c r="X1002" s="337" t="s">
        <v>465</v>
      </c>
      <c r="Y1002" s="346" t="s">
        <v>150</v>
      </c>
      <c r="Z1002" s="105">
        <v>1854</v>
      </c>
      <c r="AA1002" s="107">
        <f>IFERROR((Table6[[#This Row],[Paired WTG Generation for loss calculation]]/24)*Table6[[#This Row],[Breakdown Time]],"")</f>
        <v>73.387499999999946</v>
      </c>
      <c r="AB1002" s="107" t="s">
        <v>478</v>
      </c>
      <c r="AC1002" s="105"/>
      <c r="AD1002" s="105"/>
    </row>
    <row r="1003" spans="1:30">
      <c r="A1003" s="105">
        <f t="shared" si="15"/>
        <v>1002</v>
      </c>
      <c r="B1003" s="371">
        <f>YEAR(Table6[[#This Row],[Date]])+IF(MONTH(Table6[[#This Row],[Date]])&gt;=4,1,0)</f>
        <v>2026</v>
      </c>
      <c r="C1003" s="372">
        <f>YEAR(Table6[[#This Row],[Date]])</f>
        <v>2025</v>
      </c>
      <c r="D1003" s="105" t="s">
        <v>490</v>
      </c>
      <c r="E1003" s="119">
        <f>Table6[[#This Row],[Date]]-DAY(Table6[[#This Row],[Date]])+1</f>
        <v>45839</v>
      </c>
      <c r="F1003" s="373">
        <v>45855</v>
      </c>
      <c r="G1003" s="374" t="s">
        <v>153</v>
      </c>
      <c r="H1003" s="39" t="str">
        <f>_xlfn.XLOOKUP(Table6[[#This Row],[Affected WTG]],'Basic Data'!$A:$A,'Basic Data'!$B:$B)</f>
        <v>PWEGPL</v>
      </c>
      <c r="I1003" s="39" t="str">
        <f>_xlfn.XLOOKUP(Table6[[#This Row],[Affected WTG]],'Basic Data'!$A:$A,'Basic Data'!$C:$C)</f>
        <v>MSEDCL</v>
      </c>
      <c r="J1003" s="381">
        <f>IFERROR(VLOOKUP(Table6[[#This Row],[Affected WTG]],'Basic Data'!$A$3:$E$56,5,0),"")</f>
        <v>2.564102564102564E-2</v>
      </c>
      <c r="K1003" s="105">
        <v>2118</v>
      </c>
      <c r="L1003" s="39" t="str">
        <f>IFERROR(VLOOKUP(Table6[[#This Row],[Error Code]],'Basic Data'!$T:$U,2,0),"")</f>
        <v>Bus Error - Interbus Failure</v>
      </c>
      <c r="M1003" s="346" t="s">
        <v>462</v>
      </c>
      <c r="N1003" s="105" t="s">
        <v>1270</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46" t="s">
        <v>463</v>
      </c>
      <c r="W1003" s="377">
        <f>Table6[[#This Row],[Breakdown Time]]*(1/39)</f>
        <v>2.2222222222222209E-2</v>
      </c>
      <c r="X1003" s="337" t="s">
        <v>465</v>
      </c>
      <c r="Y1003" s="346" t="s">
        <v>139</v>
      </c>
      <c r="Z1003" s="105">
        <v>1850</v>
      </c>
      <c r="AA1003" s="107">
        <f>IFERROR((Table6[[#This Row],[Paired WTG Generation for loss calculation]]/24)*Table6[[#This Row],[Breakdown Time]],"")</f>
        <v>66.805555555555515</v>
      </c>
      <c r="AB1003" s="107" t="s">
        <v>478</v>
      </c>
      <c r="AC1003" s="105"/>
      <c r="AD1003" s="105"/>
    </row>
    <row r="1004" spans="1:30">
      <c r="A1004" s="105">
        <f t="shared" si="15"/>
        <v>1003</v>
      </c>
      <c r="B1004" s="371">
        <f>YEAR(Table6[[#This Row],[Date]])+IF(MONTH(Table6[[#This Row],[Date]])&gt;=4,1,0)</f>
        <v>2026</v>
      </c>
      <c r="C1004" s="372">
        <f>YEAR(Table6[[#This Row],[Date]])</f>
        <v>2025</v>
      </c>
      <c r="D1004" s="105" t="s">
        <v>490</v>
      </c>
      <c r="E1004" s="119">
        <f>Table6[[#This Row],[Date]]-DAY(Table6[[#This Row],[Date]])+1</f>
        <v>45839</v>
      </c>
      <c r="F1004" s="373">
        <v>45855</v>
      </c>
      <c r="G1004" s="374" t="s">
        <v>126</v>
      </c>
      <c r="H1004" s="39" t="str">
        <f>_xlfn.XLOOKUP(Table6[[#This Row],[Affected WTG]],'Basic Data'!$A:$A,'Basic Data'!$B:$B)</f>
        <v>PWEGPL</v>
      </c>
      <c r="I1004" s="39" t="str">
        <f>_xlfn.XLOOKUP(Table6[[#This Row],[Affected WTG]],'Basic Data'!$A:$A,'Basic Data'!$C:$C)</f>
        <v>MSEDCL</v>
      </c>
      <c r="J1004" s="381">
        <f>IFERROR(VLOOKUP(Table6[[#This Row],[Affected WTG]],'Basic Data'!$A$3:$E$56,5,0),"")</f>
        <v>2.564102564102564E-2</v>
      </c>
      <c r="K1004" s="105">
        <v>1822</v>
      </c>
      <c r="L1004" s="39" t="str">
        <f>IFERROR(VLOOKUP(Table6[[#This Row],[Error Code]],'Basic Data'!$T:$U,2,0),"")</f>
        <v>Discussion Due To Low Temperature</v>
      </c>
      <c r="M1004" s="346" t="s">
        <v>462</v>
      </c>
      <c r="N1004" s="105" t="s">
        <v>1270</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46" t="s">
        <v>463</v>
      </c>
      <c r="W1004" s="377">
        <f>Table6[[#This Row],[Breakdown Time]]*(1/39)</f>
        <v>2.6068376068376111E-2</v>
      </c>
      <c r="X1004" s="337" t="s">
        <v>465</v>
      </c>
      <c r="Y1004" s="346" t="s">
        <v>123</v>
      </c>
      <c r="Z1004" s="105">
        <v>2001</v>
      </c>
      <c r="AA1004" s="107">
        <f>IFERROR((Table6[[#This Row],[Paired WTG Generation for loss calculation]]/24)*Table6[[#This Row],[Breakdown Time]],"")</f>
        <v>84.764583333333476</v>
      </c>
      <c r="AB1004" s="107" t="s">
        <v>478</v>
      </c>
      <c r="AC1004" s="105"/>
      <c r="AD1004" s="105"/>
    </row>
    <row r="1005" spans="1:30">
      <c r="A1005" s="105">
        <f t="shared" si="15"/>
        <v>1004</v>
      </c>
      <c r="B1005" s="371">
        <f>YEAR(Table6[[#This Row],[Date]])+IF(MONTH(Table6[[#This Row],[Date]])&gt;=4,1,0)</f>
        <v>2026</v>
      </c>
      <c r="C1005" s="372">
        <f>YEAR(Table6[[#This Row],[Date]])</f>
        <v>2025</v>
      </c>
      <c r="D1005" s="105" t="s">
        <v>490</v>
      </c>
      <c r="E1005" s="119">
        <f>Table6[[#This Row],[Date]]-DAY(Table6[[#This Row],[Date]])+1</f>
        <v>45839</v>
      </c>
      <c r="F1005" s="373">
        <v>45855</v>
      </c>
      <c r="G1005" s="374" t="s">
        <v>130</v>
      </c>
      <c r="H1005" s="39" t="str">
        <f>_xlfn.XLOOKUP(Table6[[#This Row],[Affected WTG]],'Basic Data'!$A:$A,'Basic Data'!$B:$B)</f>
        <v>PWEGPL</v>
      </c>
      <c r="I1005" s="39" t="str">
        <f>_xlfn.XLOOKUP(Table6[[#This Row],[Affected WTG]],'Basic Data'!$A:$A,'Basic Data'!$C:$C)</f>
        <v>MSEDCL</v>
      </c>
      <c r="J1005" s="381">
        <f>IFERROR(VLOOKUP(Table6[[#This Row],[Affected WTG]],'Basic Data'!$A$3:$E$56,5,0),"")</f>
        <v>2.564102564102564E-2</v>
      </c>
      <c r="K1005" s="105">
        <v>208</v>
      </c>
      <c r="L1005" s="39" t="str">
        <f>IFERROR(VLOOKUP(Table6[[#This Row],[Error Code]],'Basic Data'!$T:$U,2,0),"")</f>
        <v>HU Pump Drive Failure</v>
      </c>
      <c r="M1005" s="346" t="s">
        <v>462</v>
      </c>
      <c r="N1005" s="105" t="s">
        <v>1270</v>
      </c>
      <c r="O1005" s="330">
        <v>0.75347222222222221</v>
      </c>
      <c r="P1005" s="330">
        <v>0.76041666666666663</v>
      </c>
      <c r="Q1005" s="330">
        <v>0.78888888888888886</v>
      </c>
      <c r="R1005" s="382">
        <f>IF(Table6[[#This Row],[Work Start TimeStamp]]="","",(Table6[[#This Row],[Work Start TimeStamp]]-Table6[[#This Row],[Fault Start TimeStamp]])*24)</f>
        <v>0.16666666666666607</v>
      </c>
      <c r="S1005" s="383">
        <f>(Table6[[#This Row],[Fault Clearance time]]-Table6[[#This Row],[Work Start TimeStamp]])*24</f>
        <v>0.68333333333333357</v>
      </c>
      <c r="T1005" s="384">
        <f>(Table6[[#This Row],[Fault Clearance time]]-Table6[[#This Row],[Fault Start TimeStamp]])*24</f>
        <v>0.84999999999999964</v>
      </c>
      <c r="U1005" s="346" t="s">
        <v>1380</v>
      </c>
      <c r="V1005" s="346" t="s">
        <v>463</v>
      </c>
      <c r="W1005" s="377">
        <f>Table6[[#This Row],[Breakdown Time]]*(1/39)</f>
        <v>2.1794871794871783E-2</v>
      </c>
      <c r="X1005" s="337" t="s">
        <v>465</v>
      </c>
      <c r="Y1005" s="346" t="s">
        <v>129</v>
      </c>
      <c r="Z1005" s="105">
        <v>2109</v>
      </c>
      <c r="AA1005" s="107">
        <f>IFERROR((Table6[[#This Row],[Paired WTG Generation for loss calculation]]/24)*Table6[[#This Row],[Breakdown Time]],"")</f>
        <v>74.693749999999966</v>
      </c>
      <c r="AB1005" s="107" t="s">
        <v>478</v>
      </c>
      <c r="AC1005" s="105"/>
      <c r="AD1005" s="105"/>
    </row>
    <row r="1006" spans="1:30">
      <c r="A1006" s="105">
        <f t="shared" si="15"/>
        <v>1005</v>
      </c>
      <c r="B1006" s="371">
        <f>YEAR(Table6[[#This Row],[Date]])+IF(MONTH(Table6[[#This Row],[Date]])&gt;=4,1,0)</f>
        <v>2026</v>
      </c>
      <c r="C1006" s="372">
        <f>YEAR(Table6[[#This Row],[Date]])</f>
        <v>2025</v>
      </c>
      <c r="D1006" s="105" t="s">
        <v>490</v>
      </c>
      <c r="E1006" s="119">
        <f>Table6[[#This Row],[Date]]-DAY(Table6[[#This Row],[Date]])+1</f>
        <v>45839</v>
      </c>
      <c r="F1006" s="373">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105"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77">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c r="AC1006" s="105"/>
      <c r="AD1006" s="105"/>
    </row>
    <row r="1007" spans="1:30">
      <c r="A1007" s="105">
        <f t="shared" si="15"/>
        <v>1006</v>
      </c>
      <c r="B1007" s="371">
        <f>YEAR(Table6[[#This Row],[Date]])+IF(MONTH(Table6[[#This Row],[Date]])&gt;=4,1,0)</f>
        <v>2026</v>
      </c>
      <c r="C1007" s="372">
        <f>YEAR(Table6[[#This Row],[Date]])</f>
        <v>2025</v>
      </c>
      <c r="D1007" s="105" t="s">
        <v>490</v>
      </c>
      <c r="E1007" s="119">
        <f>Table6[[#This Row],[Date]]-DAY(Table6[[#This Row],[Date]])+1</f>
        <v>45839</v>
      </c>
      <c r="F1007" s="373">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105"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77">
        <f>Table6[[#This Row],[Breakdown Time]]*(1/39)</f>
        <v>0.61537749287749288</v>
      </c>
      <c r="X1007" s="336" t="s">
        <v>1212</v>
      </c>
      <c r="Y1007" s="352" t="s">
        <v>143</v>
      </c>
      <c r="Z1007" s="105">
        <v>4892</v>
      </c>
      <c r="AA1007" s="107">
        <f>IFERROR((Table6[[#This Row],[Paired WTG Generation for loss calculation]]/24)*Table6[[#This Row],[Breakdown Time]],"")</f>
        <v>4891.9433796296307</v>
      </c>
      <c r="AB1007" s="107" t="s">
        <v>478</v>
      </c>
      <c r="AC1007" s="105"/>
      <c r="AD1007" s="105"/>
    </row>
    <row r="1008" spans="1:30">
      <c r="A1008" s="105">
        <f t="shared" si="15"/>
        <v>1007</v>
      </c>
      <c r="B1008" s="371">
        <f>YEAR(Table6[[#This Row],[Date]])+IF(MONTH(Table6[[#This Row],[Date]])&gt;=4,1,0)</f>
        <v>2026</v>
      </c>
      <c r="C1008" s="372">
        <f>YEAR(Table6[[#This Row],[Date]])</f>
        <v>2025</v>
      </c>
      <c r="D1008" s="105" t="s">
        <v>490</v>
      </c>
      <c r="E1008" s="119">
        <f>Table6[[#This Row],[Date]]-DAY(Table6[[#This Row],[Date]])+1</f>
        <v>45839</v>
      </c>
      <c r="F1008" s="373">
        <v>45856</v>
      </c>
      <c r="G1008" s="374" t="s">
        <v>126</v>
      </c>
      <c r="H1008" s="39" t="str">
        <f>_xlfn.XLOOKUP(Table6[[#This Row],[Affected WTG]],'Basic Data'!$A:$A,'Basic Data'!$B:$B)</f>
        <v>PWEGPL</v>
      </c>
      <c r="I1008" s="39" t="str">
        <f>_xlfn.XLOOKUP(Table6[[#This Row],[Affected WTG]],'Basic Data'!$A:$A,'Basic Data'!$C:$C)</f>
        <v>MSEDCL</v>
      </c>
      <c r="J1008" s="381">
        <f>IFERROR(VLOOKUP(Table6[[#This Row],[Affected WTG]],'Basic Data'!$A$3:$E$56,5,0),"")</f>
        <v>2.564102564102564E-2</v>
      </c>
      <c r="K1008" s="105">
        <v>1822</v>
      </c>
      <c r="L1008" s="39" t="str">
        <f>IFERROR(VLOOKUP(Table6[[#This Row],[Error Code]],'Basic Data'!$T:$U,2,0),"")</f>
        <v>Discussion Due To Low Temperature</v>
      </c>
      <c r="M1008" s="346" t="s">
        <v>462</v>
      </c>
      <c r="N1008" s="105" t="s">
        <v>1270</v>
      </c>
      <c r="O1008" s="330">
        <v>0.46527777777777779</v>
      </c>
      <c r="P1008" s="330">
        <v>0.47916666666666669</v>
      </c>
      <c r="Q1008" s="330">
        <v>0.59722222222222221</v>
      </c>
      <c r="R1008" s="382">
        <f>IF(Table6[[#This Row],[Work Start TimeStamp]]="","",(Table6[[#This Row],[Work Start TimeStamp]]-Table6[[#This Row],[Fault Start TimeStamp]])*24)</f>
        <v>0.33333333333333348</v>
      </c>
      <c r="S1008" s="382">
        <f>(Table6[[#This Row],[Fault Clearance time]]-Table6[[#This Row],[Work Start TimeStamp]])*24</f>
        <v>2.8333333333333326</v>
      </c>
      <c r="T1008" s="385">
        <f>(Table6[[#This Row],[Fault Clearance time]]-Table6[[#This Row],[Fault Start TimeStamp]])*24</f>
        <v>3.1666666666666661</v>
      </c>
      <c r="U1008" s="346" t="s">
        <v>1382</v>
      </c>
      <c r="V1008" s="346" t="s">
        <v>463</v>
      </c>
      <c r="W1008" s="377">
        <f>Table6[[#This Row],[Breakdown Time]]*(1/39)</f>
        <v>8.1196581196581172E-2</v>
      </c>
      <c r="X1008" s="337" t="s">
        <v>465</v>
      </c>
      <c r="Y1008" s="346" t="s">
        <v>127</v>
      </c>
      <c r="Z1008" s="105">
        <v>4885</v>
      </c>
      <c r="AA1008" s="107">
        <f>IFERROR((Table6[[#This Row],[Paired WTG Generation for loss calculation]]/24)*Table6[[#This Row],[Breakdown Time]],"")</f>
        <v>644.54861111111097</v>
      </c>
      <c r="AB1008" s="107" t="s">
        <v>478</v>
      </c>
      <c r="AC1008" s="105"/>
      <c r="AD1008" s="105"/>
    </row>
    <row r="1009" spans="1:30">
      <c r="A1009" s="105">
        <f t="shared" si="15"/>
        <v>1008</v>
      </c>
      <c r="B1009" s="371">
        <f>YEAR(Table6[[#This Row],[Date]])+IF(MONTH(Table6[[#This Row],[Date]])&gt;=4,1,0)</f>
        <v>2026</v>
      </c>
      <c r="C1009" s="372">
        <f>YEAR(Table6[[#This Row],[Date]])</f>
        <v>2025</v>
      </c>
      <c r="D1009" s="105" t="s">
        <v>490</v>
      </c>
      <c r="E1009" s="119">
        <f>Table6[[#This Row],[Date]]-DAY(Table6[[#This Row],[Date]])+1</f>
        <v>45839</v>
      </c>
      <c r="F1009" s="373">
        <v>45856</v>
      </c>
      <c r="G1009" s="374" t="s">
        <v>130</v>
      </c>
      <c r="H1009" s="39" t="str">
        <f>_xlfn.XLOOKUP(Table6[[#This Row],[Affected WTG]],'Basic Data'!$A:$A,'Basic Data'!$B:$B)</f>
        <v>PWEGPL</v>
      </c>
      <c r="I1009" s="39" t="str">
        <f>_xlfn.XLOOKUP(Table6[[#This Row],[Affected WTG]],'Basic Data'!$A:$A,'Basic Data'!$C:$C)</f>
        <v>MSEDCL</v>
      </c>
      <c r="J1009" s="381">
        <f>IFERROR(VLOOKUP(Table6[[#This Row],[Affected WTG]],'Basic Data'!$A$3:$E$56,5,0),"")</f>
        <v>2.564102564102564E-2</v>
      </c>
      <c r="K1009" s="105">
        <v>700</v>
      </c>
      <c r="L1009" s="39" t="str">
        <f>IFERROR(VLOOKUP(Table6[[#This Row],[Error Code]],'Basic Data'!$T:$U,2,0),"")</f>
        <v>PLC-Converter Communication Error</v>
      </c>
      <c r="M1009" s="346" t="s">
        <v>462</v>
      </c>
      <c r="N1009" s="105" t="s">
        <v>1270</v>
      </c>
      <c r="O1009" s="330">
        <v>0.70833333333333337</v>
      </c>
      <c r="P1009" s="330">
        <v>0.71388888888888891</v>
      </c>
      <c r="Q1009" s="330">
        <v>0.85833333333333328</v>
      </c>
      <c r="R1009" s="382">
        <f>IF(Table6[[#This Row],[Work Start TimeStamp]]="","",(Table6[[#This Row],[Work Start TimeStamp]]-Table6[[#This Row],[Fault Start TimeStamp]])*24)</f>
        <v>0.13333333333333286</v>
      </c>
      <c r="S1009" s="382">
        <f>(Table6[[#This Row],[Fault Clearance time]]-Table6[[#This Row],[Work Start TimeStamp]])*24</f>
        <v>3.466666666666665</v>
      </c>
      <c r="T1009" s="385">
        <f>(Table6[[#This Row],[Fault Clearance time]]-Table6[[#This Row],[Fault Start TimeStamp]])*24</f>
        <v>3.5999999999999979</v>
      </c>
      <c r="U1009" s="346" t="s">
        <v>1383</v>
      </c>
      <c r="V1009" s="346" t="s">
        <v>463</v>
      </c>
      <c r="W1009" s="377">
        <f>Table6[[#This Row],[Breakdown Time]]*(1/39)</f>
        <v>9.2307692307692243E-2</v>
      </c>
      <c r="X1009" s="337" t="s">
        <v>465</v>
      </c>
      <c r="Y1009" s="346" t="s">
        <v>131</v>
      </c>
      <c r="Z1009" s="105">
        <v>4847</v>
      </c>
      <c r="AA1009" s="107">
        <f>IFERROR((Table6[[#This Row],[Paired WTG Generation for loss calculation]]/24)*Table6[[#This Row],[Breakdown Time]],"")</f>
        <v>727.04999999999961</v>
      </c>
      <c r="AB1009" s="107" t="s">
        <v>478</v>
      </c>
      <c r="AC1009" s="105"/>
      <c r="AD1009" s="105"/>
    </row>
    <row r="1010" spans="1:30">
      <c r="A1010" s="105">
        <f t="shared" si="15"/>
        <v>1009</v>
      </c>
      <c r="B1010" s="371">
        <f>YEAR(Table6[[#This Row],[Date]])+IF(MONTH(Table6[[#This Row],[Date]])&gt;=4,1,0)</f>
        <v>2026</v>
      </c>
      <c r="C1010" s="372">
        <f>YEAR(Table6[[#This Row],[Date]])</f>
        <v>2025</v>
      </c>
      <c r="D1010" s="105" t="s">
        <v>490</v>
      </c>
      <c r="E1010" s="119">
        <f>Table6[[#This Row],[Date]]-DAY(Table6[[#This Row],[Date]])+1</f>
        <v>45839</v>
      </c>
      <c r="F1010" s="373">
        <v>45856</v>
      </c>
      <c r="G1010" s="374" t="s">
        <v>139</v>
      </c>
      <c r="H1010" s="39" t="str">
        <f>_xlfn.XLOOKUP(Table6[[#This Row],[Affected WTG]],'Basic Data'!$A:$A,'Basic Data'!$B:$B)</f>
        <v>PWEGPL</v>
      </c>
      <c r="I1010" s="39" t="str">
        <f>_xlfn.XLOOKUP(Table6[[#This Row],[Affected WTG]],'Basic Data'!$A:$A,'Basic Data'!$C:$C)</f>
        <v>MSEDCL</v>
      </c>
      <c r="J1010" s="381">
        <f>IFERROR(VLOOKUP(Table6[[#This Row],[Affected WTG]],'Basic Data'!$A$3:$E$56,5,0),"")</f>
        <v>2.564102564102564E-2</v>
      </c>
      <c r="K1010" s="105">
        <v>5201</v>
      </c>
      <c r="L1010" s="39" t="str">
        <f>IFERROR(VLOOKUP(Table6[[#This Row],[Error Code]],'Basic Data'!$T:$U,2,0),"")</f>
        <v>Magnetothermic Trigger Of The Stator Protection</v>
      </c>
      <c r="M1010" s="346" t="s">
        <v>462</v>
      </c>
      <c r="N1010" s="105" t="s">
        <v>1270</v>
      </c>
      <c r="O1010" s="330">
        <v>0.64583333333333337</v>
      </c>
      <c r="P1010" s="330">
        <v>0.66249999999999998</v>
      </c>
      <c r="Q1010" s="330">
        <v>0.67847222222222225</v>
      </c>
      <c r="R1010" s="382">
        <f>IF(Table6[[#This Row],[Work Start TimeStamp]]="","",(Table6[[#This Row],[Work Start TimeStamp]]-Table6[[#This Row],[Fault Start TimeStamp]])*24)</f>
        <v>0.39999999999999858</v>
      </c>
      <c r="S1010" s="382">
        <f>(Table6[[#This Row],[Fault Clearance time]]-Table6[[#This Row],[Work Start TimeStamp]])*24</f>
        <v>0.38333333333333464</v>
      </c>
      <c r="T1010" s="385">
        <f>(Table6[[#This Row],[Fault Clearance time]]-Table6[[#This Row],[Fault Start TimeStamp]])*24</f>
        <v>0.78333333333333321</v>
      </c>
      <c r="U1010" s="346" t="s">
        <v>1384</v>
      </c>
      <c r="V1010" s="346" t="s">
        <v>463</v>
      </c>
      <c r="W1010" s="377">
        <f>Table6[[#This Row],[Breakdown Time]]*(1/39)</f>
        <v>2.008547008547008E-2</v>
      </c>
      <c r="X1010" s="337" t="s">
        <v>465</v>
      </c>
      <c r="Y1010" s="346" t="s">
        <v>145</v>
      </c>
      <c r="Z1010" s="105">
        <v>2901</v>
      </c>
      <c r="AA1010" s="107">
        <f>IFERROR((Table6[[#This Row],[Paired WTG Generation for loss calculation]]/24)*Table6[[#This Row],[Breakdown Time]],"")</f>
        <v>94.685416666666654</v>
      </c>
      <c r="AB1010" s="107" t="s">
        <v>478</v>
      </c>
      <c r="AC1010" s="105"/>
      <c r="AD1010" s="105"/>
    </row>
    <row r="1011" spans="1:30">
      <c r="A1011" s="105">
        <f t="shared" si="15"/>
        <v>1010</v>
      </c>
      <c r="B1011" s="371">
        <f>YEAR(Table6[[#This Row],[Date]])+IF(MONTH(Table6[[#This Row],[Date]])&gt;=4,1,0)</f>
        <v>2026</v>
      </c>
      <c r="C1011" s="372">
        <f>YEAR(Table6[[#This Row],[Date]])</f>
        <v>2025</v>
      </c>
      <c r="D1011" s="105" t="s">
        <v>490</v>
      </c>
      <c r="E1011" s="119">
        <f>Table6[[#This Row],[Date]]-DAY(Table6[[#This Row],[Date]])+1</f>
        <v>45839</v>
      </c>
      <c r="F1011" s="373">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105"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77">
        <f>Table6[[#This Row],[Breakdown Time]]*(1/39)</f>
        <v>0.61537749287749288</v>
      </c>
      <c r="X1011" s="336" t="s">
        <v>465</v>
      </c>
      <c r="Y1011" s="352" t="s">
        <v>143</v>
      </c>
      <c r="Z1011" s="105">
        <v>4262</v>
      </c>
      <c r="AA1011" s="107">
        <f>IFERROR((Table6[[#This Row],[Paired WTG Generation for loss calculation]]/24)*Table6[[#This Row],[Breakdown Time]],"")</f>
        <v>4261.9506712962966</v>
      </c>
      <c r="AB1011" s="107" t="s">
        <v>478</v>
      </c>
      <c r="AC1011" s="105"/>
      <c r="AD1011" s="105"/>
    </row>
    <row r="1012" spans="1:30">
      <c r="A1012" s="105">
        <f t="shared" si="15"/>
        <v>1011</v>
      </c>
      <c r="B1012" s="371">
        <f>YEAR(Table6[[#This Row],[Date]])+IF(MONTH(Table6[[#This Row],[Date]])&gt;=4,1,0)</f>
        <v>2026</v>
      </c>
      <c r="C1012" s="372">
        <f>YEAR(Table6[[#This Row],[Date]])</f>
        <v>2025</v>
      </c>
      <c r="D1012" s="105" t="s">
        <v>490</v>
      </c>
      <c r="E1012" s="119">
        <f>Table6[[#This Row],[Date]]-DAY(Table6[[#This Row],[Date]])+1</f>
        <v>45839</v>
      </c>
      <c r="F1012" s="373">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105"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77">
        <f>Table6[[#This Row],[Breakdown Time]]*(1/39)</f>
        <v>0.61537749287749288</v>
      </c>
      <c r="X1012" s="336" t="s">
        <v>1212</v>
      </c>
      <c r="Y1012" s="352" t="s">
        <v>143</v>
      </c>
      <c r="Z1012" s="105">
        <v>4262</v>
      </c>
      <c r="AA1012" s="107">
        <f>IFERROR((Table6[[#This Row],[Paired WTG Generation for loss calculation]]/24)*Table6[[#This Row],[Breakdown Time]],"")</f>
        <v>4261.9506712962966</v>
      </c>
      <c r="AB1012" s="107" t="s">
        <v>478</v>
      </c>
      <c r="AC1012" s="105"/>
      <c r="AD1012" s="105"/>
    </row>
    <row r="1013" spans="1:30">
      <c r="A1013" s="105">
        <f t="shared" si="15"/>
        <v>1012</v>
      </c>
      <c r="B1013" s="371">
        <f>YEAR(Table6[[#This Row],[Date]])+IF(MONTH(Table6[[#This Row],[Date]])&gt;=4,1,0)</f>
        <v>2026</v>
      </c>
      <c r="C1013" s="372">
        <f>YEAR(Table6[[#This Row],[Date]])</f>
        <v>2025</v>
      </c>
      <c r="D1013" s="105" t="s">
        <v>490</v>
      </c>
      <c r="E1013" s="119">
        <f>Table6[[#This Row],[Date]]-DAY(Table6[[#This Row],[Date]])+1</f>
        <v>45839</v>
      </c>
      <c r="F1013" s="373">
        <v>45857</v>
      </c>
      <c r="G1013" s="374" t="s">
        <v>115</v>
      </c>
      <c r="H1013" s="39" t="str">
        <f>_xlfn.XLOOKUP(Table6[[#This Row],[Affected WTG]],'Basic Data'!$A:$A,'Basic Data'!$B:$B)</f>
        <v>PWEGPL</v>
      </c>
      <c r="I1013" s="39" t="str">
        <f>_xlfn.XLOOKUP(Table6[[#This Row],[Affected WTG]],'Basic Data'!$A:$A,'Basic Data'!$C:$C)</f>
        <v>MSEDCL</v>
      </c>
      <c r="J1013" s="381">
        <f>IFERROR(VLOOKUP(Table6[[#This Row],[Affected WTG]],'Basic Data'!$A$3:$E$56,5,0),"")</f>
        <v>2.564102564102564E-2</v>
      </c>
      <c r="K1013" s="105">
        <v>207</v>
      </c>
      <c r="L1013" s="39" t="str">
        <f>IFERROR(VLOOKUP(Table6[[#This Row],[Error Code]],'Basic Data'!$T:$U,2,0),"")</f>
        <v>Hydraulic Oil High Temperature</v>
      </c>
      <c r="M1013" s="346" t="s">
        <v>462</v>
      </c>
      <c r="N1013" s="105" t="s">
        <v>1270</v>
      </c>
      <c r="O1013" s="330">
        <v>0.38194444444444442</v>
      </c>
      <c r="P1013" s="330">
        <v>0.40416666666666667</v>
      </c>
      <c r="Q1013" s="330">
        <v>0.40555555555555556</v>
      </c>
      <c r="R1013" s="382">
        <f>IF(Table6[[#This Row],[Work Start TimeStamp]]="","",(Table6[[#This Row],[Work Start TimeStamp]]-Table6[[#This Row],[Fault Start TimeStamp]])*24)</f>
        <v>0.5333333333333341</v>
      </c>
      <c r="S1013" s="382">
        <f>(Table6[[#This Row],[Fault Clearance time]]-Table6[[#This Row],[Work Start TimeStamp]])*24</f>
        <v>3.3333333333333215E-2</v>
      </c>
      <c r="T1013" s="385">
        <f>(Table6[[#This Row],[Fault Clearance time]]-Table6[[#This Row],[Fault Start TimeStamp]])*24</f>
        <v>0.56666666666666732</v>
      </c>
      <c r="U1013" s="346" t="s">
        <v>493</v>
      </c>
      <c r="V1013" s="346" t="s">
        <v>463</v>
      </c>
      <c r="W1013" s="377">
        <f>Table6[[#This Row],[Breakdown Time]]*(1/39)</f>
        <v>1.4529914529914546E-2</v>
      </c>
      <c r="X1013" s="337" t="s">
        <v>465</v>
      </c>
      <c r="Y1013" s="346" t="s">
        <v>121</v>
      </c>
      <c r="Z1013" s="105">
        <v>4412</v>
      </c>
      <c r="AA1013" s="107">
        <f>IFERROR((Table6[[#This Row],[Paired WTG Generation for loss calculation]]/24)*Table6[[#This Row],[Breakdown Time]],"")</f>
        <v>104.17222222222235</v>
      </c>
      <c r="AB1013" s="107" t="s">
        <v>478</v>
      </c>
      <c r="AC1013" s="105"/>
      <c r="AD1013" s="105"/>
    </row>
    <row r="1014" spans="1:30">
      <c r="A1014" s="105">
        <f t="shared" si="15"/>
        <v>1013</v>
      </c>
      <c r="B1014" s="371">
        <f>YEAR(Table6[[#This Row],[Date]])+IF(MONTH(Table6[[#This Row],[Date]])&gt;=4,1,0)</f>
        <v>2026</v>
      </c>
      <c r="C1014" s="372">
        <f>YEAR(Table6[[#This Row],[Date]])</f>
        <v>2025</v>
      </c>
      <c r="D1014" s="105" t="s">
        <v>490</v>
      </c>
      <c r="E1014" s="119">
        <f>Table6[[#This Row],[Date]]-DAY(Table6[[#This Row],[Date]])+1</f>
        <v>45839</v>
      </c>
      <c r="F1014" s="373">
        <v>45857</v>
      </c>
      <c r="G1014" s="374" t="s">
        <v>118</v>
      </c>
      <c r="H1014" s="39" t="str">
        <f>_xlfn.XLOOKUP(Table6[[#This Row],[Affected WTG]],'Basic Data'!$A:$A,'Basic Data'!$B:$B)</f>
        <v>PWEGPL</v>
      </c>
      <c r="I1014" s="39" t="str">
        <f>_xlfn.XLOOKUP(Table6[[#This Row],[Affected WTG]],'Basic Data'!$A:$A,'Basic Data'!$C:$C)</f>
        <v>MSEDCL</v>
      </c>
      <c r="J1014" s="381">
        <f>IFERROR(VLOOKUP(Table6[[#This Row],[Affected WTG]],'Basic Data'!$A$3:$E$56,5,0),"")</f>
        <v>2.564102564102564E-2</v>
      </c>
      <c r="K1014" s="105">
        <v>5263</v>
      </c>
      <c r="L1014" s="39" t="str">
        <f>IFERROR(VLOOKUP(Table6[[#This Row],[Error Code]],'Basic Data'!$T:$U,2,0),"")</f>
        <v>CAN Communication Failure</v>
      </c>
      <c r="M1014" s="346" t="s">
        <v>462</v>
      </c>
      <c r="N1014" s="105" t="s">
        <v>1270</v>
      </c>
      <c r="O1014" s="330">
        <v>0.38819444444444445</v>
      </c>
      <c r="P1014" s="330">
        <v>0.41736111111111113</v>
      </c>
      <c r="Q1014" s="330">
        <v>0.41805555555555557</v>
      </c>
      <c r="R1014" s="382">
        <f>IF(Table6[[#This Row],[Work Start TimeStamp]]="","",(Table6[[#This Row],[Work Start TimeStamp]]-Table6[[#This Row],[Fault Start TimeStamp]])*24)</f>
        <v>0.70000000000000018</v>
      </c>
      <c r="S1014" s="382">
        <f>(Table6[[#This Row],[Fault Clearance time]]-Table6[[#This Row],[Work Start TimeStamp]])*24</f>
        <v>1.6666666666666607E-2</v>
      </c>
      <c r="T1014" s="385">
        <f>(Table6[[#This Row],[Fault Clearance time]]-Table6[[#This Row],[Fault Start TimeStamp]])*24</f>
        <v>0.71666666666666679</v>
      </c>
      <c r="U1014" s="346" t="s">
        <v>493</v>
      </c>
      <c r="V1014" s="346" t="s">
        <v>463</v>
      </c>
      <c r="W1014" s="377">
        <f>Table6[[#This Row],[Breakdown Time]]*(1/39)</f>
        <v>1.837606837606838E-2</v>
      </c>
      <c r="X1014" s="337" t="s">
        <v>465</v>
      </c>
      <c r="Y1014" s="346" t="s">
        <v>117</v>
      </c>
      <c r="Z1014" s="105">
        <v>4407</v>
      </c>
      <c r="AA1014" s="107">
        <f>IFERROR((Table6[[#This Row],[Paired WTG Generation for loss calculation]]/24)*Table6[[#This Row],[Breakdown Time]],"")</f>
        <v>131.59791666666669</v>
      </c>
      <c r="AB1014" s="107" t="s">
        <v>478</v>
      </c>
      <c r="AC1014" s="105"/>
      <c r="AD1014" s="105"/>
    </row>
    <row r="1015" spans="1:30">
      <c r="A1015" s="105">
        <f t="shared" si="15"/>
        <v>1014</v>
      </c>
      <c r="B1015" s="371">
        <f>YEAR(Table6[[#This Row],[Date]])+IF(MONTH(Table6[[#This Row],[Date]])&gt;=4,1,0)</f>
        <v>2026</v>
      </c>
      <c r="C1015" s="372">
        <f>YEAR(Table6[[#This Row],[Date]])</f>
        <v>2025</v>
      </c>
      <c r="D1015" s="105" t="s">
        <v>490</v>
      </c>
      <c r="E1015" s="119">
        <f>Table6[[#This Row],[Date]]-DAY(Table6[[#This Row],[Date]])+1</f>
        <v>45839</v>
      </c>
      <c r="F1015" s="373">
        <v>45857</v>
      </c>
      <c r="G1015" s="374" t="s">
        <v>125</v>
      </c>
      <c r="H1015" s="39" t="str">
        <f>_xlfn.XLOOKUP(Table6[[#This Row],[Affected WTG]],'Basic Data'!$A:$A,'Basic Data'!$B:$B)</f>
        <v>PWEGPL</v>
      </c>
      <c r="I1015" s="39" t="str">
        <f>_xlfn.XLOOKUP(Table6[[#This Row],[Affected WTG]],'Basic Data'!$A:$A,'Basic Data'!$C:$C)</f>
        <v>MSEDCL</v>
      </c>
      <c r="J1015" s="381">
        <f>IFERROR(VLOOKUP(Table6[[#This Row],[Affected WTG]],'Basic Data'!$A$3:$E$56,5,0),"")</f>
        <v>2.564102564102564E-2</v>
      </c>
      <c r="K1015" s="105">
        <v>2118</v>
      </c>
      <c r="L1015" s="39" t="str">
        <f>IFERROR(VLOOKUP(Table6[[#This Row],[Error Code]],'Basic Data'!$T:$U,2,0),"")</f>
        <v>Bus Error - Interbus Failure</v>
      </c>
      <c r="M1015" s="346" t="s">
        <v>462</v>
      </c>
      <c r="N1015" s="105" t="s">
        <v>1270</v>
      </c>
      <c r="O1015" s="330">
        <v>0.38541666666666669</v>
      </c>
      <c r="P1015" s="330">
        <v>0.42708333333333331</v>
      </c>
      <c r="Q1015" s="330">
        <v>0.42777777777777776</v>
      </c>
      <c r="R1015" s="382">
        <f>IF(Table6[[#This Row],[Work Start TimeStamp]]="","",(Table6[[#This Row],[Work Start TimeStamp]]-Table6[[#This Row],[Fault Start TimeStamp]])*24)</f>
        <v>0.99999999999999911</v>
      </c>
      <c r="S1015" s="382">
        <f>(Table6[[#This Row],[Fault Clearance time]]-Table6[[#This Row],[Work Start TimeStamp]])*24</f>
        <v>1.6666666666666607E-2</v>
      </c>
      <c r="T1015" s="385">
        <f>(Table6[[#This Row],[Fault Clearance time]]-Table6[[#This Row],[Fault Start TimeStamp]])*24</f>
        <v>1.0166666666666657</v>
      </c>
      <c r="U1015" s="346" t="s">
        <v>493</v>
      </c>
      <c r="V1015" s="346" t="s">
        <v>463</v>
      </c>
      <c r="W1015" s="377">
        <f>Table6[[#This Row],[Breakdown Time]]*(1/39)</f>
        <v>2.6068376068376042E-2</v>
      </c>
      <c r="X1015" s="337" t="s">
        <v>465</v>
      </c>
      <c r="Y1015" s="346" t="s">
        <v>124</v>
      </c>
      <c r="Z1015" s="105">
        <v>4447</v>
      </c>
      <c r="AA1015" s="107">
        <f>IFERROR((Table6[[#This Row],[Paired WTG Generation for loss calculation]]/24)*Table6[[#This Row],[Breakdown Time]],"")</f>
        <v>188.37986111111093</v>
      </c>
      <c r="AB1015" s="107" t="s">
        <v>478</v>
      </c>
      <c r="AC1015" s="105"/>
      <c r="AD1015" s="105"/>
    </row>
    <row r="1016" spans="1:30">
      <c r="A1016" s="105">
        <f t="shared" si="15"/>
        <v>1015</v>
      </c>
      <c r="B1016" s="371">
        <f>YEAR(Table6[[#This Row],[Date]])+IF(MONTH(Table6[[#This Row],[Date]])&gt;=4,1,0)</f>
        <v>2026</v>
      </c>
      <c r="C1016" s="372">
        <f>YEAR(Table6[[#This Row],[Date]])</f>
        <v>2025</v>
      </c>
      <c r="D1016" s="105" t="s">
        <v>490</v>
      </c>
      <c r="E1016" s="119">
        <f>Table6[[#This Row],[Date]]-DAY(Table6[[#This Row],[Date]])+1</f>
        <v>45839</v>
      </c>
      <c r="F1016" s="373">
        <v>45857</v>
      </c>
      <c r="G1016" s="374" t="s">
        <v>127</v>
      </c>
      <c r="H1016" s="39" t="str">
        <f>_xlfn.XLOOKUP(Table6[[#This Row],[Affected WTG]],'Basic Data'!$A:$A,'Basic Data'!$B:$B)</f>
        <v>PWEGPL</v>
      </c>
      <c r="I1016" s="39" t="str">
        <f>_xlfn.XLOOKUP(Table6[[#This Row],[Affected WTG]],'Basic Data'!$A:$A,'Basic Data'!$C:$C)</f>
        <v>MSEDCL</v>
      </c>
      <c r="J1016" s="381">
        <f>IFERROR(VLOOKUP(Table6[[#This Row],[Affected WTG]],'Basic Data'!$A$3:$E$56,5,0),"")</f>
        <v>2.564102564102564E-2</v>
      </c>
      <c r="K1016" s="105">
        <v>5263</v>
      </c>
      <c r="L1016" s="39" t="str">
        <f>IFERROR(VLOOKUP(Table6[[#This Row],[Error Code]],'Basic Data'!$T:$U,2,0),"")</f>
        <v>CAN Communication Failure</v>
      </c>
      <c r="M1016" s="346" t="s">
        <v>462</v>
      </c>
      <c r="N1016" s="105" t="s">
        <v>1270</v>
      </c>
      <c r="O1016" s="330">
        <v>0.58472222222222225</v>
      </c>
      <c r="P1016" s="330">
        <v>0.59583333333333333</v>
      </c>
      <c r="Q1016" s="330">
        <v>0.64722222222222225</v>
      </c>
      <c r="R1016" s="382">
        <f>IF(Table6[[#This Row],[Work Start TimeStamp]]="","",(Table6[[#This Row],[Work Start TimeStamp]]-Table6[[#This Row],[Fault Start TimeStamp]])*24)</f>
        <v>0.26666666666666572</v>
      </c>
      <c r="S1016" s="382">
        <f>(Table6[[#This Row],[Fault Clearance time]]-Table6[[#This Row],[Work Start TimeStamp]])*24</f>
        <v>1.2333333333333343</v>
      </c>
      <c r="T1016" s="385">
        <f>(Table6[[#This Row],[Fault Clearance time]]-Table6[[#This Row],[Fault Start TimeStamp]])*24</f>
        <v>1.5</v>
      </c>
      <c r="U1016" s="346" t="s">
        <v>612</v>
      </c>
      <c r="V1016" s="346" t="s">
        <v>463</v>
      </c>
      <c r="W1016" s="377">
        <f>Table6[[#This Row],[Breakdown Time]]*(1/39)</f>
        <v>3.8461538461538464E-2</v>
      </c>
      <c r="X1016" s="337" t="s">
        <v>465</v>
      </c>
      <c r="Y1016" s="346" t="s">
        <v>126</v>
      </c>
      <c r="Z1016" s="105">
        <v>5201</v>
      </c>
      <c r="AA1016" s="107">
        <f>IFERROR((Table6[[#This Row],[Paired WTG Generation for loss calculation]]/24)*Table6[[#This Row],[Breakdown Time]],"")</f>
        <v>325.0625</v>
      </c>
      <c r="AB1016" s="107" t="s">
        <v>478</v>
      </c>
      <c r="AC1016" s="105"/>
      <c r="AD1016" s="105"/>
    </row>
    <row r="1017" spans="1:30">
      <c r="A1017" s="105">
        <f t="shared" si="15"/>
        <v>1016</v>
      </c>
      <c r="B1017" s="371">
        <f>YEAR(Table6[[#This Row],[Date]])+IF(MONTH(Table6[[#This Row],[Date]])&gt;=4,1,0)</f>
        <v>2026</v>
      </c>
      <c r="C1017" s="372">
        <f>YEAR(Table6[[#This Row],[Date]])</f>
        <v>2025</v>
      </c>
      <c r="D1017" s="105" t="s">
        <v>490</v>
      </c>
      <c r="E1017" s="119">
        <f>Table6[[#This Row],[Date]]-DAY(Table6[[#This Row],[Date]])+1</f>
        <v>45839</v>
      </c>
      <c r="F1017" s="373">
        <v>45857</v>
      </c>
      <c r="G1017" s="374" t="s">
        <v>139</v>
      </c>
      <c r="H1017" s="39" t="str">
        <f>_xlfn.XLOOKUP(Table6[[#This Row],[Affected WTG]],'Basic Data'!$A:$A,'Basic Data'!$B:$B)</f>
        <v>PWEGPL</v>
      </c>
      <c r="I1017" s="39" t="str">
        <f>_xlfn.XLOOKUP(Table6[[#This Row],[Affected WTG]],'Basic Data'!$A:$A,'Basic Data'!$C:$C)</f>
        <v>MSEDCL</v>
      </c>
      <c r="J1017" s="381">
        <f>IFERROR(VLOOKUP(Table6[[#This Row],[Affected WTG]],'Basic Data'!$A$3:$E$56,5,0),"")</f>
        <v>2.564102564102564E-2</v>
      </c>
      <c r="K1017" s="105">
        <v>2118</v>
      </c>
      <c r="L1017" s="39" t="str">
        <f>IFERROR(VLOOKUP(Table6[[#This Row],[Error Code]],'Basic Data'!$T:$U,2,0),"")</f>
        <v>Bus Error - Interbus Failure</v>
      </c>
      <c r="M1017" s="346" t="s">
        <v>462</v>
      </c>
      <c r="N1017" s="105" t="s">
        <v>1270</v>
      </c>
      <c r="O1017" s="330">
        <v>0.39930555555555558</v>
      </c>
      <c r="P1017" s="330">
        <v>0.42708333333333331</v>
      </c>
      <c r="Q1017" s="330">
        <v>0.42777777777777776</v>
      </c>
      <c r="R1017" s="382">
        <f>IF(Table6[[#This Row],[Work Start TimeStamp]]="","",(Table6[[#This Row],[Work Start TimeStamp]]-Table6[[#This Row],[Fault Start TimeStamp]])*24)</f>
        <v>0.66666666666666563</v>
      </c>
      <c r="S1017" s="382">
        <f>(Table6[[#This Row],[Fault Clearance time]]-Table6[[#This Row],[Work Start TimeStamp]])*24</f>
        <v>1.6666666666666607E-2</v>
      </c>
      <c r="T1017" s="385">
        <f>(Table6[[#This Row],[Fault Clearance time]]-Table6[[#This Row],[Fault Start TimeStamp]])*24</f>
        <v>0.68333333333333224</v>
      </c>
      <c r="U1017" s="346" t="s">
        <v>493</v>
      </c>
      <c r="V1017" s="346" t="s">
        <v>463</v>
      </c>
      <c r="W1017" s="377">
        <f>Table6[[#This Row],[Breakdown Time]]*(1/39)</f>
        <v>1.7521367521367494E-2</v>
      </c>
      <c r="X1017" s="337" t="s">
        <v>465</v>
      </c>
      <c r="Y1017" s="346" t="s">
        <v>145</v>
      </c>
      <c r="Z1017" s="105">
        <v>3412</v>
      </c>
      <c r="AA1017" s="107">
        <f>IFERROR((Table6[[#This Row],[Paired WTG Generation for loss calculation]]/24)*Table6[[#This Row],[Breakdown Time]],"")</f>
        <v>97.147222222222055</v>
      </c>
      <c r="AB1017" s="107" t="s">
        <v>478</v>
      </c>
      <c r="AC1017" s="105"/>
      <c r="AD1017" s="105"/>
    </row>
    <row r="1018" spans="1:30">
      <c r="A1018" s="105">
        <f t="shared" si="15"/>
        <v>1017</v>
      </c>
      <c r="B1018" s="371">
        <f>YEAR(Table6[[#This Row],[Date]])+IF(MONTH(Table6[[#This Row],[Date]])&gt;=4,1,0)</f>
        <v>2026</v>
      </c>
      <c r="C1018" s="372">
        <f>YEAR(Table6[[#This Row],[Date]])</f>
        <v>2025</v>
      </c>
      <c r="D1018" s="105" t="s">
        <v>490</v>
      </c>
      <c r="E1018" s="119">
        <f>Table6[[#This Row],[Date]]-DAY(Table6[[#This Row],[Date]])+1</f>
        <v>45839</v>
      </c>
      <c r="F1018" s="373">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105"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77">
        <f>Table6[[#This Row],[Breakdown Time]]*(1/39)</f>
        <v>0.61537749287749288</v>
      </c>
      <c r="X1018" s="336" t="s">
        <v>1212</v>
      </c>
      <c r="Y1018" s="352" t="s">
        <v>143</v>
      </c>
      <c r="Z1018" s="105">
        <v>4072</v>
      </c>
      <c r="AA1018" s="107">
        <f>IFERROR((Table6[[#This Row],[Paired WTG Generation for loss calculation]]/24)*Table6[[#This Row],[Breakdown Time]],"")</f>
        <v>4071.9528703703704</v>
      </c>
      <c r="AB1018" s="107" t="s">
        <v>478</v>
      </c>
      <c r="AC1018" s="105"/>
      <c r="AD1018" s="105"/>
    </row>
    <row r="1019" spans="1:30">
      <c r="A1019" s="105">
        <f t="shared" si="15"/>
        <v>1018</v>
      </c>
      <c r="B1019" s="371">
        <f>YEAR(Table6[[#This Row],[Date]])+IF(MONTH(Table6[[#This Row],[Date]])&gt;=4,1,0)</f>
        <v>2026</v>
      </c>
      <c r="C1019" s="372">
        <f>YEAR(Table6[[#This Row],[Date]])</f>
        <v>2025</v>
      </c>
      <c r="D1019" s="105" t="s">
        <v>490</v>
      </c>
      <c r="E1019" s="119">
        <f>Table6[[#This Row],[Date]]-DAY(Table6[[#This Row],[Date]])+1</f>
        <v>45839</v>
      </c>
      <c r="F1019" s="373">
        <v>45858</v>
      </c>
      <c r="G1019" s="374" t="s">
        <v>115</v>
      </c>
      <c r="H1019" s="39" t="str">
        <f>_xlfn.XLOOKUP(Table6[[#This Row],[Affected WTG]],'Basic Data'!$A:$A,'Basic Data'!$B:$B)</f>
        <v>PWEGPL</v>
      </c>
      <c r="I1019" s="39" t="str">
        <f>_xlfn.XLOOKUP(Table6[[#This Row],[Affected WTG]],'Basic Data'!$A:$A,'Basic Data'!$C:$C)</f>
        <v>MSEDCL</v>
      </c>
      <c r="J1019" s="381">
        <f>IFERROR(VLOOKUP(Table6[[#This Row],[Affected WTG]],'Basic Data'!$A$3:$E$56,5,0),"")</f>
        <v>2.564102564102564E-2</v>
      </c>
      <c r="K1019" s="105">
        <v>207</v>
      </c>
      <c r="L1019" s="39" t="str">
        <f>IFERROR(VLOOKUP(Table6[[#This Row],[Error Code]],'Basic Data'!$T:$U,2,0),"")</f>
        <v>Hydraulic Oil High Temperature</v>
      </c>
      <c r="M1019" s="346" t="s">
        <v>462</v>
      </c>
      <c r="N1019" s="105" t="s">
        <v>1270</v>
      </c>
      <c r="O1019" s="330">
        <v>0.46319444444444446</v>
      </c>
      <c r="P1019" s="330">
        <v>0.49166666666666664</v>
      </c>
      <c r="Q1019" s="330">
        <v>0.56666666666666665</v>
      </c>
      <c r="R1019" s="382">
        <f>IF(Table6[[#This Row],[Work Start TimeStamp]]="","",(Table6[[#This Row],[Work Start TimeStamp]]-Table6[[#This Row],[Fault Start TimeStamp]])*24)</f>
        <v>0.68333333333333224</v>
      </c>
      <c r="S1019" s="382">
        <f>(Table6[[#This Row],[Fault Clearance time]]-Table6[[#This Row],[Work Start TimeStamp]])*24</f>
        <v>1.8000000000000003</v>
      </c>
      <c r="T1019" s="385">
        <f>(Table6[[#This Row],[Fault Clearance time]]-Table6[[#This Row],[Fault Start TimeStamp]])*24</f>
        <v>2.4833333333333325</v>
      </c>
      <c r="U1019" s="346" t="s">
        <v>1391</v>
      </c>
      <c r="V1019" s="346" t="s">
        <v>463</v>
      </c>
      <c r="W1019" s="377">
        <f>Table6[[#This Row],[Breakdown Time]]*(1/39)</f>
        <v>6.3675213675213657E-2</v>
      </c>
      <c r="X1019" s="337" t="s">
        <v>465</v>
      </c>
      <c r="Y1019" s="346" t="s">
        <v>121</v>
      </c>
      <c r="Z1019" s="105">
        <v>4215</v>
      </c>
      <c r="AA1019" s="107">
        <f>IFERROR((Table6[[#This Row],[Paired WTG Generation for loss calculation]]/24)*Table6[[#This Row],[Breakdown Time]],"")</f>
        <v>436.13541666666652</v>
      </c>
      <c r="AB1019" s="107" t="s">
        <v>478</v>
      </c>
      <c r="AC1019" s="105"/>
      <c r="AD1019" s="105"/>
    </row>
    <row r="1020" spans="1:30">
      <c r="A1020" s="105">
        <f t="shared" si="15"/>
        <v>1019</v>
      </c>
      <c r="B1020" s="371">
        <f>YEAR(Table6[[#This Row],[Date]])+IF(MONTH(Table6[[#This Row],[Date]])&gt;=4,1,0)</f>
        <v>2026</v>
      </c>
      <c r="C1020" s="372">
        <f>YEAR(Table6[[#This Row],[Date]])</f>
        <v>2025</v>
      </c>
      <c r="D1020" s="105" t="s">
        <v>490</v>
      </c>
      <c r="E1020" s="119">
        <f>Table6[[#This Row],[Date]]-DAY(Table6[[#This Row],[Date]])+1</f>
        <v>45839</v>
      </c>
      <c r="F1020" s="373">
        <v>45858</v>
      </c>
      <c r="G1020" s="374" t="s">
        <v>125</v>
      </c>
      <c r="H1020" s="39" t="str">
        <f>_xlfn.XLOOKUP(Table6[[#This Row],[Affected WTG]],'Basic Data'!$A:$A,'Basic Data'!$B:$B)</f>
        <v>PWEGPL</v>
      </c>
      <c r="I1020" s="39" t="str">
        <f>_xlfn.XLOOKUP(Table6[[#This Row],[Affected WTG]],'Basic Data'!$A:$A,'Basic Data'!$C:$C)</f>
        <v>MSEDCL</v>
      </c>
      <c r="J1020" s="381">
        <f>IFERROR(VLOOKUP(Table6[[#This Row],[Affected WTG]],'Basic Data'!$A$3:$E$56,5,0),"")</f>
        <v>2.564102564102564E-2</v>
      </c>
      <c r="K1020" s="105">
        <v>2118</v>
      </c>
      <c r="L1020" s="39" t="str">
        <f>IFERROR(VLOOKUP(Table6[[#This Row],[Error Code]],'Basic Data'!$T:$U,2,0),"")</f>
        <v>Bus Error - Interbus Failure</v>
      </c>
      <c r="M1020" s="346" t="s">
        <v>462</v>
      </c>
      <c r="N1020" s="105" t="s">
        <v>1270</v>
      </c>
      <c r="O1020" s="330">
        <v>0.4513888888888889</v>
      </c>
      <c r="P1020" s="330">
        <v>0.46805555555555556</v>
      </c>
      <c r="Q1020" s="330">
        <v>0.49305555555555558</v>
      </c>
      <c r="R1020" s="382">
        <f>IF(Table6[[#This Row],[Work Start TimeStamp]]="","",(Table6[[#This Row],[Work Start TimeStamp]]-Table6[[#This Row],[Fault Start TimeStamp]])*24)</f>
        <v>0.39999999999999991</v>
      </c>
      <c r="S1020" s="382">
        <f>(Table6[[#This Row],[Fault Clearance time]]-Table6[[#This Row],[Work Start TimeStamp]])*24</f>
        <v>0.60000000000000053</v>
      </c>
      <c r="T1020" s="385">
        <f>(Table6[[#This Row],[Fault Clearance time]]-Table6[[#This Row],[Fault Start TimeStamp]])*24</f>
        <v>1.0000000000000004</v>
      </c>
      <c r="U1020" s="346" t="s">
        <v>612</v>
      </c>
      <c r="V1020" s="346" t="s">
        <v>463</v>
      </c>
      <c r="W1020" s="377">
        <f>Table6[[#This Row],[Breakdown Time]]*(1/39)</f>
        <v>2.5641025641025651E-2</v>
      </c>
      <c r="X1020" s="337" t="s">
        <v>465</v>
      </c>
      <c r="Y1020" s="346" t="s">
        <v>124</v>
      </c>
      <c r="Z1020" s="105">
        <v>4224</v>
      </c>
      <c r="AA1020" s="107">
        <f>IFERROR((Table6[[#This Row],[Paired WTG Generation for loss calculation]]/24)*Table6[[#This Row],[Breakdown Time]],"")</f>
        <v>176.00000000000009</v>
      </c>
      <c r="AB1020" s="107" t="s">
        <v>478</v>
      </c>
      <c r="AC1020" s="105"/>
      <c r="AD1020" s="105"/>
    </row>
    <row r="1021" spans="1:30">
      <c r="A1021" s="105">
        <f t="shared" si="15"/>
        <v>1020</v>
      </c>
      <c r="B1021" s="371">
        <f>YEAR(Table6[[#This Row],[Date]])+IF(MONTH(Table6[[#This Row],[Date]])&gt;=4,1,0)</f>
        <v>2026</v>
      </c>
      <c r="C1021" s="372">
        <f>YEAR(Table6[[#This Row],[Date]])</f>
        <v>2025</v>
      </c>
      <c r="D1021" s="105" t="s">
        <v>490</v>
      </c>
      <c r="E1021" s="119">
        <f>Table6[[#This Row],[Date]]-DAY(Table6[[#This Row],[Date]])+1</f>
        <v>45839</v>
      </c>
      <c r="F1021" s="373">
        <v>45858</v>
      </c>
      <c r="G1021" s="374" t="s">
        <v>144</v>
      </c>
      <c r="H1021" s="39" t="str">
        <f>_xlfn.XLOOKUP(Table6[[#This Row],[Affected WTG]],'Basic Data'!$A:$A,'Basic Data'!$B:$B)</f>
        <v>PWEGPL</v>
      </c>
      <c r="I1021" s="39" t="str">
        <f>_xlfn.XLOOKUP(Table6[[#This Row],[Affected WTG]],'Basic Data'!$A:$A,'Basic Data'!$C:$C)</f>
        <v>MSEDCL</v>
      </c>
      <c r="J1021" s="381">
        <f>IFERROR(VLOOKUP(Table6[[#This Row],[Affected WTG]],'Basic Data'!$A$3:$E$56,5,0),"")</f>
        <v>2.564102564102564E-2</v>
      </c>
      <c r="K1021" s="105">
        <v>5203</v>
      </c>
      <c r="L1021" s="39" t="str">
        <f>IFERROR(VLOOKUP(Table6[[#This Row],[Error Code]],'Basic Data'!$T:$U,2,0),"")</f>
        <v>Heating/Coolant Thermal Magnetic Failure</v>
      </c>
      <c r="M1021" s="346" t="s">
        <v>462</v>
      </c>
      <c r="N1021" s="105" t="s">
        <v>1270</v>
      </c>
      <c r="O1021" s="330">
        <v>0.30694444444444446</v>
      </c>
      <c r="P1021" s="330">
        <v>0.33194444444444443</v>
      </c>
      <c r="Q1021" s="330">
        <v>0.33333333333333331</v>
      </c>
      <c r="R1021" s="382">
        <f>IF(Table6[[#This Row],[Work Start TimeStamp]]="","",(Table6[[#This Row],[Work Start TimeStamp]]-Table6[[#This Row],[Fault Start TimeStamp]])*24)</f>
        <v>0.5999999999999992</v>
      </c>
      <c r="S1021" s="382">
        <f>(Table6[[#This Row],[Fault Clearance time]]-Table6[[#This Row],[Work Start TimeStamp]])*24</f>
        <v>3.3333333333333215E-2</v>
      </c>
      <c r="T1021" s="385">
        <f>(Table6[[#This Row],[Fault Clearance time]]-Table6[[#This Row],[Fault Start TimeStamp]])*24</f>
        <v>0.63333333333333242</v>
      </c>
      <c r="U1021" s="346" t="s">
        <v>493</v>
      </c>
      <c r="V1021" s="346" t="s">
        <v>463</v>
      </c>
      <c r="W1021" s="377">
        <f>Table6[[#This Row],[Breakdown Time]]*(1/39)</f>
        <v>1.6239316239316216E-2</v>
      </c>
      <c r="X1021" s="337" t="s">
        <v>465</v>
      </c>
      <c r="Y1021" s="346" t="s">
        <v>143</v>
      </c>
      <c r="Z1021" s="105">
        <v>4072</v>
      </c>
      <c r="AA1021" s="107">
        <f>IFERROR((Table6[[#This Row],[Paired WTG Generation for loss calculation]]/24)*Table6[[#This Row],[Breakdown Time]],"")</f>
        <v>107.45555555555539</v>
      </c>
      <c r="AB1021" s="107" t="s">
        <v>478</v>
      </c>
      <c r="AC1021" s="105"/>
      <c r="AD1021" s="105"/>
    </row>
    <row r="1022" spans="1:30">
      <c r="A1022" s="105">
        <f t="shared" si="15"/>
        <v>1021</v>
      </c>
      <c r="B1022" s="371">
        <f>YEAR(Table6[[#This Row],[Date]])+IF(MONTH(Table6[[#This Row],[Date]])&gt;=4,1,0)</f>
        <v>2026</v>
      </c>
      <c r="C1022" s="372">
        <f>YEAR(Table6[[#This Row],[Date]])</f>
        <v>2025</v>
      </c>
      <c r="D1022" s="105" t="s">
        <v>490</v>
      </c>
      <c r="E1022" s="119">
        <f>Table6[[#This Row],[Date]]-DAY(Table6[[#This Row],[Date]])+1</f>
        <v>45839</v>
      </c>
      <c r="F1022" s="373">
        <v>45858</v>
      </c>
      <c r="G1022" s="374" t="s">
        <v>144</v>
      </c>
      <c r="H1022" s="39" t="str">
        <f>_xlfn.XLOOKUP(Table6[[#This Row],[Affected WTG]],'Basic Data'!$A:$A,'Basic Data'!$B:$B)</f>
        <v>PWEGPL</v>
      </c>
      <c r="I1022" s="39" t="str">
        <f>_xlfn.XLOOKUP(Table6[[#This Row],[Affected WTG]],'Basic Data'!$A:$A,'Basic Data'!$C:$C)</f>
        <v>MSEDCL</v>
      </c>
      <c r="J1022" s="381">
        <f>IFERROR(VLOOKUP(Table6[[#This Row],[Affected WTG]],'Basic Data'!$A$3:$E$56,5,0),"")</f>
        <v>2.564102564102564E-2</v>
      </c>
      <c r="K1022" s="105">
        <v>5203</v>
      </c>
      <c r="L1022" s="39" t="str">
        <f>IFERROR(VLOOKUP(Table6[[#This Row],[Error Code]],'Basic Data'!$T:$U,2,0),"")</f>
        <v>Heating/Coolant Thermal Magnetic Failure</v>
      </c>
      <c r="M1022" s="346" t="s">
        <v>462</v>
      </c>
      <c r="N1022" s="105" t="s">
        <v>1270</v>
      </c>
      <c r="O1022" s="330">
        <v>0.45277777777777778</v>
      </c>
      <c r="P1022" s="330">
        <v>0.47638888888888886</v>
      </c>
      <c r="Q1022" s="330">
        <v>0.52777777777777779</v>
      </c>
      <c r="R1022" s="382">
        <f>IF(Table6[[#This Row],[Work Start TimeStamp]]="","",(Table6[[#This Row],[Work Start TimeStamp]]-Table6[[#This Row],[Fault Start TimeStamp]])*24)</f>
        <v>0.56666666666666599</v>
      </c>
      <c r="S1022" s="382">
        <f>(Table6[[#This Row],[Fault Clearance time]]-Table6[[#This Row],[Work Start TimeStamp]])*24</f>
        <v>1.2333333333333343</v>
      </c>
      <c r="T1022" s="385">
        <f>(Table6[[#This Row],[Fault Clearance time]]-Table6[[#This Row],[Fault Start TimeStamp]])*24</f>
        <v>1.8000000000000003</v>
      </c>
      <c r="U1022" s="346" t="s">
        <v>1392</v>
      </c>
      <c r="V1022" s="346" t="s">
        <v>463</v>
      </c>
      <c r="W1022" s="377">
        <f>Table6[[#This Row],[Breakdown Time]]*(1/39)</f>
        <v>4.6153846153846156E-2</v>
      </c>
      <c r="X1022" s="337" t="s">
        <v>465</v>
      </c>
      <c r="Y1022" s="346" t="s">
        <v>143</v>
      </c>
      <c r="Z1022" s="105">
        <v>4072</v>
      </c>
      <c r="AA1022" s="107">
        <f>IFERROR((Table6[[#This Row],[Paired WTG Generation for loss calculation]]/24)*Table6[[#This Row],[Breakdown Time]],"")</f>
        <v>305.40000000000003</v>
      </c>
      <c r="AB1022" s="107" t="s">
        <v>478</v>
      </c>
      <c r="AC1022" s="105"/>
      <c r="AD1022" s="105"/>
    </row>
    <row r="1023" spans="1:30">
      <c r="A1023" s="105">
        <f t="shared" si="15"/>
        <v>1022</v>
      </c>
      <c r="B1023" s="371">
        <f>YEAR(Table6[[#This Row],[Date]])+IF(MONTH(Table6[[#This Row],[Date]])&gt;=4,1,0)</f>
        <v>2026</v>
      </c>
      <c r="C1023" s="372">
        <f>YEAR(Table6[[#This Row],[Date]])</f>
        <v>2025</v>
      </c>
      <c r="D1023" s="105" t="s">
        <v>490</v>
      </c>
      <c r="E1023" s="119">
        <f>Table6[[#This Row],[Date]]-DAY(Table6[[#This Row],[Date]])+1</f>
        <v>45839</v>
      </c>
      <c r="F1023" s="373">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105"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77">
        <f>Table6[[#This Row],[Breakdown Time]]*(1/39)</f>
        <v>0.61537749287749288</v>
      </c>
      <c r="X1023" s="336" t="s">
        <v>1212</v>
      </c>
      <c r="Y1023" s="352" t="s">
        <v>143</v>
      </c>
      <c r="Z1023" s="105">
        <v>6102</v>
      </c>
      <c r="AA1023" s="107">
        <f>IFERROR((Table6[[#This Row],[Paired WTG Generation for loss calculation]]/24)*Table6[[#This Row],[Breakdown Time]],"")</f>
        <v>6101.9293750000006</v>
      </c>
      <c r="AB1023" s="107" t="s">
        <v>478</v>
      </c>
      <c r="AC1023" s="105"/>
      <c r="AD1023" s="105"/>
    </row>
    <row r="1024" spans="1:30">
      <c r="A1024" s="105">
        <f t="shared" si="15"/>
        <v>1023</v>
      </c>
      <c r="B1024" s="371">
        <f>YEAR(Table6[[#This Row],[Date]])+IF(MONTH(Table6[[#This Row],[Date]])&gt;=4,1,0)</f>
        <v>2026</v>
      </c>
      <c r="C1024" s="372">
        <f>YEAR(Table6[[#This Row],[Date]])</f>
        <v>2025</v>
      </c>
      <c r="D1024" s="105" t="s">
        <v>490</v>
      </c>
      <c r="E1024" s="119">
        <f>Table6[[#This Row],[Date]]-DAY(Table6[[#This Row],[Date]])+1</f>
        <v>45839</v>
      </c>
      <c r="F1024" s="373">
        <v>45859</v>
      </c>
      <c r="G1024" s="374" t="s">
        <v>119</v>
      </c>
      <c r="H1024" s="39" t="str">
        <f>_xlfn.XLOOKUP(Table6[[#This Row],[Affected WTG]],'Basic Data'!$A:$A,'Basic Data'!$B:$B)</f>
        <v>PWEGPL</v>
      </c>
      <c r="I1024" s="39" t="str">
        <f>_xlfn.XLOOKUP(Table6[[#This Row],[Affected WTG]],'Basic Data'!$A:$A,'Basic Data'!$C:$C)</f>
        <v>MSEDCL</v>
      </c>
      <c r="J1024" s="381">
        <f>IFERROR(VLOOKUP(Table6[[#This Row],[Affected WTG]],'Basic Data'!$A$3:$E$56,5,0),"")</f>
        <v>2.564102564102564E-2</v>
      </c>
      <c r="K1024" s="105">
        <v>5201</v>
      </c>
      <c r="L1024" s="39" t="str">
        <f>IFERROR(VLOOKUP(Table6[[#This Row],[Error Code]],'Basic Data'!$T:$U,2,0),"")</f>
        <v>Magnetothermic Trigger Of The Stator Protection</v>
      </c>
      <c r="M1024" s="346" t="s">
        <v>462</v>
      </c>
      <c r="N1024" s="105" t="s">
        <v>1270</v>
      </c>
      <c r="O1024" s="330">
        <v>0.72916666666666663</v>
      </c>
      <c r="P1024" s="330">
        <v>0.75138888888888888</v>
      </c>
      <c r="Q1024" s="330">
        <v>0.75347222222222221</v>
      </c>
      <c r="R1024" s="382">
        <f>IF(Table6[[#This Row],[Work Start TimeStamp]]="","",(Table6[[#This Row],[Work Start TimeStamp]]-Table6[[#This Row],[Fault Start TimeStamp]])*24)</f>
        <v>0.5333333333333341</v>
      </c>
      <c r="S1024" s="382">
        <f>(Table6[[#This Row],[Fault Clearance time]]-Table6[[#This Row],[Work Start TimeStamp]])*24</f>
        <v>4.9999999999999822E-2</v>
      </c>
      <c r="T1024" s="385">
        <f>(Table6[[#This Row],[Fault Clearance time]]-Table6[[#This Row],[Fault Start TimeStamp]])*24</f>
        <v>0.58333333333333393</v>
      </c>
      <c r="U1024" s="346" t="s">
        <v>491</v>
      </c>
      <c r="V1024" s="346" t="s">
        <v>463</v>
      </c>
      <c r="W1024" s="377">
        <f>Table6[[#This Row],[Breakdown Time]]*(1/39)</f>
        <v>1.4957264957264972E-2</v>
      </c>
      <c r="X1024" s="337" t="s">
        <v>465</v>
      </c>
      <c r="Y1024" s="346" t="s">
        <v>136</v>
      </c>
      <c r="Z1024" s="105">
        <v>5982</v>
      </c>
      <c r="AA1024" s="107">
        <f>IFERROR((Table6[[#This Row],[Paired WTG Generation for loss calculation]]/24)*Table6[[#This Row],[Breakdown Time]],"")</f>
        <v>145.39583333333348</v>
      </c>
      <c r="AB1024" s="107" t="s">
        <v>478</v>
      </c>
      <c r="AC1024" s="105"/>
      <c r="AD1024" s="105"/>
    </row>
    <row r="1025" spans="1:30">
      <c r="A1025" s="105">
        <f t="shared" si="15"/>
        <v>1024</v>
      </c>
      <c r="B1025" s="371">
        <f>YEAR(Table6[[#This Row],[Date]])+IF(MONTH(Table6[[#This Row],[Date]])&gt;=4,1,0)</f>
        <v>2026</v>
      </c>
      <c r="C1025" s="372">
        <f>YEAR(Table6[[#This Row],[Date]])</f>
        <v>2025</v>
      </c>
      <c r="D1025" s="105" t="s">
        <v>490</v>
      </c>
      <c r="E1025" s="119">
        <f>Table6[[#This Row],[Date]]-DAY(Table6[[#This Row],[Date]])+1</f>
        <v>45839</v>
      </c>
      <c r="F1025" s="373">
        <v>45859</v>
      </c>
      <c r="G1025" s="374" t="s">
        <v>130</v>
      </c>
      <c r="H1025" s="39" t="str">
        <f>_xlfn.XLOOKUP(Table6[[#This Row],[Affected WTG]],'Basic Data'!$A:$A,'Basic Data'!$B:$B)</f>
        <v>PWEGPL</v>
      </c>
      <c r="I1025" s="39" t="str">
        <f>_xlfn.XLOOKUP(Table6[[#This Row],[Affected WTG]],'Basic Data'!$A:$A,'Basic Data'!$C:$C)</f>
        <v>MSEDCL</v>
      </c>
      <c r="J1025" s="381">
        <f>IFERROR(VLOOKUP(Table6[[#This Row],[Affected WTG]],'Basic Data'!$A$3:$E$56,5,0),"")</f>
        <v>2.564102564102564E-2</v>
      </c>
      <c r="K1025" s="105">
        <v>700</v>
      </c>
      <c r="L1025" s="39" t="str">
        <f>IFERROR(VLOOKUP(Table6[[#This Row],[Error Code]],'Basic Data'!$T:$U,2,0),"")</f>
        <v>PLC-Converter Communication Error</v>
      </c>
      <c r="M1025" s="346" t="s">
        <v>462</v>
      </c>
      <c r="N1025" s="105" t="s">
        <v>1270</v>
      </c>
      <c r="O1025" s="330">
        <v>0.38541666666666669</v>
      </c>
      <c r="P1025" s="330">
        <v>0.39930555555555558</v>
      </c>
      <c r="Q1025" s="330">
        <v>0.4</v>
      </c>
      <c r="R1025" s="382">
        <f>IF(Table6[[#This Row],[Work Start TimeStamp]]="","",(Table6[[#This Row],[Work Start TimeStamp]]-Table6[[#This Row],[Fault Start TimeStamp]])*24)</f>
        <v>0.33333333333333348</v>
      </c>
      <c r="S1025" s="382">
        <f>(Table6[[#This Row],[Fault Clearance time]]-Table6[[#This Row],[Work Start TimeStamp]])*24</f>
        <v>1.6666666666666607E-2</v>
      </c>
      <c r="T1025" s="385">
        <f>(Table6[[#This Row],[Fault Clearance time]]-Table6[[#This Row],[Fault Start TimeStamp]])*24</f>
        <v>0.35000000000000009</v>
      </c>
      <c r="U1025" s="346" t="s">
        <v>493</v>
      </c>
      <c r="V1025" s="346" t="s">
        <v>463</v>
      </c>
      <c r="W1025" s="377">
        <f>Table6[[#This Row],[Breakdown Time]]*(1/39)</f>
        <v>8.9743589743589772E-3</v>
      </c>
      <c r="X1025" s="337" t="s">
        <v>465</v>
      </c>
      <c r="Y1025" s="346" t="s">
        <v>131</v>
      </c>
      <c r="Z1025" s="105">
        <v>7591</v>
      </c>
      <c r="AA1025" s="107">
        <f>IFERROR((Table6[[#This Row],[Paired WTG Generation for loss calculation]]/24)*Table6[[#This Row],[Breakdown Time]],"")</f>
        <v>110.70208333333336</v>
      </c>
      <c r="AB1025" s="107" t="s">
        <v>478</v>
      </c>
      <c r="AC1025" s="105"/>
      <c r="AD1025" s="105"/>
    </row>
    <row r="1026" spans="1:30">
      <c r="A1026" s="105">
        <f t="shared" si="15"/>
        <v>1025</v>
      </c>
      <c r="B1026" s="371">
        <f>YEAR(Table6[[#This Row],[Date]])+IF(MONTH(Table6[[#This Row],[Date]])&gt;=4,1,0)</f>
        <v>2026</v>
      </c>
      <c r="C1026" s="372">
        <f>YEAR(Table6[[#This Row],[Date]])</f>
        <v>2025</v>
      </c>
      <c r="D1026" s="105" t="s">
        <v>490</v>
      </c>
      <c r="E1026" s="119">
        <f>Table6[[#This Row],[Date]]-DAY(Table6[[#This Row],[Date]])+1</f>
        <v>45839</v>
      </c>
      <c r="F1026" s="373">
        <v>45859</v>
      </c>
      <c r="G1026" s="374" t="s">
        <v>130</v>
      </c>
      <c r="H1026" s="39" t="str">
        <f>_xlfn.XLOOKUP(Table6[[#This Row],[Affected WTG]],'Basic Data'!$A:$A,'Basic Data'!$B:$B)</f>
        <v>PWEGPL</v>
      </c>
      <c r="I1026" s="39" t="str">
        <f>_xlfn.XLOOKUP(Table6[[#This Row],[Affected WTG]],'Basic Data'!$A:$A,'Basic Data'!$C:$C)</f>
        <v>MSEDCL</v>
      </c>
      <c r="J1026" s="381">
        <f>IFERROR(VLOOKUP(Table6[[#This Row],[Affected WTG]],'Basic Data'!$A$3:$E$56,5,0),"")</f>
        <v>2.564102564102564E-2</v>
      </c>
      <c r="K1026" s="105" t="s">
        <v>487</v>
      </c>
      <c r="L1026" s="39" t="str">
        <f>IFERROR(VLOOKUP(Table6[[#This Row],[Error Code]],'Basic Data'!$T:$U,2,0),"")</f>
        <v>General Work Stoppage</v>
      </c>
      <c r="M1026" s="346" t="s">
        <v>462</v>
      </c>
      <c r="N1026" s="105" t="s">
        <v>230</v>
      </c>
      <c r="O1026" s="330">
        <v>0.64930555555555558</v>
      </c>
      <c r="P1026" s="330">
        <v>0.64930555555555558</v>
      </c>
      <c r="Q1026" s="330">
        <v>0.76041666666666663</v>
      </c>
      <c r="R1026" s="382">
        <f>IF(Table6[[#This Row],[Work Start TimeStamp]]="","",(Table6[[#This Row],[Work Start TimeStamp]]-Table6[[#This Row],[Fault Start TimeStamp]])*24)</f>
        <v>0</v>
      </c>
      <c r="S1026" s="382">
        <f>(Table6[[#This Row],[Fault Clearance time]]-Table6[[#This Row],[Work Start TimeStamp]])*24</f>
        <v>2.6666666666666652</v>
      </c>
      <c r="T1026" s="385">
        <f>(Table6[[#This Row],[Fault Clearance time]]-Table6[[#This Row],[Fault Start TimeStamp]])*24</f>
        <v>2.6666666666666652</v>
      </c>
      <c r="U1026" s="346" t="s">
        <v>1393</v>
      </c>
      <c r="V1026" s="346" t="s">
        <v>463</v>
      </c>
      <c r="W1026" s="377">
        <f>Table6[[#This Row],[Breakdown Time]]*(1/39)</f>
        <v>6.8376068376068341E-2</v>
      </c>
      <c r="X1026" s="337" t="s">
        <v>464</v>
      </c>
      <c r="Y1026" s="346" t="s">
        <v>131</v>
      </c>
      <c r="Z1026" s="105">
        <v>7591</v>
      </c>
      <c r="AA1026" s="107">
        <f>IFERROR((Table6[[#This Row],[Paired WTG Generation for loss calculation]]/24)*Table6[[#This Row],[Breakdown Time]],"")</f>
        <v>843.444444444444</v>
      </c>
      <c r="AB1026" s="107" t="s">
        <v>478</v>
      </c>
      <c r="AC1026" s="105"/>
      <c r="AD1026" s="105"/>
    </row>
    <row r="1027" spans="1:30">
      <c r="A1027" s="105">
        <f t="shared" si="15"/>
        <v>1026</v>
      </c>
      <c r="B1027" s="371">
        <f>YEAR(Table6[[#This Row],[Date]])+IF(MONTH(Table6[[#This Row],[Date]])&gt;=4,1,0)</f>
        <v>2026</v>
      </c>
      <c r="C1027" s="372">
        <f>YEAR(Table6[[#This Row],[Date]])</f>
        <v>2025</v>
      </c>
      <c r="D1027" s="105" t="s">
        <v>490</v>
      </c>
      <c r="E1027" s="119">
        <f>Table6[[#This Row],[Date]]-DAY(Table6[[#This Row],[Date]])+1</f>
        <v>45839</v>
      </c>
      <c r="F1027" s="373">
        <v>45859</v>
      </c>
      <c r="G1027" s="374" t="s">
        <v>136</v>
      </c>
      <c r="H1027" s="39" t="str">
        <f>_xlfn.XLOOKUP(Table6[[#This Row],[Affected WTG]],'Basic Data'!$A:$A,'Basic Data'!$B:$B)</f>
        <v>PWEGPL</v>
      </c>
      <c r="I1027" s="39" t="str">
        <f>_xlfn.XLOOKUP(Table6[[#This Row],[Affected WTG]],'Basic Data'!$A:$A,'Basic Data'!$C:$C)</f>
        <v>MSEDCL</v>
      </c>
      <c r="J1027" s="381">
        <f>IFERROR(VLOOKUP(Table6[[#This Row],[Affected WTG]],'Basic Data'!$A$3:$E$56,5,0),"")</f>
        <v>2.564102564102564E-2</v>
      </c>
      <c r="K1027" s="105">
        <v>203</v>
      </c>
      <c r="L1027" s="39" t="str">
        <f>IFERROR(VLOOKUP(Table6[[#This Row],[Error Code]],'Basic Data'!$T:$U,2,0),"")</f>
        <v>Low Pressure On Hydraulic Group</v>
      </c>
      <c r="M1027" s="346" t="s">
        <v>462</v>
      </c>
      <c r="N1027" s="105" t="s">
        <v>1270</v>
      </c>
      <c r="O1027" s="330">
        <v>0.72847222222222219</v>
      </c>
      <c r="P1027" s="330">
        <v>0.7583333333333333</v>
      </c>
      <c r="Q1027" s="330">
        <v>0.75972222222222219</v>
      </c>
      <c r="R1027" s="382">
        <f>IF(Table6[[#This Row],[Work Start TimeStamp]]="","",(Table6[[#This Row],[Work Start TimeStamp]]-Table6[[#This Row],[Fault Start TimeStamp]])*24)</f>
        <v>0.71666666666666679</v>
      </c>
      <c r="S1027" s="382">
        <f>(Table6[[#This Row],[Fault Clearance time]]-Table6[[#This Row],[Work Start TimeStamp]])*24</f>
        <v>3.3333333333333215E-2</v>
      </c>
      <c r="T1027" s="385">
        <f>(Table6[[#This Row],[Fault Clearance time]]-Table6[[#This Row],[Fault Start TimeStamp]])*24</f>
        <v>0.75</v>
      </c>
      <c r="U1027" s="346" t="s">
        <v>493</v>
      </c>
      <c r="V1027" s="346" t="s">
        <v>463</v>
      </c>
      <c r="W1027" s="377">
        <f>Table6[[#This Row],[Breakdown Time]]*(1/39)</f>
        <v>1.9230769230769232E-2</v>
      </c>
      <c r="X1027" s="337" t="s">
        <v>465</v>
      </c>
      <c r="Y1027" s="346" t="s">
        <v>119</v>
      </c>
      <c r="Z1027" s="105">
        <v>5949</v>
      </c>
      <c r="AA1027" s="107">
        <f>IFERROR((Table6[[#This Row],[Paired WTG Generation for loss calculation]]/24)*Table6[[#This Row],[Breakdown Time]],"")</f>
        <v>185.90625</v>
      </c>
      <c r="AB1027" s="107" t="s">
        <v>478</v>
      </c>
      <c r="AC1027" s="105"/>
      <c r="AD1027" s="105"/>
    </row>
    <row r="1028" spans="1:30">
      <c r="A1028" s="105">
        <f t="shared" si="15"/>
        <v>1027</v>
      </c>
      <c r="B1028" s="371">
        <f>YEAR(Table6[[#This Row],[Date]])+IF(MONTH(Table6[[#This Row],[Date]])&gt;=4,1,0)</f>
        <v>2026</v>
      </c>
      <c r="C1028" s="372">
        <f>YEAR(Table6[[#This Row],[Date]])</f>
        <v>2025</v>
      </c>
      <c r="D1028" s="105" t="s">
        <v>490</v>
      </c>
      <c r="E1028" s="119">
        <f>Table6[[#This Row],[Date]]-DAY(Table6[[#This Row],[Date]])+1</f>
        <v>45839</v>
      </c>
      <c r="F1028" s="373">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105"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77">
        <f>Table6[[#This Row],[Breakdown Time]]*(1/39)</f>
        <v>0.61537749287749288</v>
      </c>
      <c r="X1028" s="336" t="s">
        <v>1212</v>
      </c>
      <c r="Y1028" s="352" t="s">
        <v>143</v>
      </c>
      <c r="Z1028" s="105">
        <v>5998</v>
      </c>
      <c r="AA1028" s="107">
        <f>IFERROR((Table6[[#This Row],[Paired WTG Generation for loss calculation]]/24)*Table6[[#This Row],[Breakdown Time]],"")</f>
        <v>5997.9305787037038</v>
      </c>
      <c r="AB1028" s="107" t="s">
        <v>478</v>
      </c>
      <c r="AC1028" s="105"/>
      <c r="AD1028" s="105"/>
    </row>
    <row r="1029" spans="1:30">
      <c r="A1029" s="105">
        <f t="shared" ref="A1029:A1076" si="16">A1028+1</f>
        <v>1028</v>
      </c>
      <c r="B1029" s="371">
        <f>YEAR(Table6[[#This Row],[Date]])+IF(MONTH(Table6[[#This Row],[Date]])&gt;=4,1,0)</f>
        <v>2026</v>
      </c>
      <c r="C1029" s="372">
        <f>YEAR(Table6[[#This Row],[Date]])</f>
        <v>2025</v>
      </c>
      <c r="D1029" s="105" t="s">
        <v>490</v>
      </c>
      <c r="E1029" s="119">
        <f>Table6[[#This Row],[Date]]-DAY(Table6[[#This Row],[Date]])+1</f>
        <v>45839</v>
      </c>
      <c r="F1029" s="373">
        <v>45860</v>
      </c>
      <c r="G1029" s="374" t="s">
        <v>118</v>
      </c>
      <c r="H1029" s="39" t="str">
        <f>_xlfn.XLOOKUP(Table6[[#This Row],[Affected WTG]],'Basic Data'!$A:$A,'Basic Data'!$B:$B)</f>
        <v>PWEGPL</v>
      </c>
      <c r="I1029" s="39" t="str">
        <f>_xlfn.XLOOKUP(Table6[[#This Row],[Affected WTG]],'Basic Data'!$A:$A,'Basic Data'!$C:$C)</f>
        <v>MSEDCL</v>
      </c>
      <c r="J1029" s="381">
        <f>IFERROR(VLOOKUP(Table6[[#This Row],[Affected WTG]],'Basic Data'!$A$3:$E$56,5,0),"")</f>
        <v>2.564102564102564E-2</v>
      </c>
      <c r="K1029" s="105">
        <v>700</v>
      </c>
      <c r="L1029" s="39" t="str">
        <f>IFERROR(VLOOKUP(Table6[[#This Row],[Error Code]],'Basic Data'!$T:$U,2,0),"")</f>
        <v>PLC-Converter Communication Error</v>
      </c>
      <c r="M1029" s="346" t="s">
        <v>462</v>
      </c>
      <c r="N1029" s="105" t="s">
        <v>1270</v>
      </c>
      <c r="O1029" s="330">
        <v>0.58680555555555558</v>
      </c>
      <c r="P1029" s="330">
        <v>0.65972222222222221</v>
      </c>
      <c r="Q1029" s="330">
        <v>0.67083333333333328</v>
      </c>
      <c r="R1029" s="382">
        <f>IF(Table6[[#This Row],[Work Start TimeStamp]]="","",(Table6[[#This Row],[Work Start TimeStamp]]-Table6[[#This Row],[Fault Start TimeStamp]])*24)</f>
        <v>1.7499999999999991</v>
      </c>
      <c r="S1029" s="382">
        <f>(Table6[[#This Row],[Fault Clearance time]]-Table6[[#This Row],[Work Start TimeStamp]])*24</f>
        <v>0.26666666666666572</v>
      </c>
      <c r="T1029" s="385">
        <f>(Table6[[#This Row],[Fault Clearance time]]-Table6[[#This Row],[Fault Start TimeStamp]])*24</f>
        <v>2.0166666666666648</v>
      </c>
      <c r="U1029" s="346" t="s">
        <v>493</v>
      </c>
      <c r="V1029" s="346" t="s">
        <v>463</v>
      </c>
      <c r="W1029" s="377">
        <f>Table6[[#This Row],[Breakdown Time]]*(1/39)</f>
        <v>5.1709401709401658E-2</v>
      </c>
      <c r="X1029" s="337" t="s">
        <v>465</v>
      </c>
      <c r="Y1029" s="346" t="s">
        <v>117</v>
      </c>
      <c r="Z1029" s="105">
        <v>6092</v>
      </c>
      <c r="AA1029" s="107">
        <f>IFERROR((Table6[[#This Row],[Paired WTG Generation for loss calculation]]/24)*Table6[[#This Row],[Breakdown Time]],"")</f>
        <v>511.89722222222179</v>
      </c>
      <c r="AB1029" s="107" t="s">
        <v>478</v>
      </c>
      <c r="AC1029" s="105"/>
      <c r="AD1029" s="105"/>
    </row>
    <row r="1030" spans="1:30">
      <c r="A1030" s="105">
        <f t="shared" si="16"/>
        <v>1029</v>
      </c>
      <c r="B1030" s="371">
        <f>YEAR(Table6[[#This Row],[Date]])+IF(MONTH(Table6[[#This Row],[Date]])&gt;=4,1,0)</f>
        <v>2026</v>
      </c>
      <c r="C1030" s="372">
        <f>YEAR(Table6[[#This Row],[Date]])</f>
        <v>2025</v>
      </c>
      <c r="D1030" s="105" t="s">
        <v>490</v>
      </c>
      <c r="E1030" s="119">
        <f>Table6[[#This Row],[Date]]-DAY(Table6[[#This Row],[Date]])+1</f>
        <v>45839</v>
      </c>
      <c r="F1030" s="373">
        <v>45860</v>
      </c>
      <c r="G1030" s="374" t="s">
        <v>130</v>
      </c>
      <c r="H1030" s="39" t="str">
        <f>_xlfn.XLOOKUP(Table6[[#This Row],[Affected WTG]],'Basic Data'!$A:$A,'Basic Data'!$B:$B)</f>
        <v>PWEGPL</v>
      </c>
      <c r="I1030" s="39" t="str">
        <f>_xlfn.XLOOKUP(Table6[[#This Row],[Affected WTG]],'Basic Data'!$A:$A,'Basic Data'!$C:$C)</f>
        <v>MSEDCL</v>
      </c>
      <c r="J1030" s="381">
        <f>IFERROR(VLOOKUP(Table6[[#This Row],[Affected WTG]],'Basic Data'!$A$3:$E$56,5,0),"")</f>
        <v>2.564102564102564E-2</v>
      </c>
      <c r="K1030" s="105">
        <v>700</v>
      </c>
      <c r="L1030" s="39" t="str">
        <f>IFERROR(VLOOKUP(Table6[[#This Row],[Error Code]],'Basic Data'!$T:$U,2,0),"")</f>
        <v>PLC-Converter Communication Error</v>
      </c>
      <c r="M1030" s="346" t="s">
        <v>462</v>
      </c>
      <c r="N1030" s="105" t="s">
        <v>1270</v>
      </c>
      <c r="O1030" s="330">
        <v>0.46319444444444446</v>
      </c>
      <c r="P1030" s="330">
        <v>0.47916666666666669</v>
      </c>
      <c r="Q1030" s="330">
        <v>0.48055555555555557</v>
      </c>
      <c r="R1030" s="382">
        <f>IF(Table6[[#This Row],[Work Start TimeStamp]]="","",(Table6[[#This Row],[Work Start TimeStamp]]-Table6[[#This Row],[Fault Start TimeStamp]])*24)</f>
        <v>0.3833333333333333</v>
      </c>
      <c r="S1030" s="382">
        <f>(Table6[[#This Row],[Fault Clearance time]]-Table6[[#This Row],[Work Start TimeStamp]])*24</f>
        <v>3.3333333333333215E-2</v>
      </c>
      <c r="T1030" s="385">
        <f>(Table6[[#This Row],[Fault Clearance time]]-Table6[[#This Row],[Fault Start TimeStamp]])*24</f>
        <v>0.41666666666666652</v>
      </c>
      <c r="U1030" s="346" t="s">
        <v>493</v>
      </c>
      <c r="V1030" s="346" t="s">
        <v>463</v>
      </c>
      <c r="W1030" s="377">
        <f>Table6[[#This Row],[Breakdown Time]]*(1/39)</f>
        <v>1.0683760683760679E-2</v>
      </c>
      <c r="X1030" s="337" t="s">
        <v>465</v>
      </c>
      <c r="Y1030" s="346" t="s">
        <v>131</v>
      </c>
      <c r="Z1030" s="105">
        <v>6582</v>
      </c>
      <c r="AA1030" s="107">
        <f>IFERROR((Table6[[#This Row],[Paired WTG Generation for loss calculation]]/24)*Table6[[#This Row],[Breakdown Time]],"")</f>
        <v>114.27083333333329</v>
      </c>
      <c r="AB1030" s="107" t="s">
        <v>478</v>
      </c>
      <c r="AC1030" s="105"/>
      <c r="AD1030" s="105"/>
    </row>
    <row r="1031" spans="1:30">
      <c r="A1031" s="105">
        <f t="shared" si="16"/>
        <v>1030</v>
      </c>
      <c r="B1031" s="371">
        <f>YEAR(Table6[[#This Row],[Date]])+IF(MONTH(Table6[[#This Row],[Date]])&gt;=4,1,0)</f>
        <v>2026</v>
      </c>
      <c r="C1031" s="372">
        <f>YEAR(Table6[[#This Row],[Date]])</f>
        <v>2025</v>
      </c>
      <c r="D1031" s="105" t="s">
        <v>490</v>
      </c>
      <c r="E1031" s="119">
        <f>Table6[[#This Row],[Date]]-DAY(Table6[[#This Row],[Date]])+1</f>
        <v>45839</v>
      </c>
      <c r="F1031" s="373">
        <v>45860</v>
      </c>
      <c r="G1031" s="374" t="s">
        <v>130</v>
      </c>
      <c r="H1031" s="39" t="str">
        <f>_xlfn.XLOOKUP(Table6[[#This Row],[Affected WTG]],'Basic Data'!$A:$A,'Basic Data'!$B:$B)</f>
        <v>PWEGPL</v>
      </c>
      <c r="I1031" s="39" t="str">
        <f>_xlfn.XLOOKUP(Table6[[#This Row],[Affected WTG]],'Basic Data'!$A:$A,'Basic Data'!$C:$C)</f>
        <v>MSEDCL</v>
      </c>
      <c r="J1031" s="381">
        <f>IFERROR(VLOOKUP(Table6[[#This Row],[Affected WTG]],'Basic Data'!$A$3:$E$56,5,0),"")</f>
        <v>2.564102564102564E-2</v>
      </c>
      <c r="K1031" s="105">
        <v>700</v>
      </c>
      <c r="L1031" s="39" t="str">
        <f>IFERROR(VLOOKUP(Table6[[#This Row],[Error Code]],'Basic Data'!$T:$U,2,0),"")</f>
        <v>PLC-Converter Communication Error</v>
      </c>
      <c r="M1031" s="346" t="s">
        <v>462</v>
      </c>
      <c r="N1031" s="105" t="s">
        <v>1270</v>
      </c>
      <c r="O1031" s="330">
        <v>0.60763888888888884</v>
      </c>
      <c r="P1031" s="330">
        <v>0.72916666666666663</v>
      </c>
      <c r="Q1031" s="330">
        <v>0.73055555555555551</v>
      </c>
      <c r="R1031" s="382">
        <f>IF(Table6[[#This Row],[Work Start TimeStamp]]="","",(Table6[[#This Row],[Work Start TimeStamp]]-Table6[[#This Row],[Fault Start TimeStamp]])*24)</f>
        <v>2.916666666666667</v>
      </c>
      <c r="S1031" s="382">
        <f>(Table6[[#This Row],[Fault Clearance time]]-Table6[[#This Row],[Work Start TimeStamp]])*24</f>
        <v>3.3333333333333215E-2</v>
      </c>
      <c r="T1031" s="385">
        <f>(Table6[[#This Row],[Fault Clearance time]]-Table6[[#This Row],[Fault Start TimeStamp]])*24</f>
        <v>2.95</v>
      </c>
      <c r="U1031" s="346" t="s">
        <v>493</v>
      </c>
      <c r="V1031" s="346" t="s">
        <v>463</v>
      </c>
      <c r="W1031" s="377">
        <f>Table6[[#This Row],[Breakdown Time]]*(1/39)</f>
        <v>7.564102564102565E-2</v>
      </c>
      <c r="X1031" s="337" t="s">
        <v>465</v>
      </c>
      <c r="Y1031" s="346" t="s">
        <v>131</v>
      </c>
      <c r="Z1031" s="105">
        <v>6582</v>
      </c>
      <c r="AA1031" s="107">
        <f>IFERROR((Table6[[#This Row],[Paired WTG Generation for loss calculation]]/24)*Table6[[#This Row],[Breakdown Time]],"")</f>
        <v>809.03750000000002</v>
      </c>
      <c r="AB1031" s="107" t="s">
        <v>478</v>
      </c>
      <c r="AC1031" s="105"/>
      <c r="AD1031" s="105"/>
    </row>
    <row r="1032" spans="1:30">
      <c r="A1032" s="105">
        <f t="shared" si="16"/>
        <v>1031</v>
      </c>
      <c r="B1032" s="371">
        <f>YEAR(Table6[[#This Row],[Date]])+IF(MONTH(Table6[[#This Row],[Date]])&gt;=4,1,0)</f>
        <v>2026</v>
      </c>
      <c r="C1032" s="372">
        <f>YEAR(Table6[[#This Row],[Date]])</f>
        <v>2025</v>
      </c>
      <c r="D1032" s="105" t="s">
        <v>490</v>
      </c>
      <c r="E1032" s="119">
        <f>Table6[[#This Row],[Date]]-DAY(Table6[[#This Row],[Date]])+1</f>
        <v>45839</v>
      </c>
      <c r="F1032" s="373">
        <v>45860</v>
      </c>
      <c r="G1032" s="374" t="s">
        <v>136</v>
      </c>
      <c r="H1032" s="39" t="str">
        <f>_xlfn.XLOOKUP(Table6[[#This Row],[Affected WTG]],'Basic Data'!$A:$A,'Basic Data'!$B:$B)</f>
        <v>PWEGPL</v>
      </c>
      <c r="I1032" s="39" t="str">
        <f>_xlfn.XLOOKUP(Table6[[#This Row],[Affected WTG]],'Basic Data'!$A:$A,'Basic Data'!$C:$C)</f>
        <v>MSEDCL</v>
      </c>
      <c r="J1032" s="381">
        <f>IFERROR(VLOOKUP(Table6[[#This Row],[Affected WTG]],'Basic Data'!$A$3:$E$56,5,0),"")</f>
        <v>2.564102564102564E-2</v>
      </c>
      <c r="K1032" s="105">
        <v>509</v>
      </c>
      <c r="L1032" s="39" t="str">
        <f>IFERROR(VLOOKUP(Table6[[#This Row],[Error Code]],'Basic Data'!$T:$U,2,0),"")</f>
        <v>Generator Slipping Ring High Temperature</v>
      </c>
      <c r="M1032" s="346" t="s">
        <v>462</v>
      </c>
      <c r="N1032" s="105" t="s">
        <v>1270</v>
      </c>
      <c r="O1032" s="330">
        <v>0.46875</v>
      </c>
      <c r="P1032" s="330">
        <v>0.49166666666666664</v>
      </c>
      <c r="Q1032" s="330">
        <v>0.78194444444444444</v>
      </c>
      <c r="R1032" s="382">
        <f>IF(Table6[[#This Row],[Work Start TimeStamp]]="","",(Table6[[#This Row],[Work Start TimeStamp]]-Table6[[#This Row],[Fault Start TimeStamp]])*24)</f>
        <v>0.54999999999999938</v>
      </c>
      <c r="S1032" s="382">
        <f>(Table6[[#This Row],[Fault Clearance time]]-Table6[[#This Row],[Work Start TimeStamp]])*24</f>
        <v>6.9666666666666668</v>
      </c>
      <c r="T1032" s="385">
        <f>(Table6[[#This Row],[Fault Clearance time]]-Table6[[#This Row],[Fault Start TimeStamp]])*24</f>
        <v>7.5166666666666666</v>
      </c>
      <c r="U1032" s="346" t="s">
        <v>1394</v>
      </c>
      <c r="V1032" s="346" t="s">
        <v>463</v>
      </c>
      <c r="W1032" s="377">
        <f>Table6[[#This Row],[Breakdown Time]]*(1/39)</f>
        <v>0.19273504273504272</v>
      </c>
      <c r="X1032" s="337" t="s">
        <v>465</v>
      </c>
      <c r="Y1032" s="346" t="s">
        <v>119</v>
      </c>
      <c r="Z1032" s="105">
        <v>5967</v>
      </c>
      <c r="AA1032" s="107">
        <f>IFERROR((Table6[[#This Row],[Paired WTG Generation for loss calculation]]/24)*Table6[[#This Row],[Breakdown Time]],"")</f>
        <v>1868.83125</v>
      </c>
      <c r="AB1032" s="107" t="s">
        <v>478</v>
      </c>
      <c r="AC1032" s="105"/>
      <c r="AD1032" s="105"/>
    </row>
    <row r="1033" spans="1:30">
      <c r="A1033" s="105">
        <f t="shared" si="16"/>
        <v>1032</v>
      </c>
      <c r="B1033" s="371">
        <f>YEAR(Table6[[#This Row],[Date]])+IF(MONTH(Table6[[#This Row],[Date]])&gt;=4,1,0)</f>
        <v>2026</v>
      </c>
      <c r="C1033" s="372">
        <f>YEAR(Table6[[#This Row],[Date]])</f>
        <v>2025</v>
      </c>
      <c r="D1033" s="105" t="s">
        <v>490</v>
      </c>
      <c r="E1033" s="119">
        <f>Table6[[#This Row],[Date]]-DAY(Table6[[#This Row],[Date]])+1</f>
        <v>45839</v>
      </c>
      <c r="F1033" s="373">
        <v>45860</v>
      </c>
      <c r="G1033" s="374" t="s">
        <v>144</v>
      </c>
      <c r="H1033" s="39" t="str">
        <f>_xlfn.XLOOKUP(Table6[[#This Row],[Affected WTG]],'Basic Data'!$A:$A,'Basic Data'!$B:$B)</f>
        <v>PWEGPL</v>
      </c>
      <c r="I1033" s="39" t="str">
        <f>_xlfn.XLOOKUP(Table6[[#This Row],[Affected WTG]],'Basic Data'!$A:$A,'Basic Data'!$C:$C)</f>
        <v>MSEDCL</v>
      </c>
      <c r="J1033" s="381">
        <f>IFERROR(VLOOKUP(Table6[[#This Row],[Affected WTG]],'Basic Data'!$A$3:$E$56,5,0),"")</f>
        <v>2.564102564102564E-2</v>
      </c>
      <c r="K1033" s="105" t="s">
        <v>476</v>
      </c>
      <c r="L1033" s="387" t="str">
        <f>IFERROR(VLOOKUP(Table6[[#This Row],[Error Code]],'Basic Data'!$T:$U,2,0),"")</f>
        <v>Manual Stop - Preventive Maintenance Activity</v>
      </c>
      <c r="M1033" s="346" t="s">
        <v>474</v>
      </c>
      <c r="N1033" s="105" t="s">
        <v>230</v>
      </c>
      <c r="O1033" s="330">
        <v>0.48749999999999999</v>
      </c>
      <c r="P1033" s="330">
        <v>0.48749999999999999</v>
      </c>
      <c r="Q1033" s="330">
        <v>0.77083333333333337</v>
      </c>
      <c r="R1033" s="382">
        <f>IF(Table6[[#This Row],[Work Start TimeStamp]]="","",(Table6[[#This Row],[Work Start TimeStamp]]-Table6[[#This Row],[Fault Start TimeStamp]])*24)</f>
        <v>0</v>
      </c>
      <c r="S1033" s="382">
        <f>(Table6[[#This Row],[Fault Clearance time]]-Table6[[#This Row],[Work Start TimeStamp]])*24</f>
        <v>6.8000000000000007</v>
      </c>
      <c r="T1033" s="385">
        <f>(Table6[[#This Row],[Fault Clearance time]]-Table6[[#This Row],[Fault Start TimeStamp]])*24</f>
        <v>6.8000000000000007</v>
      </c>
      <c r="U1033" s="346" t="s">
        <v>582</v>
      </c>
      <c r="V1033" s="346" t="s">
        <v>463</v>
      </c>
      <c r="W1033" s="377">
        <f>Table6[[#This Row],[Breakdown Time]]*(1/39)</f>
        <v>0.17435897435897438</v>
      </c>
      <c r="X1033" s="337" t="s">
        <v>467</v>
      </c>
      <c r="Y1033" s="346" t="s">
        <v>143</v>
      </c>
      <c r="Z1033" s="105">
        <v>5998</v>
      </c>
      <c r="AA1033" s="107">
        <f>IFERROR((Table6[[#This Row],[Paired WTG Generation for loss calculation]]/24)*Table6[[#This Row],[Breakdown Time]],"")</f>
        <v>1699.4333333333334</v>
      </c>
      <c r="AB1033" s="107" t="s">
        <v>478</v>
      </c>
      <c r="AC1033" s="105"/>
      <c r="AD1033" s="105"/>
    </row>
    <row r="1034" spans="1:30">
      <c r="A1034" s="105">
        <f t="shared" si="16"/>
        <v>1033</v>
      </c>
      <c r="B1034" s="371">
        <f>YEAR(Table6[[#This Row],[Date]])+IF(MONTH(Table6[[#This Row],[Date]])&gt;=4,1,0)</f>
        <v>2026</v>
      </c>
      <c r="C1034" s="372">
        <f>YEAR(Table6[[#This Row],[Date]])</f>
        <v>2025</v>
      </c>
      <c r="D1034" s="105" t="s">
        <v>490</v>
      </c>
      <c r="E1034" s="119">
        <f>Table6[[#This Row],[Date]]-DAY(Table6[[#This Row],[Date]])+1</f>
        <v>45839</v>
      </c>
      <c r="F1034" s="373">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105"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77">
        <f>Table6[[#This Row],[Breakdown Time]]*(1/39)</f>
        <v>0.61537749287749288</v>
      </c>
      <c r="X1034" s="336" t="s">
        <v>1212</v>
      </c>
      <c r="Y1034" s="352" t="s">
        <v>143</v>
      </c>
      <c r="Z1034" s="105">
        <v>9357</v>
      </c>
      <c r="AA1034" s="107">
        <f>IFERROR((Table6[[#This Row],[Paired WTG Generation for loss calculation]]/24)*Table6[[#This Row],[Breakdown Time]],"")</f>
        <v>9356.8917013888895</v>
      </c>
      <c r="AB1034" s="107" t="s">
        <v>478</v>
      </c>
      <c r="AC1034" s="105"/>
      <c r="AD1034" s="105"/>
    </row>
    <row r="1035" spans="1:30">
      <c r="A1035" s="105">
        <f t="shared" si="16"/>
        <v>1034</v>
      </c>
      <c r="B1035" s="371">
        <f>YEAR(Table6[[#This Row],[Date]])+IF(MONTH(Table6[[#This Row],[Date]])&gt;=4,1,0)</f>
        <v>2026</v>
      </c>
      <c r="C1035" s="372">
        <f>YEAR(Table6[[#This Row],[Date]])</f>
        <v>2025</v>
      </c>
      <c r="D1035" s="105" t="s">
        <v>490</v>
      </c>
      <c r="E1035" s="119">
        <f>Table6[[#This Row],[Date]]-DAY(Table6[[#This Row],[Date]])+1</f>
        <v>45839</v>
      </c>
      <c r="F1035" s="373">
        <v>45861</v>
      </c>
      <c r="G1035" s="374" t="s">
        <v>115</v>
      </c>
      <c r="H1035" s="39" t="str">
        <f>_xlfn.XLOOKUP(Table6[[#This Row],[Affected WTG]],'Basic Data'!$A:$A,'Basic Data'!$B:$B)</f>
        <v>PWEGPL</v>
      </c>
      <c r="I1035" s="39" t="str">
        <f>_xlfn.XLOOKUP(Table6[[#This Row],[Affected WTG]],'Basic Data'!$A:$A,'Basic Data'!$C:$C)</f>
        <v>MSEDCL</v>
      </c>
      <c r="J1035" s="381">
        <f>IFERROR(VLOOKUP(Table6[[#This Row],[Affected WTG]],'Basic Data'!$A$3:$E$56,5,0),"")</f>
        <v>2.564102564102564E-2</v>
      </c>
      <c r="K1035" s="105">
        <v>5210</v>
      </c>
      <c r="L1035" s="39" t="str">
        <f>IFERROR(VLOOKUP(Table6[[#This Row],[Error Code]],'Basic Data'!$T:$U,2,0),"")</f>
        <v>Failure Of The Contactor's Rotor Power</v>
      </c>
      <c r="M1035" s="346" t="s">
        <v>462</v>
      </c>
      <c r="N1035" s="105" t="s">
        <v>1270</v>
      </c>
      <c r="O1035" s="330">
        <v>0.58472222222222225</v>
      </c>
      <c r="P1035" s="330">
        <v>0.60763888888888884</v>
      </c>
      <c r="Q1035" s="330">
        <v>0.60902777777777772</v>
      </c>
      <c r="R1035" s="382">
        <f>IF(Table6[[#This Row],[Work Start TimeStamp]]="","",(Table6[[#This Row],[Work Start TimeStamp]]-Table6[[#This Row],[Fault Start TimeStamp]])*24)</f>
        <v>0.54999999999999805</v>
      </c>
      <c r="S1035" s="382">
        <f>(Table6[[#This Row],[Fault Clearance time]]-Table6[[#This Row],[Work Start TimeStamp]])*24</f>
        <v>3.3333333333333215E-2</v>
      </c>
      <c r="T1035" s="385">
        <f>(Table6[[#This Row],[Fault Clearance time]]-Table6[[#This Row],[Fault Start TimeStamp]])*24</f>
        <v>0.58333333333333126</v>
      </c>
      <c r="U1035" s="346" t="s">
        <v>493</v>
      </c>
      <c r="V1035" s="346" t="s">
        <v>463</v>
      </c>
      <c r="W1035" s="377">
        <f>Table6[[#This Row],[Breakdown Time]]*(1/39)</f>
        <v>1.4957264957264904E-2</v>
      </c>
      <c r="X1035" s="337" t="s">
        <v>465</v>
      </c>
      <c r="Y1035" s="346" t="s">
        <v>121</v>
      </c>
      <c r="Z1035" s="105">
        <v>9649</v>
      </c>
      <c r="AA1035" s="107">
        <f>IFERROR((Table6[[#This Row],[Paired WTG Generation for loss calculation]]/24)*Table6[[#This Row],[Breakdown Time]],"")</f>
        <v>234.52430555555475</v>
      </c>
      <c r="AB1035" s="107" t="s">
        <v>478</v>
      </c>
      <c r="AC1035" s="105"/>
      <c r="AD1035" s="105"/>
    </row>
    <row r="1036" spans="1:30">
      <c r="A1036" s="105">
        <f t="shared" si="16"/>
        <v>1035</v>
      </c>
      <c r="B1036" s="371">
        <f>YEAR(Table6[[#This Row],[Date]])+IF(MONTH(Table6[[#This Row],[Date]])&gt;=4,1,0)</f>
        <v>2026</v>
      </c>
      <c r="C1036" s="372">
        <f>YEAR(Table6[[#This Row],[Date]])</f>
        <v>2025</v>
      </c>
      <c r="D1036" s="105" t="s">
        <v>490</v>
      </c>
      <c r="E1036" s="119">
        <f>Table6[[#This Row],[Date]]-DAY(Table6[[#This Row],[Date]])+1</f>
        <v>45839</v>
      </c>
      <c r="F1036" s="373">
        <v>45861</v>
      </c>
      <c r="G1036" s="374" t="s">
        <v>130</v>
      </c>
      <c r="H1036" s="39" t="str">
        <f>_xlfn.XLOOKUP(Table6[[#This Row],[Affected WTG]],'Basic Data'!$A:$A,'Basic Data'!$B:$B)</f>
        <v>PWEGPL</v>
      </c>
      <c r="I1036" s="39" t="str">
        <f>_xlfn.XLOOKUP(Table6[[#This Row],[Affected WTG]],'Basic Data'!$A:$A,'Basic Data'!$C:$C)</f>
        <v>MSEDCL</v>
      </c>
      <c r="J1036" s="381">
        <f>IFERROR(VLOOKUP(Table6[[#This Row],[Affected WTG]],'Basic Data'!$A$3:$E$56,5,0),"")</f>
        <v>2.564102564102564E-2</v>
      </c>
      <c r="K1036" s="105">
        <v>700</v>
      </c>
      <c r="L1036" s="39" t="str">
        <f>IFERROR(VLOOKUP(Table6[[#This Row],[Error Code]],'Basic Data'!$T:$U,2,0),"")</f>
        <v>PLC-Converter Communication Error</v>
      </c>
      <c r="M1036" s="346" t="s">
        <v>462</v>
      </c>
      <c r="N1036" s="105" t="s">
        <v>1270</v>
      </c>
      <c r="O1036" s="330">
        <v>0.46527777777777779</v>
      </c>
      <c r="P1036" s="330">
        <v>0.47569444444444442</v>
      </c>
      <c r="Q1036" s="330">
        <v>0.55625000000000002</v>
      </c>
      <c r="R1036" s="382">
        <f>IF(Table6[[#This Row],[Work Start TimeStamp]]="","",(Table6[[#This Row],[Work Start TimeStamp]]-Table6[[#This Row],[Fault Start TimeStamp]])*24)</f>
        <v>0.24999999999999911</v>
      </c>
      <c r="S1036" s="382">
        <f>(Table6[[#This Row],[Fault Clearance time]]-Table6[[#This Row],[Work Start TimeStamp]])*24</f>
        <v>1.9333333333333345</v>
      </c>
      <c r="T1036" s="385">
        <f>(Table6[[#This Row],[Fault Clearance time]]-Table6[[#This Row],[Fault Start TimeStamp]])*24</f>
        <v>2.1833333333333336</v>
      </c>
      <c r="U1036" s="346" t="s">
        <v>1396</v>
      </c>
      <c r="V1036" s="346" t="s">
        <v>463</v>
      </c>
      <c r="W1036" s="377">
        <f>Table6[[#This Row],[Breakdown Time]]*(1/39)</f>
        <v>5.5982905982905985E-2</v>
      </c>
      <c r="X1036" s="337" t="s">
        <v>465</v>
      </c>
      <c r="Y1036" s="346" t="s">
        <v>131</v>
      </c>
      <c r="Z1036" s="105">
        <v>10015</v>
      </c>
      <c r="AA1036" s="107">
        <f>IFERROR((Table6[[#This Row],[Paired WTG Generation for loss calculation]]/24)*Table6[[#This Row],[Breakdown Time]],"")</f>
        <v>911.08680555555566</v>
      </c>
      <c r="AB1036" s="107" t="s">
        <v>478</v>
      </c>
      <c r="AC1036" s="105"/>
      <c r="AD1036" s="105"/>
    </row>
    <row r="1037" spans="1:30">
      <c r="A1037" s="105">
        <f t="shared" si="16"/>
        <v>1036</v>
      </c>
      <c r="B1037" s="371">
        <f>YEAR(Table6[[#This Row],[Date]])+IF(MONTH(Table6[[#This Row],[Date]])&gt;=4,1,0)</f>
        <v>2026</v>
      </c>
      <c r="C1037" s="372">
        <f>YEAR(Table6[[#This Row],[Date]])</f>
        <v>2025</v>
      </c>
      <c r="D1037" s="105" t="s">
        <v>490</v>
      </c>
      <c r="E1037" s="119">
        <f>Table6[[#This Row],[Date]]-DAY(Table6[[#This Row],[Date]])+1</f>
        <v>45839</v>
      </c>
      <c r="F1037" s="373">
        <v>45861</v>
      </c>
      <c r="G1037" s="374" t="s">
        <v>149</v>
      </c>
      <c r="H1037" s="39" t="str">
        <f>_xlfn.XLOOKUP(Table6[[#This Row],[Affected WTG]],'Basic Data'!$A:$A,'Basic Data'!$B:$B)</f>
        <v>PWEGPL</v>
      </c>
      <c r="I1037" s="39" t="str">
        <f>_xlfn.XLOOKUP(Table6[[#This Row],[Affected WTG]],'Basic Data'!$A:$A,'Basic Data'!$C:$C)</f>
        <v>MSEDCL</v>
      </c>
      <c r="J1037" s="381">
        <f>IFERROR(VLOOKUP(Table6[[#This Row],[Affected WTG]],'Basic Data'!$A$3:$E$56,5,0),"")</f>
        <v>2.564102564102564E-2</v>
      </c>
      <c r="K1037" s="105">
        <v>2118</v>
      </c>
      <c r="L1037" s="39" t="str">
        <f>IFERROR(VLOOKUP(Table6[[#This Row],[Error Code]],'Basic Data'!$T:$U,2,0),"")</f>
        <v>Bus Error - Interbus Failure</v>
      </c>
      <c r="M1037" s="346" t="s">
        <v>462</v>
      </c>
      <c r="N1037" s="105" t="s">
        <v>1270</v>
      </c>
      <c r="O1037" s="330">
        <v>0.54305555555555551</v>
      </c>
      <c r="P1037" s="330">
        <v>0.56319444444444444</v>
      </c>
      <c r="Q1037" s="330">
        <v>0.60555555555555551</v>
      </c>
      <c r="R1037" s="382">
        <f>IF(Table6[[#This Row],[Work Start TimeStamp]]="","",(Table6[[#This Row],[Work Start TimeStamp]]-Table6[[#This Row],[Fault Start TimeStamp]])*24)</f>
        <v>0.48333333333333428</v>
      </c>
      <c r="S1037" s="382">
        <f>(Table6[[#This Row],[Fault Clearance time]]-Table6[[#This Row],[Work Start TimeStamp]])*24</f>
        <v>1.0166666666666657</v>
      </c>
      <c r="T1037" s="385">
        <f>(Table6[[#This Row],[Fault Clearance time]]-Table6[[#This Row],[Fault Start TimeStamp]])*24</f>
        <v>1.5</v>
      </c>
      <c r="U1037" s="346" t="s">
        <v>612</v>
      </c>
      <c r="V1037" s="346" t="s">
        <v>463</v>
      </c>
      <c r="W1037" s="377">
        <f>Table6[[#This Row],[Breakdown Time]]*(1/39)</f>
        <v>3.8461538461538464E-2</v>
      </c>
      <c r="X1037" s="337" t="s">
        <v>465</v>
      </c>
      <c r="Y1037" s="346" t="s">
        <v>148</v>
      </c>
      <c r="Z1037" s="105">
        <v>7850</v>
      </c>
      <c r="AA1037" s="107">
        <f>IFERROR((Table6[[#This Row],[Paired WTG Generation for loss calculation]]/24)*Table6[[#This Row],[Breakdown Time]],"")</f>
        <v>490.625</v>
      </c>
      <c r="AB1037" s="107" t="s">
        <v>478</v>
      </c>
      <c r="AC1037" s="105"/>
      <c r="AD1037" s="105"/>
    </row>
    <row r="1038" spans="1:30">
      <c r="A1038" s="105">
        <f t="shared" si="16"/>
        <v>1037</v>
      </c>
      <c r="B1038" s="371">
        <f>YEAR(Table6[[#This Row],[Date]])+IF(MONTH(Table6[[#This Row],[Date]])&gt;=4,1,0)</f>
        <v>2026</v>
      </c>
      <c r="C1038" s="372">
        <f>YEAR(Table6[[#This Row],[Date]])</f>
        <v>2025</v>
      </c>
      <c r="D1038" s="105" t="s">
        <v>490</v>
      </c>
      <c r="E1038" s="119">
        <f>Table6[[#This Row],[Date]]-DAY(Table6[[#This Row],[Date]])+1</f>
        <v>45839</v>
      </c>
      <c r="F1038" s="373">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105"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77">
        <f>Table6[[#This Row],[Breakdown Time]]*(1/39)</f>
        <v>0.61537749287749288</v>
      </c>
      <c r="X1038" s="336" t="s">
        <v>1212</v>
      </c>
      <c r="Y1038" s="352" t="s">
        <v>143</v>
      </c>
      <c r="Z1038" s="105">
        <v>11021</v>
      </c>
      <c r="AA1038" s="107">
        <f>IFERROR((Table6[[#This Row],[Paired WTG Generation for loss calculation]]/24)*Table6[[#This Row],[Breakdown Time]],"")</f>
        <v>11020.87244212963</v>
      </c>
      <c r="AB1038" s="107" t="s">
        <v>478</v>
      </c>
      <c r="AC1038" s="105"/>
      <c r="AD1038" s="105"/>
    </row>
    <row r="1039" spans="1:30">
      <c r="A1039" s="105">
        <f t="shared" si="16"/>
        <v>1038</v>
      </c>
      <c r="B1039" s="371">
        <f>YEAR(Table6[[#This Row],[Date]])+IF(MONTH(Table6[[#This Row],[Date]])&gt;=4,1,0)</f>
        <v>2026</v>
      </c>
      <c r="C1039" s="372">
        <f>YEAR(Table6[[#This Row],[Date]])</f>
        <v>2025</v>
      </c>
      <c r="D1039" s="105" t="s">
        <v>490</v>
      </c>
      <c r="E1039" s="119">
        <f>Table6[[#This Row],[Date]]-DAY(Table6[[#This Row],[Date]])+1</f>
        <v>45839</v>
      </c>
      <c r="F1039" s="373">
        <v>45862</v>
      </c>
      <c r="G1039" s="374" t="s">
        <v>116</v>
      </c>
      <c r="H1039" s="39" t="str">
        <f>_xlfn.XLOOKUP(Table6[[#This Row],[Affected WTG]],'Basic Data'!$A:$A,'Basic Data'!$B:$B)</f>
        <v>PWEGPL</v>
      </c>
      <c r="I1039" s="39" t="str">
        <f>_xlfn.XLOOKUP(Table6[[#This Row],[Affected WTG]],'Basic Data'!$A:$A,'Basic Data'!$C:$C)</f>
        <v>MSEDCL</v>
      </c>
      <c r="J1039" s="381">
        <f>IFERROR(VLOOKUP(Table6[[#This Row],[Affected WTG]],'Basic Data'!$A$3:$E$56,5,0),"")</f>
        <v>2.564102564102564E-2</v>
      </c>
      <c r="K1039" s="105">
        <v>5225</v>
      </c>
      <c r="L1039" s="39" t="str">
        <f>IFERROR(VLOOKUP(Table6[[#This Row],[Error Code]],'Basic Data'!$T:$U,2,0),"")</f>
        <v>Fault In Analog Electronic Power Supply</v>
      </c>
      <c r="M1039" s="346" t="s">
        <v>462</v>
      </c>
      <c r="N1039" s="105" t="s">
        <v>1270</v>
      </c>
      <c r="O1039" s="347">
        <v>0.99027777777777781</v>
      </c>
      <c r="P1039" s="347">
        <v>0.99998842592592596</v>
      </c>
      <c r="Q1039" s="347">
        <v>0.99998842592592596</v>
      </c>
      <c r="R1039" s="382">
        <f>IF(Table6[[#This Row],[Work Start TimeStamp]]="","",(Table6[[#This Row],[Work Start TimeStamp]]-Table6[[#This Row],[Fault Start TimeStamp]])*24)</f>
        <v>0.23305555555555557</v>
      </c>
      <c r="S1039" s="383">
        <f>(Table6[[#This Row],[Fault Clearance time]]-Table6[[#This Row],[Work Start TimeStamp]])*24</f>
        <v>0</v>
      </c>
      <c r="T1039" s="384">
        <f>(Table6[[#This Row],[Fault Clearance time]]-Table6[[#This Row],[Fault Start TimeStamp]])*24</f>
        <v>0.23305555555555557</v>
      </c>
      <c r="U1039" s="346" t="s">
        <v>1400</v>
      </c>
      <c r="V1039" s="351" t="s">
        <v>473</v>
      </c>
      <c r="W1039" s="377">
        <f>Table6[[#This Row],[Breakdown Time]]*(1/39)</f>
        <v>5.9757834757834761E-3</v>
      </c>
      <c r="X1039" s="336" t="s">
        <v>465</v>
      </c>
      <c r="Y1039" s="352" t="s">
        <v>118</v>
      </c>
      <c r="Z1039" s="105">
        <v>12023</v>
      </c>
      <c r="AA1039" s="107">
        <f>IFERROR((Table6[[#This Row],[Paired WTG Generation for loss calculation]]/24)*Table6[[#This Row],[Breakdown Time]],"")</f>
        <v>116.75112268518519</v>
      </c>
      <c r="AB1039" s="107" t="s">
        <v>478</v>
      </c>
      <c r="AC1039" s="105"/>
      <c r="AD1039" s="105"/>
    </row>
    <row r="1040" spans="1:30">
      <c r="A1040" s="105">
        <f t="shared" si="16"/>
        <v>1039</v>
      </c>
      <c r="B1040" s="371">
        <f>YEAR(Table6[[#This Row],[Date]])+IF(MONTH(Table6[[#This Row],[Date]])&gt;=4,1,0)</f>
        <v>2026</v>
      </c>
      <c r="C1040" s="372">
        <f>YEAR(Table6[[#This Row],[Date]])</f>
        <v>2025</v>
      </c>
      <c r="D1040" s="105" t="s">
        <v>490</v>
      </c>
      <c r="E1040" s="119">
        <f>Table6[[#This Row],[Date]]-DAY(Table6[[#This Row],[Date]])+1</f>
        <v>45839</v>
      </c>
      <c r="F1040" s="373">
        <v>45862</v>
      </c>
      <c r="G1040" s="374" t="s">
        <v>130</v>
      </c>
      <c r="H1040" s="39" t="str">
        <f>_xlfn.XLOOKUP(Table6[[#This Row],[Affected WTG]],'Basic Data'!$A:$A,'Basic Data'!$B:$B)</f>
        <v>PWEGPL</v>
      </c>
      <c r="I1040" s="39" t="str">
        <f>_xlfn.XLOOKUP(Table6[[#This Row],[Affected WTG]],'Basic Data'!$A:$A,'Basic Data'!$C:$C)</f>
        <v>MSEDCL</v>
      </c>
      <c r="J1040" s="381">
        <f>IFERROR(VLOOKUP(Table6[[#This Row],[Affected WTG]],'Basic Data'!$A$3:$E$56,5,0),"")</f>
        <v>2.564102564102564E-2</v>
      </c>
      <c r="K1040" s="105">
        <v>700</v>
      </c>
      <c r="L1040" s="39" t="str">
        <f>IFERROR(VLOOKUP(Table6[[#This Row],[Error Code]],'Basic Data'!$T:$U,2,0),"")</f>
        <v>PLC-Converter Communication Error</v>
      </c>
      <c r="M1040" s="346" t="s">
        <v>462</v>
      </c>
      <c r="N1040" s="105" t="s">
        <v>1270</v>
      </c>
      <c r="O1040" s="330">
        <v>0.38541666666666669</v>
      </c>
      <c r="P1040" s="330">
        <v>0.39930555555555558</v>
      </c>
      <c r="Q1040" s="330">
        <v>0.40069444444444446</v>
      </c>
      <c r="R1040" s="382">
        <f>IF(Table6[[#This Row],[Work Start TimeStamp]]="","",(Table6[[#This Row],[Work Start TimeStamp]]-Table6[[#This Row],[Fault Start TimeStamp]])*24)</f>
        <v>0.33333333333333348</v>
      </c>
      <c r="S1040" s="382">
        <f>(Table6[[#This Row],[Fault Clearance time]]-Table6[[#This Row],[Work Start TimeStamp]])*24</f>
        <v>3.3333333333333215E-2</v>
      </c>
      <c r="T1040" s="385">
        <f>(Table6[[#This Row],[Fault Clearance time]]-Table6[[#This Row],[Fault Start TimeStamp]])*24</f>
        <v>0.3666666666666667</v>
      </c>
      <c r="U1040" s="346" t="s">
        <v>493</v>
      </c>
      <c r="V1040" s="346" t="s">
        <v>463</v>
      </c>
      <c r="W1040" s="377">
        <f>Table6[[#This Row],[Breakdown Time]]*(1/39)</f>
        <v>9.401709401709403E-3</v>
      </c>
      <c r="X1040" s="337" t="s">
        <v>465</v>
      </c>
      <c r="Y1040" s="346" t="s">
        <v>131</v>
      </c>
      <c r="Z1040" s="105">
        <v>12849</v>
      </c>
      <c r="AA1040" s="107">
        <f>IFERROR((Table6[[#This Row],[Paired WTG Generation for loss calculation]]/24)*Table6[[#This Row],[Breakdown Time]],"")</f>
        <v>196.30416666666667</v>
      </c>
      <c r="AB1040" s="107" t="s">
        <v>478</v>
      </c>
      <c r="AC1040" s="105"/>
      <c r="AD1040" s="105"/>
    </row>
    <row r="1041" spans="1:30">
      <c r="A1041" s="105">
        <f t="shared" si="16"/>
        <v>1040</v>
      </c>
      <c r="B1041" s="371">
        <f>YEAR(Table6[[#This Row],[Date]])+IF(MONTH(Table6[[#This Row],[Date]])&gt;=4,1,0)</f>
        <v>2026</v>
      </c>
      <c r="C1041" s="372">
        <f>YEAR(Table6[[#This Row],[Date]])</f>
        <v>2025</v>
      </c>
      <c r="D1041" s="105" t="s">
        <v>490</v>
      </c>
      <c r="E1041" s="119">
        <f>Table6[[#This Row],[Date]]-DAY(Table6[[#This Row],[Date]])+1</f>
        <v>45839</v>
      </c>
      <c r="F1041" s="373">
        <v>45862</v>
      </c>
      <c r="G1041" s="374" t="s">
        <v>130</v>
      </c>
      <c r="H1041" s="39" t="str">
        <f>_xlfn.XLOOKUP(Table6[[#This Row],[Affected WTG]],'Basic Data'!$A:$A,'Basic Data'!$B:$B)</f>
        <v>PWEGPL</v>
      </c>
      <c r="I1041" s="39" t="str">
        <f>_xlfn.XLOOKUP(Table6[[#This Row],[Affected WTG]],'Basic Data'!$A:$A,'Basic Data'!$C:$C)</f>
        <v>MSEDCL</v>
      </c>
      <c r="J1041" s="381">
        <f>IFERROR(VLOOKUP(Table6[[#This Row],[Affected WTG]],'Basic Data'!$A$3:$E$56,5,0),"")</f>
        <v>2.564102564102564E-2</v>
      </c>
      <c r="K1041" s="105">
        <v>700</v>
      </c>
      <c r="L1041" s="39" t="str">
        <f>IFERROR(VLOOKUP(Table6[[#This Row],[Error Code]],'Basic Data'!$T:$U,2,0),"")</f>
        <v>PLC-Converter Communication Error</v>
      </c>
      <c r="M1041" s="346" t="s">
        <v>462</v>
      </c>
      <c r="N1041" s="105" t="s">
        <v>1270</v>
      </c>
      <c r="O1041" s="330">
        <v>0.75555555555555554</v>
      </c>
      <c r="P1041" s="330">
        <v>0.78263888888888888</v>
      </c>
      <c r="Q1041" s="330">
        <v>0.99998842592592596</v>
      </c>
      <c r="R1041" s="382">
        <f>IF(Table6[[#This Row],[Work Start TimeStamp]]="","",(Table6[[#This Row],[Work Start TimeStamp]]-Table6[[#This Row],[Fault Start TimeStamp]])*24)</f>
        <v>0.65000000000000036</v>
      </c>
      <c r="S1041" s="382">
        <f>(Table6[[#This Row],[Fault Clearance time]]-Table6[[#This Row],[Work Start TimeStamp]])*24</f>
        <v>5.2163888888888899</v>
      </c>
      <c r="T1041" s="385">
        <f>(Table6[[#This Row],[Fault Clearance time]]-Table6[[#This Row],[Fault Start TimeStamp]])*24</f>
        <v>5.8663888888888902</v>
      </c>
      <c r="U1041" s="346" t="s">
        <v>1397</v>
      </c>
      <c r="V1041" s="346" t="s">
        <v>463</v>
      </c>
      <c r="W1041" s="377">
        <f>Table6[[#This Row],[Breakdown Time]]*(1/39)</f>
        <v>0.15042022792022794</v>
      </c>
      <c r="X1041" s="337" t="s">
        <v>465</v>
      </c>
      <c r="Y1041" s="346" t="s">
        <v>131</v>
      </c>
      <c r="Z1041" s="105">
        <v>12849</v>
      </c>
      <c r="AA1041" s="107">
        <f>IFERROR((Table6[[#This Row],[Paired WTG Generation for loss calculation]]/24)*Table6[[#This Row],[Breakdown Time]],"")</f>
        <v>3140.7179513888896</v>
      </c>
      <c r="AB1041" s="107" t="s">
        <v>478</v>
      </c>
      <c r="AC1041" s="105"/>
      <c r="AD1041" s="105"/>
    </row>
    <row r="1042" spans="1:30">
      <c r="A1042" s="105">
        <f t="shared" si="16"/>
        <v>1041</v>
      </c>
      <c r="B1042" s="371">
        <f>YEAR(Table6[[#This Row],[Date]])+IF(MONTH(Table6[[#This Row],[Date]])&gt;=4,1,0)</f>
        <v>2026</v>
      </c>
      <c r="C1042" s="372">
        <f>YEAR(Table6[[#This Row],[Date]])</f>
        <v>2025</v>
      </c>
      <c r="D1042" s="105" t="s">
        <v>490</v>
      </c>
      <c r="E1042" s="119">
        <f>Table6[[#This Row],[Date]]-DAY(Table6[[#This Row],[Date]])+1</f>
        <v>45839</v>
      </c>
      <c r="F1042" s="373">
        <v>45862</v>
      </c>
      <c r="G1042" s="374" t="s">
        <v>143</v>
      </c>
      <c r="H1042" s="39" t="str">
        <f>_xlfn.XLOOKUP(Table6[[#This Row],[Affected WTG]],'Basic Data'!$A:$A,'Basic Data'!$B:$B)</f>
        <v>PWEGPL</v>
      </c>
      <c r="I1042" s="39" t="str">
        <f>_xlfn.XLOOKUP(Table6[[#This Row],[Affected WTG]],'Basic Data'!$A:$A,'Basic Data'!$C:$C)</f>
        <v>MSEDCL</v>
      </c>
      <c r="J1042" s="381">
        <f>IFERROR(VLOOKUP(Table6[[#This Row],[Affected WTG]],'Basic Data'!$A$3:$E$56,5,0),"")</f>
        <v>2.564102564102564E-2</v>
      </c>
      <c r="K1042" s="105">
        <v>5222</v>
      </c>
      <c r="L1042" s="39" t="str">
        <f>IFERROR(VLOOKUP(Table6[[#This Row],[Error Code]],'Basic Data'!$T:$U,2,0),"")</f>
        <v>Speed Read Incorrectly</v>
      </c>
      <c r="M1042" s="346" t="s">
        <v>462</v>
      </c>
      <c r="N1042" s="105" t="s">
        <v>1270</v>
      </c>
      <c r="O1042" s="330">
        <v>2.5694444444444443E-2</v>
      </c>
      <c r="P1042" s="330">
        <v>0.05</v>
      </c>
      <c r="Q1042" s="330">
        <v>0.13541666666666666</v>
      </c>
      <c r="R1042" s="382">
        <f>IF(Table6[[#This Row],[Work Start TimeStamp]]="","",(Table6[[#This Row],[Work Start TimeStamp]]-Table6[[#This Row],[Fault Start TimeStamp]])*24)</f>
        <v>0.58333333333333348</v>
      </c>
      <c r="S1042" s="382">
        <f>(Table6[[#This Row],[Fault Clearance time]]-Table6[[#This Row],[Work Start TimeStamp]])*24</f>
        <v>2.0499999999999998</v>
      </c>
      <c r="T1042" s="385">
        <f>(Table6[[#This Row],[Fault Clearance time]]-Table6[[#This Row],[Fault Start TimeStamp]])*24</f>
        <v>2.6333333333333333</v>
      </c>
      <c r="U1042" s="346" t="s">
        <v>1398</v>
      </c>
      <c r="V1042" s="346" t="s">
        <v>463</v>
      </c>
      <c r="W1042" s="377">
        <f>Table6[[#This Row],[Breakdown Time]]*(1/39)</f>
        <v>6.7521367521367517E-2</v>
      </c>
      <c r="X1042" s="337" t="s">
        <v>465</v>
      </c>
      <c r="Y1042" s="346" t="s">
        <v>144</v>
      </c>
      <c r="Z1042" s="105">
        <v>12030</v>
      </c>
      <c r="AA1042" s="107">
        <f>IFERROR((Table6[[#This Row],[Paired WTG Generation for loss calculation]]/24)*Table6[[#This Row],[Breakdown Time]],"")</f>
        <v>1319.9583333333333</v>
      </c>
      <c r="AB1042" s="107" t="s">
        <v>478</v>
      </c>
      <c r="AC1042" s="105"/>
      <c r="AD1042" s="105"/>
    </row>
    <row r="1043" spans="1:30">
      <c r="A1043" s="105">
        <f t="shared" si="16"/>
        <v>1042</v>
      </c>
      <c r="B1043" s="371">
        <f>YEAR(Table6[[#This Row],[Date]])+IF(MONTH(Table6[[#This Row],[Date]])&gt;=4,1,0)</f>
        <v>2026</v>
      </c>
      <c r="C1043" s="372">
        <f>YEAR(Table6[[#This Row],[Date]])</f>
        <v>2025</v>
      </c>
      <c r="D1043" s="105" t="s">
        <v>490</v>
      </c>
      <c r="E1043" s="119">
        <f>Table6[[#This Row],[Date]]-DAY(Table6[[#This Row],[Date]])+1</f>
        <v>45839</v>
      </c>
      <c r="F1043" s="373">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105"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77">
        <f>Table6[[#This Row],[Breakdown Time]]*(1/39)</f>
        <v>0.61537749287749288</v>
      </c>
      <c r="X1043" s="336" t="s">
        <v>1212</v>
      </c>
      <c r="Y1043" s="352" t="s">
        <v>143</v>
      </c>
      <c r="Z1043" s="105">
        <v>12430</v>
      </c>
      <c r="AA1043" s="107">
        <f>IFERROR((Table6[[#This Row],[Paired WTG Generation for loss calculation]]/24)*Table6[[#This Row],[Breakdown Time]],"")</f>
        <v>12429.85613425926</v>
      </c>
      <c r="AB1043" s="107" t="s">
        <v>478</v>
      </c>
      <c r="AC1043" s="105"/>
      <c r="AD1043" s="105"/>
    </row>
    <row r="1044" spans="1:30">
      <c r="A1044" s="105">
        <f t="shared" si="16"/>
        <v>1043</v>
      </c>
      <c r="B1044" s="371">
        <f>YEAR(Table6[[#This Row],[Date]])+IF(MONTH(Table6[[#This Row],[Date]])&gt;=4,1,0)</f>
        <v>2026</v>
      </c>
      <c r="C1044" s="372">
        <f>YEAR(Table6[[#This Row],[Date]])</f>
        <v>2025</v>
      </c>
      <c r="D1044" s="105" t="s">
        <v>490</v>
      </c>
      <c r="E1044" s="119">
        <f>Table6[[#This Row],[Date]]-DAY(Table6[[#This Row],[Date]])+1</f>
        <v>45839</v>
      </c>
      <c r="F1044" s="373">
        <v>45863</v>
      </c>
      <c r="G1044" s="374" t="s">
        <v>116</v>
      </c>
      <c r="H1044" s="39" t="str">
        <f>_xlfn.XLOOKUP(Table6[[#This Row],[Affected WTG]],'Basic Data'!$A:$A,'Basic Data'!$B:$B)</f>
        <v>PWEGPL</v>
      </c>
      <c r="I1044" s="39" t="str">
        <f>_xlfn.XLOOKUP(Table6[[#This Row],[Affected WTG]],'Basic Data'!$A:$A,'Basic Data'!$C:$C)</f>
        <v>MSEDCL</v>
      </c>
      <c r="J1044" s="381">
        <f>IFERROR(VLOOKUP(Table6[[#This Row],[Affected WTG]],'Basic Data'!$A$3:$E$56,5,0),"")</f>
        <v>2.564102564102564E-2</v>
      </c>
      <c r="K1044" s="105">
        <v>5225</v>
      </c>
      <c r="L1044" s="39" t="str">
        <f>IFERROR(VLOOKUP(Table6[[#This Row],[Error Code]],'Basic Data'!$T:$U,2,0),"")</f>
        <v>Fault In Analog Electronic Power Supply</v>
      </c>
      <c r="M1044" s="346" t="s">
        <v>462</v>
      </c>
      <c r="N1044" s="105" t="s">
        <v>1270</v>
      </c>
      <c r="O1044" s="347">
        <v>0</v>
      </c>
      <c r="P1044" s="347">
        <v>0</v>
      </c>
      <c r="Q1044" s="347">
        <v>0.54166666666666663</v>
      </c>
      <c r="R1044" s="382">
        <f>IF(Table6[[#This Row],[Work Start TimeStamp]]="","",(Table6[[#This Row],[Work Start TimeStamp]]-Table6[[#This Row],[Fault Start TimeStamp]])*24)</f>
        <v>0</v>
      </c>
      <c r="S1044" s="383">
        <f>(Table6[[#This Row],[Fault Clearance time]]-Table6[[#This Row],[Work Start TimeStamp]])*24</f>
        <v>13</v>
      </c>
      <c r="T1044" s="384">
        <f>(Table6[[#This Row],[Fault Clearance time]]-Table6[[#This Row],[Fault Start TimeStamp]])*24</f>
        <v>13</v>
      </c>
      <c r="U1044" s="346" t="s">
        <v>1401</v>
      </c>
      <c r="V1044" s="351" t="s">
        <v>463</v>
      </c>
      <c r="W1044" s="377">
        <f>Table6[[#This Row],[Breakdown Time]]*(1/39)</f>
        <v>0.33333333333333331</v>
      </c>
      <c r="X1044" s="336" t="s">
        <v>465</v>
      </c>
      <c r="Y1044" s="352" t="s">
        <v>118</v>
      </c>
      <c r="Z1044" s="105">
        <v>11321</v>
      </c>
      <c r="AA1044" s="107">
        <f>IFERROR((Table6[[#This Row],[Paired WTG Generation for loss calculation]]/24)*Table6[[#This Row],[Breakdown Time]],"")</f>
        <v>6132.208333333333</v>
      </c>
      <c r="AB1044" s="107" t="s">
        <v>478</v>
      </c>
      <c r="AC1044" s="105"/>
      <c r="AD1044" s="105"/>
    </row>
    <row r="1045" spans="1:30">
      <c r="A1045" s="105">
        <f t="shared" si="16"/>
        <v>1044</v>
      </c>
      <c r="B1045" s="371">
        <f>YEAR(Table6[[#This Row],[Date]])+IF(MONTH(Table6[[#This Row],[Date]])&gt;=4,1,0)</f>
        <v>2026</v>
      </c>
      <c r="C1045" s="372">
        <f>YEAR(Table6[[#This Row],[Date]])</f>
        <v>2025</v>
      </c>
      <c r="D1045" s="105" t="s">
        <v>490</v>
      </c>
      <c r="E1045" s="119">
        <f>Table6[[#This Row],[Date]]-DAY(Table6[[#This Row],[Date]])+1</f>
        <v>45839</v>
      </c>
      <c r="F1045" s="373">
        <v>45863</v>
      </c>
      <c r="G1045" s="374" t="s">
        <v>118</v>
      </c>
      <c r="H1045" s="39" t="str">
        <f>_xlfn.XLOOKUP(Table6[[#This Row],[Affected WTG]],'Basic Data'!$A:$A,'Basic Data'!$B:$B)</f>
        <v>PWEGPL</v>
      </c>
      <c r="I1045" s="39" t="str">
        <f>_xlfn.XLOOKUP(Table6[[#This Row],[Affected WTG]],'Basic Data'!$A:$A,'Basic Data'!$C:$C)</f>
        <v>MSEDCL</v>
      </c>
      <c r="J1045" s="381">
        <f>IFERROR(VLOOKUP(Table6[[#This Row],[Affected WTG]],'Basic Data'!$A$3:$E$56,5,0),"")</f>
        <v>2.564102564102564E-2</v>
      </c>
      <c r="K1045" s="105">
        <v>700</v>
      </c>
      <c r="L1045" s="39" t="str">
        <f>IFERROR(VLOOKUP(Table6[[#This Row],[Error Code]],'Basic Data'!$T:$U,2,0),"")</f>
        <v>PLC-Converter Communication Error</v>
      </c>
      <c r="M1045" s="346" t="s">
        <v>462</v>
      </c>
      <c r="N1045" s="105" t="s">
        <v>1270</v>
      </c>
      <c r="O1045" s="347">
        <v>0.3347222222222222</v>
      </c>
      <c r="P1045" s="347">
        <v>0.35416666666666669</v>
      </c>
      <c r="Q1045" s="347">
        <v>0.35555555555555557</v>
      </c>
      <c r="R1045" s="382">
        <f>IF(Table6[[#This Row],[Work Start TimeStamp]]="","",(Table6[[#This Row],[Work Start TimeStamp]]-Table6[[#This Row],[Fault Start TimeStamp]])*24)</f>
        <v>0.46666666666666767</v>
      </c>
      <c r="S1045" s="383">
        <f>(Table6[[#This Row],[Fault Clearance time]]-Table6[[#This Row],[Work Start TimeStamp]])*24</f>
        <v>3.3333333333333215E-2</v>
      </c>
      <c r="T1045" s="384">
        <f>(Table6[[#This Row],[Fault Clearance time]]-Table6[[#This Row],[Fault Start TimeStamp]])*24</f>
        <v>0.50000000000000089</v>
      </c>
      <c r="U1045" s="346" t="s">
        <v>493</v>
      </c>
      <c r="V1045" s="351" t="s">
        <v>463</v>
      </c>
      <c r="W1045" s="377">
        <f>Table6[[#This Row],[Breakdown Time]]*(1/39)</f>
        <v>1.2820512820512843E-2</v>
      </c>
      <c r="X1045" s="336" t="s">
        <v>465</v>
      </c>
      <c r="Y1045" s="352" t="s">
        <v>117</v>
      </c>
      <c r="Z1045" s="105">
        <v>11742</v>
      </c>
      <c r="AA1045" s="107">
        <f>IFERROR((Table6[[#This Row],[Paired WTG Generation for loss calculation]]/24)*Table6[[#This Row],[Breakdown Time]],"")</f>
        <v>244.62500000000043</v>
      </c>
      <c r="AB1045" s="107" t="s">
        <v>478</v>
      </c>
      <c r="AC1045" s="105"/>
      <c r="AD1045" s="105"/>
    </row>
    <row r="1046" spans="1:30">
      <c r="A1046" s="105">
        <f t="shared" si="16"/>
        <v>1045</v>
      </c>
      <c r="B1046" s="371">
        <f>YEAR(Table6[[#This Row],[Date]])+IF(MONTH(Table6[[#This Row],[Date]])&gt;=4,1,0)</f>
        <v>2026</v>
      </c>
      <c r="C1046" s="372">
        <f>YEAR(Table6[[#This Row],[Date]])</f>
        <v>2025</v>
      </c>
      <c r="D1046" s="105" t="s">
        <v>490</v>
      </c>
      <c r="E1046" s="119">
        <f>Table6[[#This Row],[Date]]-DAY(Table6[[#This Row],[Date]])+1</f>
        <v>45839</v>
      </c>
      <c r="F1046" s="373">
        <v>45863</v>
      </c>
      <c r="G1046" s="374" t="s">
        <v>121</v>
      </c>
      <c r="H1046" s="39" t="str">
        <f>_xlfn.XLOOKUP(Table6[[#This Row],[Affected WTG]],'Basic Data'!$A:$A,'Basic Data'!$B:$B)</f>
        <v>PWEGPL</v>
      </c>
      <c r="I1046" s="39" t="str">
        <f>_xlfn.XLOOKUP(Table6[[#This Row],[Affected WTG]],'Basic Data'!$A:$A,'Basic Data'!$C:$C)</f>
        <v>MSEDCL</v>
      </c>
      <c r="J1046" s="381">
        <f>IFERROR(VLOOKUP(Table6[[#This Row],[Affected WTG]],'Basic Data'!$A$3:$E$56,5,0),"")</f>
        <v>2.564102564102564E-2</v>
      </c>
      <c r="K1046" s="105">
        <v>5225</v>
      </c>
      <c r="L1046" s="39" t="str">
        <f>IFERROR(VLOOKUP(Table6[[#This Row],[Error Code]],'Basic Data'!$T:$U,2,0),"")</f>
        <v>Fault In Analog Electronic Power Supply</v>
      </c>
      <c r="M1046" s="346" t="s">
        <v>462</v>
      </c>
      <c r="N1046" s="105" t="s">
        <v>1270</v>
      </c>
      <c r="O1046" s="347">
        <v>0.89236111111111116</v>
      </c>
      <c r="P1046" s="347">
        <v>0.95138888888888884</v>
      </c>
      <c r="Q1046" s="347">
        <v>0.95277777777777772</v>
      </c>
      <c r="R1046" s="382">
        <f>IF(Table6[[#This Row],[Work Start TimeStamp]]="","",(Table6[[#This Row],[Work Start TimeStamp]]-Table6[[#This Row],[Fault Start TimeStamp]])*24)</f>
        <v>1.4166666666666643</v>
      </c>
      <c r="S1046" s="383">
        <f>(Table6[[#This Row],[Fault Clearance time]]-Table6[[#This Row],[Work Start TimeStamp]])*24</f>
        <v>3.3333333333333215E-2</v>
      </c>
      <c r="T1046" s="384">
        <f>(Table6[[#This Row],[Fault Clearance time]]-Table6[[#This Row],[Fault Start TimeStamp]])*24</f>
        <v>1.4499999999999975</v>
      </c>
      <c r="U1046" s="346" t="s">
        <v>493</v>
      </c>
      <c r="V1046" s="351" t="s">
        <v>463</v>
      </c>
      <c r="W1046" s="377">
        <f>Table6[[#This Row],[Breakdown Time]]*(1/39)</f>
        <v>3.7179487179487117E-2</v>
      </c>
      <c r="X1046" s="336" t="s">
        <v>465</v>
      </c>
      <c r="Y1046" s="352" t="s">
        <v>115</v>
      </c>
      <c r="Z1046" s="105">
        <v>11749</v>
      </c>
      <c r="AA1046" s="107">
        <f>IFERROR((Table6[[#This Row],[Paired WTG Generation for loss calculation]]/24)*Table6[[#This Row],[Breakdown Time]],"")</f>
        <v>709.83541666666542</v>
      </c>
      <c r="AB1046" s="107" t="s">
        <v>478</v>
      </c>
      <c r="AC1046" s="105"/>
      <c r="AD1046" s="105"/>
    </row>
    <row r="1047" spans="1:30">
      <c r="A1047" s="105">
        <f t="shared" si="16"/>
        <v>1046</v>
      </c>
      <c r="B1047" s="371">
        <f>YEAR(Table6[[#This Row],[Date]])+IF(MONTH(Table6[[#This Row],[Date]])&gt;=4,1,0)</f>
        <v>2026</v>
      </c>
      <c r="C1047" s="372">
        <f>YEAR(Table6[[#This Row],[Date]])</f>
        <v>2025</v>
      </c>
      <c r="D1047" s="105" t="s">
        <v>490</v>
      </c>
      <c r="E1047" s="119">
        <f>Table6[[#This Row],[Date]]-DAY(Table6[[#This Row],[Date]])+1</f>
        <v>45839</v>
      </c>
      <c r="F1047" s="373">
        <v>45863</v>
      </c>
      <c r="G1047" s="374" t="s">
        <v>130</v>
      </c>
      <c r="H1047" s="39" t="str">
        <f>_xlfn.XLOOKUP(Table6[[#This Row],[Affected WTG]],'Basic Data'!$A:$A,'Basic Data'!$B:$B)</f>
        <v>PWEGPL</v>
      </c>
      <c r="I1047" s="39" t="str">
        <f>_xlfn.XLOOKUP(Table6[[#This Row],[Affected WTG]],'Basic Data'!$A:$A,'Basic Data'!$C:$C)</f>
        <v>MSEDCL</v>
      </c>
      <c r="J1047" s="381">
        <f>IFERROR(VLOOKUP(Table6[[#This Row],[Affected WTG]],'Basic Data'!$A$3:$E$56,5,0),"")</f>
        <v>2.564102564102564E-2</v>
      </c>
      <c r="K1047" s="105">
        <v>700</v>
      </c>
      <c r="L1047" s="39" t="str">
        <f>IFERROR(VLOOKUP(Table6[[#This Row],[Error Code]],'Basic Data'!$T:$U,2,0),"")</f>
        <v>PLC-Converter Communication Error</v>
      </c>
      <c r="M1047" s="346" t="s">
        <v>462</v>
      </c>
      <c r="N1047" s="105" t="s">
        <v>1270</v>
      </c>
      <c r="O1047" s="347">
        <v>0</v>
      </c>
      <c r="P1047" s="347">
        <v>0</v>
      </c>
      <c r="Q1047" s="347">
        <v>0.53263888888888888</v>
      </c>
      <c r="R1047" s="382">
        <f>IF(Table6[[#This Row],[Work Start TimeStamp]]="","",(Table6[[#This Row],[Work Start TimeStamp]]-Table6[[#This Row],[Fault Start TimeStamp]])*24)</f>
        <v>0</v>
      </c>
      <c r="S1047" s="383">
        <f>(Table6[[#This Row],[Fault Clearance time]]-Table6[[#This Row],[Work Start TimeStamp]])*24</f>
        <v>12.783333333333333</v>
      </c>
      <c r="T1047" s="384">
        <f>(Table6[[#This Row],[Fault Clearance time]]-Table6[[#This Row],[Fault Start TimeStamp]])*24</f>
        <v>12.783333333333333</v>
      </c>
      <c r="U1047" s="346" t="s">
        <v>1402</v>
      </c>
      <c r="V1047" s="351" t="s">
        <v>463</v>
      </c>
      <c r="W1047" s="377">
        <f>Table6[[#This Row],[Breakdown Time]]*(1/39)</f>
        <v>0.32777777777777778</v>
      </c>
      <c r="X1047" s="336" t="s">
        <v>465</v>
      </c>
      <c r="Y1047" s="352" t="s">
        <v>131</v>
      </c>
      <c r="Z1047" s="105">
        <v>16489</v>
      </c>
      <c r="AA1047" s="107">
        <f>IFERROR((Table6[[#This Row],[Paired WTG Generation for loss calculation]]/24)*Table6[[#This Row],[Breakdown Time]],"")</f>
        <v>8782.6826388888876</v>
      </c>
      <c r="AB1047" s="107" t="s">
        <v>478</v>
      </c>
      <c r="AC1047" s="105"/>
      <c r="AD1047" s="105"/>
    </row>
    <row r="1048" spans="1:30">
      <c r="A1048" s="105">
        <f t="shared" si="16"/>
        <v>1047</v>
      </c>
      <c r="B1048" s="371">
        <f>YEAR(Table6[[#This Row],[Date]])+IF(MONTH(Table6[[#This Row],[Date]])&gt;=4,1,0)</f>
        <v>2026</v>
      </c>
      <c r="C1048" s="372">
        <f>YEAR(Table6[[#This Row],[Date]])</f>
        <v>2025</v>
      </c>
      <c r="D1048" s="105" t="s">
        <v>490</v>
      </c>
      <c r="E1048" s="119">
        <f>Table6[[#This Row],[Date]]-DAY(Table6[[#This Row],[Date]])+1</f>
        <v>45839</v>
      </c>
      <c r="F1048" s="373">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105"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77">
        <f>Table6[[#This Row],[Breakdown Time]]*(1/39)</f>
        <v>0.61537749287749288</v>
      </c>
      <c r="X1048" s="336" t="s">
        <v>1212</v>
      </c>
      <c r="Y1048" s="352" t="s">
        <v>143</v>
      </c>
      <c r="Z1048" s="105">
        <v>15550</v>
      </c>
      <c r="AA1048" s="107">
        <f>IFERROR((Table6[[#This Row],[Paired WTG Generation for loss calculation]]/24)*Table6[[#This Row],[Breakdown Time]],"")</f>
        <v>15549.82002314815</v>
      </c>
      <c r="AB1048" s="107" t="s">
        <v>478</v>
      </c>
      <c r="AC1048" s="105"/>
      <c r="AD1048" s="105"/>
    </row>
    <row r="1049" spans="1:30">
      <c r="A1049" s="105">
        <f t="shared" si="16"/>
        <v>1048</v>
      </c>
      <c r="B1049" s="371">
        <f>YEAR(Table6[[#This Row],[Date]])+IF(MONTH(Table6[[#This Row],[Date]])&gt;=4,1,0)</f>
        <v>2026</v>
      </c>
      <c r="C1049" s="372">
        <f>YEAR(Table6[[#This Row],[Date]])</f>
        <v>2025</v>
      </c>
      <c r="D1049" s="105" t="s">
        <v>490</v>
      </c>
      <c r="E1049" s="119">
        <f>Table6[[#This Row],[Date]]-DAY(Table6[[#This Row],[Date]])+1</f>
        <v>45839</v>
      </c>
      <c r="F1049" s="373">
        <v>45864</v>
      </c>
      <c r="G1049" s="374" t="s">
        <v>124</v>
      </c>
      <c r="H1049" s="39" t="str">
        <f>_xlfn.XLOOKUP(Table6[[#This Row],[Affected WTG]],'Basic Data'!$A:$A,'Basic Data'!$B:$B)</f>
        <v>PWEGPL</v>
      </c>
      <c r="I1049" s="39" t="str">
        <f>_xlfn.XLOOKUP(Table6[[#This Row],[Affected WTG]],'Basic Data'!$A:$A,'Basic Data'!$C:$C)</f>
        <v>MSEDCL</v>
      </c>
      <c r="J1049" s="381">
        <f>IFERROR(VLOOKUP(Table6[[#This Row],[Affected WTG]],'Basic Data'!$A$3:$E$56,5,0),"")</f>
        <v>2.564102564102564E-2</v>
      </c>
      <c r="K1049" s="105">
        <v>2119</v>
      </c>
      <c r="L1049" s="39" t="str">
        <f>IFERROR(VLOOKUP(Table6[[#This Row],[Error Code]],'Basic Data'!$T:$U,2,0),"")</f>
        <v>CTRL Error - Processor Stopped</v>
      </c>
      <c r="M1049" s="346" t="s">
        <v>462</v>
      </c>
      <c r="N1049" s="105" t="s">
        <v>1270</v>
      </c>
      <c r="O1049" s="330">
        <v>0.40972222222222221</v>
      </c>
      <c r="P1049" s="330">
        <v>0.43055555555555558</v>
      </c>
      <c r="Q1049" s="330">
        <v>0.44791666666666669</v>
      </c>
      <c r="R1049" s="382">
        <f>IF(Table6[[#This Row],[Work Start TimeStamp]]="","",(Table6[[#This Row],[Work Start TimeStamp]]-Table6[[#This Row],[Fault Start TimeStamp]])*24)</f>
        <v>0.50000000000000089</v>
      </c>
      <c r="S1049" s="382">
        <f>(Table6[[#This Row],[Fault Clearance time]]-Table6[[#This Row],[Work Start TimeStamp]])*24</f>
        <v>0.41666666666666652</v>
      </c>
      <c r="T1049" s="385">
        <f>(Table6[[#This Row],[Fault Clearance time]]-Table6[[#This Row],[Fault Start TimeStamp]])*24</f>
        <v>0.91666666666666741</v>
      </c>
      <c r="U1049" s="346" t="s">
        <v>1403</v>
      </c>
      <c r="V1049" s="346" t="s">
        <v>463</v>
      </c>
      <c r="W1049" s="377">
        <f>Table6[[#This Row],[Breakdown Time]]*(1/39)</f>
        <v>2.3504273504273521E-2</v>
      </c>
      <c r="X1049" s="337" t="s">
        <v>465</v>
      </c>
      <c r="Y1049" s="346" t="s">
        <v>125</v>
      </c>
      <c r="Z1049" s="105">
        <v>17961</v>
      </c>
      <c r="AA1049" s="107">
        <f>IFERROR((Table6[[#This Row],[Paired WTG Generation for loss calculation]]/24)*Table6[[#This Row],[Breakdown Time]],"")</f>
        <v>686.0104166666672</v>
      </c>
      <c r="AB1049" s="107" t="s">
        <v>478</v>
      </c>
      <c r="AC1049" s="105"/>
      <c r="AD1049" s="105"/>
    </row>
    <row r="1050" spans="1:30">
      <c r="A1050" s="105">
        <f t="shared" si="16"/>
        <v>1049</v>
      </c>
      <c r="B1050" s="371">
        <f>YEAR(Table6[[#This Row],[Date]])+IF(MONTH(Table6[[#This Row],[Date]])&gt;=4,1,0)</f>
        <v>2026</v>
      </c>
      <c r="C1050" s="372">
        <f>YEAR(Table6[[#This Row],[Date]])</f>
        <v>2025</v>
      </c>
      <c r="D1050" s="105" t="s">
        <v>490</v>
      </c>
      <c r="E1050" s="119">
        <f>Table6[[#This Row],[Date]]-DAY(Table6[[#This Row],[Date]])+1</f>
        <v>45839</v>
      </c>
      <c r="F1050" s="373">
        <v>45864</v>
      </c>
      <c r="G1050" s="374" t="s">
        <v>125</v>
      </c>
      <c r="H1050" s="39" t="str">
        <f>_xlfn.XLOOKUP(Table6[[#This Row],[Affected WTG]],'Basic Data'!$A:$A,'Basic Data'!$B:$B)</f>
        <v>PWEGPL</v>
      </c>
      <c r="I1050" s="39" t="str">
        <f>_xlfn.XLOOKUP(Table6[[#This Row],[Affected WTG]],'Basic Data'!$A:$A,'Basic Data'!$C:$C)</f>
        <v>MSEDCL</v>
      </c>
      <c r="J1050" s="381">
        <f>IFERROR(VLOOKUP(Table6[[#This Row],[Affected WTG]],'Basic Data'!$A$3:$E$56,5,0),"")</f>
        <v>2.564102564102564E-2</v>
      </c>
      <c r="K1050" s="105">
        <v>2118</v>
      </c>
      <c r="L1050" s="39" t="str">
        <f>IFERROR(VLOOKUP(Table6[[#This Row],[Error Code]],'Basic Data'!$T:$U,2,0),"")</f>
        <v>Bus Error - Interbus Failure</v>
      </c>
      <c r="M1050" s="346" t="s">
        <v>462</v>
      </c>
      <c r="N1050" s="105" t="s">
        <v>1270</v>
      </c>
      <c r="O1050" s="330">
        <v>0.4375</v>
      </c>
      <c r="P1050" s="330">
        <v>0.51041666666666663</v>
      </c>
      <c r="Q1050" s="330">
        <v>0.54236111111111107</v>
      </c>
      <c r="R1050" s="382">
        <f>IF(Table6[[#This Row],[Work Start TimeStamp]]="","",(Table6[[#This Row],[Work Start TimeStamp]]-Table6[[#This Row],[Fault Start TimeStamp]])*24)</f>
        <v>1.7499999999999991</v>
      </c>
      <c r="S1050" s="382">
        <f>(Table6[[#This Row],[Fault Clearance time]]-Table6[[#This Row],[Work Start TimeStamp]])*24</f>
        <v>0.76666666666666661</v>
      </c>
      <c r="T1050" s="385">
        <f>(Table6[[#This Row],[Fault Clearance time]]-Table6[[#This Row],[Fault Start TimeStamp]])*24</f>
        <v>2.5166666666666657</v>
      </c>
      <c r="U1050" s="346" t="s">
        <v>489</v>
      </c>
      <c r="V1050" s="346" t="s">
        <v>463</v>
      </c>
      <c r="W1050" s="377">
        <f>Table6[[#This Row],[Breakdown Time]]*(1/39)</f>
        <v>6.4529914529914509E-2</v>
      </c>
      <c r="X1050" s="337" t="s">
        <v>465</v>
      </c>
      <c r="Y1050" s="346" t="s">
        <v>124</v>
      </c>
      <c r="Z1050" s="105">
        <v>17998</v>
      </c>
      <c r="AA1050" s="107">
        <f>IFERROR((Table6[[#This Row],[Paired WTG Generation for loss calculation]]/24)*Table6[[#This Row],[Breakdown Time]],"")</f>
        <v>1887.290277777777</v>
      </c>
      <c r="AB1050" s="107" t="s">
        <v>478</v>
      </c>
      <c r="AC1050" s="105"/>
      <c r="AD1050" s="105"/>
    </row>
    <row r="1051" spans="1:30">
      <c r="A1051" s="105">
        <f t="shared" si="16"/>
        <v>1050</v>
      </c>
      <c r="B1051" s="371">
        <f>YEAR(Table6[[#This Row],[Date]])+IF(MONTH(Table6[[#This Row],[Date]])&gt;=4,1,0)</f>
        <v>2026</v>
      </c>
      <c r="C1051" s="372">
        <f>YEAR(Table6[[#This Row],[Date]])</f>
        <v>2025</v>
      </c>
      <c r="D1051" s="105" t="s">
        <v>490</v>
      </c>
      <c r="E1051" s="119">
        <f>Table6[[#This Row],[Date]]-DAY(Table6[[#This Row],[Date]])+1</f>
        <v>45839</v>
      </c>
      <c r="F1051" s="373">
        <v>45864</v>
      </c>
      <c r="G1051" s="374" t="s">
        <v>145</v>
      </c>
      <c r="H1051" s="39" t="str">
        <f>_xlfn.XLOOKUP(Table6[[#This Row],[Affected WTG]],'Basic Data'!$A:$A,'Basic Data'!$B:$B)</f>
        <v>PWEGPL</v>
      </c>
      <c r="I1051" s="39" t="str">
        <f>_xlfn.XLOOKUP(Table6[[#This Row],[Affected WTG]],'Basic Data'!$A:$A,'Basic Data'!$C:$C)</f>
        <v>MSEDCL</v>
      </c>
      <c r="J1051" s="381">
        <f>IFERROR(VLOOKUP(Table6[[#This Row],[Affected WTG]],'Basic Data'!$A$3:$E$56,5,0),"")</f>
        <v>2.564102564102564E-2</v>
      </c>
      <c r="K1051" s="105">
        <v>2118</v>
      </c>
      <c r="L1051" s="39" t="str">
        <f>IFERROR(VLOOKUP(Table6[[#This Row],[Error Code]],'Basic Data'!$T:$U,2,0),"")</f>
        <v>Bus Error - Interbus Failure</v>
      </c>
      <c r="M1051" s="346" t="s">
        <v>462</v>
      </c>
      <c r="N1051" s="105" t="s">
        <v>1270</v>
      </c>
      <c r="O1051" s="330">
        <v>0.63194444444444442</v>
      </c>
      <c r="P1051" s="330">
        <v>0.65277777777777779</v>
      </c>
      <c r="Q1051" s="330">
        <v>0.69166666666666665</v>
      </c>
      <c r="R1051" s="382">
        <f>IF(Table6[[#This Row],[Work Start TimeStamp]]="","",(Table6[[#This Row],[Work Start TimeStamp]]-Table6[[#This Row],[Fault Start TimeStamp]])*24)</f>
        <v>0.50000000000000089</v>
      </c>
      <c r="S1051" s="382">
        <f>(Table6[[#This Row],[Fault Clearance time]]-Table6[[#This Row],[Work Start TimeStamp]])*24</f>
        <v>0.93333333333333268</v>
      </c>
      <c r="T1051" s="385">
        <f>(Table6[[#This Row],[Fault Clearance time]]-Table6[[#This Row],[Fault Start TimeStamp]])*24</f>
        <v>1.4333333333333336</v>
      </c>
      <c r="U1051" s="346" t="s">
        <v>489</v>
      </c>
      <c r="V1051" s="346" t="s">
        <v>463</v>
      </c>
      <c r="W1051" s="377">
        <f>Table6[[#This Row],[Breakdown Time]]*(1/39)</f>
        <v>3.675213675213676E-2</v>
      </c>
      <c r="X1051" s="337" t="s">
        <v>465</v>
      </c>
      <c r="Y1051" s="346" t="s">
        <v>139</v>
      </c>
      <c r="Z1051" s="105">
        <v>13370</v>
      </c>
      <c r="AA1051" s="107">
        <f>IFERROR((Table6[[#This Row],[Paired WTG Generation for loss calculation]]/24)*Table6[[#This Row],[Breakdown Time]],"")</f>
        <v>798.48611111111131</v>
      </c>
      <c r="AB1051" s="107" t="s">
        <v>478</v>
      </c>
      <c r="AC1051" s="105"/>
      <c r="AD1051" s="105"/>
    </row>
    <row r="1052" spans="1:30">
      <c r="A1052" s="105">
        <f t="shared" si="16"/>
        <v>1051</v>
      </c>
      <c r="B1052" s="371">
        <f>YEAR(Table6[[#This Row],[Date]])+IF(MONTH(Table6[[#This Row],[Date]])&gt;=4,1,0)</f>
        <v>2026</v>
      </c>
      <c r="C1052" s="372">
        <f>YEAR(Table6[[#This Row],[Date]])</f>
        <v>2025</v>
      </c>
      <c r="D1052" s="105" t="s">
        <v>490</v>
      </c>
      <c r="E1052" s="119">
        <f>Table6[[#This Row],[Date]]-DAY(Table6[[#This Row],[Date]])+1</f>
        <v>45839</v>
      </c>
      <c r="F1052" s="373">
        <v>45865</v>
      </c>
      <c r="G1052" s="374" t="s">
        <v>142</v>
      </c>
      <c r="H1052" s="39" t="str">
        <f>_xlfn.XLOOKUP(Table6[[#This Row],[Affected WTG]],'Basic Data'!$A:$A,'Basic Data'!$B:$B)</f>
        <v>PWEGPL</v>
      </c>
      <c r="I1052" s="39" t="str">
        <f>_xlfn.XLOOKUP(Table6[[#This Row],[Affected WTG]],'Basic Data'!$A:$A,'Basic Data'!$C:$C)</f>
        <v>MSEDCL</v>
      </c>
      <c r="J1052" s="381">
        <f>IFERROR(VLOOKUP(Table6[[#This Row],[Affected WTG]],'Basic Data'!$A$3:$E$56,5,0),"")</f>
        <v>2.564102564102564E-2</v>
      </c>
      <c r="K1052" s="105" t="s">
        <v>492</v>
      </c>
      <c r="L1052" s="39" t="str">
        <f>IFERROR(VLOOKUP(Table6[[#This Row],[Error Code]],'Basic Data'!$T:$U,2,0),"")</f>
        <v>Manual Stop - Safety Related</v>
      </c>
      <c r="M1052" s="346" t="s">
        <v>481</v>
      </c>
      <c r="N1052" s="105"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77">
        <f>Table6[[#This Row],[Breakdown Time]]*(1/39)</f>
        <v>0.35897435897435898</v>
      </c>
      <c r="X1052" s="336" t="s">
        <v>1212</v>
      </c>
      <c r="Y1052" s="352" t="s">
        <v>143</v>
      </c>
      <c r="Z1052" s="105">
        <v>32158</v>
      </c>
      <c r="AA1052" s="107">
        <f>IFERROR((Table6[[#This Row],[Paired WTG Generation for loss calculation]]/24)*Table6[[#This Row],[Breakdown Time]],"")</f>
        <v>18758.833333333336</v>
      </c>
      <c r="AB1052" s="107" t="s">
        <v>478</v>
      </c>
      <c r="AC1052" s="105"/>
      <c r="AD1052" s="105"/>
    </row>
    <row r="1053" spans="1:30">
      <c r="A1053" s="105">
        <f t="shared" si="16"/>
        <v>1052</v>
      </c>
      <c r="B1053" s="371">
        <f>YEAR(Table6[[#This Row],[Date]])+IF(MONTH(Table6[[#This Row],[Date]])&gt;=4,1,0)</f>
        <v>2026</v>
      </c>
      <c r="C1053" s="372">
        <f>YEAR(Table6[[#This Row],[Date]])</f>
        <v>2025</v>
      </c>
      <c r="D1053" s="105" t="s">
        <v>490</v>
      </c>
      <c r="E1053" s="119">
        <f>Table6[[#This Row],[Date]]-DAY(Table6[[#This Row],[Date]])+1</f>
        <v>45839</v>
      </c>
      <c r="F1053" s="373">
        <v>45865</v>
      </c>
      <c r="G1053" s="374" t="s">
        <v>142</v>
      </c>
      <c r="H1053" s="39" t="str">
        <f>_xlfn.XLOOKUP(Table6[[#This Row],[Affected WTG]],'Basic Data'!$A:$A,'Basic Data'!$B:$B)</f>
        <v>PWEGPL</v>
      </c>
      <c r="I1053" s="39" t="str">
        <f>_xlfn.XLOOKUP(Table6[[#This Row],[Affected WTG]],'Basic Data'!$A:$A,'Basic Data'!$C:$C)</f>
        <v>MSEDCL</v>
      </c>
      <c r="J1053" s="381">
        <f>IFERROR(VLOOKUP(Table6[[#This Row],[Affected WTG]],'Basic Data'!$A$3:$E$56,5,0),"")</f>
        <v>2.564102564102564E-2</v>
      </c>
      <c r="K1053" s="105">
        <v>700</v>
      </c>
      <c r="L1053" s="387" t="str">
        <f>IFERROR(VLOOKUP(Table6[[#This Row],[Error Code]],'Basic Data'!$T:$U,2,0),"")</f>
        <v>PLC-Converter Communication Error</v>
      </c>
      <c r="M1053" s="346" t="s">
        <v>462</v>
      </c>
      <c r="N1053" s="105" t="s">
        <v>1270</v>
      </c>
      <c r="O1053" s="330">
        <v>0.58333333333333337</v>
      </c>
      <c r="P1053" s="330">
        <v>0.58333333333333337</v>
      </c>
      <c r="Q1053" s="330">
        <v>0.99998842592592596</v>
      </c>
      <c r="R1053" s="382">
        <f>IF(Table6[[#This Row],[Work Start TimeStamp]]="","",(Table6[[#This Row],[Work Start TimeStamp]]-Table6[[#This Row],[Fault Start TimeStamp]])*24)</f>
        <v>0</v>
      </c>
      <c r="S1053" s="382">
        <f>(Table6[[#This Row],[Fault Clearance time]]-Table6[[#This Row],[Work Start TimeStamp]])*24</f>
        <v>9.9997222222222213</v>
      </c>
      <c r="T1053" s="385">
        <f>(Table6[[#This Row],[Fault Clearance time]]-Table6[[#This Row],[Fault Start TimeStamp]])*24</f>
        <v>9.9997222222222213</v>
      </c>
      <c r="U1053" s="346" t="s">
        <v>500</v>
      </c>
      <c r="V1053" s="346" t="s">
        <v>473</v>
      </c>
      <c r="W1053" s="377">
        <f>Table6[[#This Row],[Breakdown Time]]*(1/39)</f>
        <v>0.25640313390313385</v>
      </c>
      <c r="X1053" s="337" t="s">
        <v>465</v>
      </c>
      <c r="Y1053" s="346" t="s">
        <v>117</v>
      </c>
      <c r="Z1053" s="105">
        <v>32158</v>
      </c>
      <c r="AA1053" s="107">
        <f>IFERROR((Table6[[#This Row],[Paired WTG Generation for loss calculation]]/24)*Table6[[#This Row],[Breakdown Time]],"")</f>
        <v>13398.794467592592</v>
      </c>
      <c r="AB1053" s="107" t="s">
        <v>1406</v>
      </c>
      <c r="AC1053" s="105"/>
      <c r="AD1053" s="105"/>
    </row>
    <row r="1054" spans="1:30">
      <c r="A1054" s="105">
        <f t="shared" si="16"/>
        <v>1053</v>
      </c>
      <c r="B1054" s="371">
        <f>YEAR(Table6[[#This Row],[Date]])+IF(MONTH(Table6[[#This Row],[Date]])&gt;=4,1,0)</f>
        <v>2026</v>
      </c>
      <c r="C1054" s="372">
        <f>YEAR(Table6[[#This Row],[Date]])</f>
        <v>2025</v>
      </c>
      <c r="D1054" s="105" t="s">
        <v>490</v>
      </c>
      <c r="E1054" s="119">
        <f>Table6[[#This Row],[Date]]-DAY(Table6[[#This Row],[Date]])+1</f>
        <v>45839</v>
      </c>
      <c r="F1054" s="373">
        <v>45865</v>
      </c>
      <c r="G1054" s="374" t="s">
        <v>115</v>
      </c>
      <c r="H1054" s="39" t="str">
        <f>_xlfn.XLOOKUP(Table6[[#This Row],[Affected WTG]],'Basic Data'!$A:$A,'Basic Data'!$B:$B)</f>
        <v>PWEGPL</v>
      </c>
      <c r="I1054" s="39" t="str">
        <f>_xlfn.XLOOKUP(Table6[[#This Row],[Affected WTG]],'Basic Data'!$A:$A,'Basic Data'!$C:$C)</f>
        <v>MSEDCL</v>
      </c>
      <c r="J1054" s="381">
        <f>IFERROR(VLOOKUP(Table6[[#This Row],[Affected WTG]],'Basic Data'!$A$3:$E$56,5,0),"")</f>
        <v>2.564102564102564E-2</v>
      </c>
      <c r="K1054" s="105">
        <v>5216</v>
      </c>
      <c r="L1054" s="387" t="str">
        <f>IFERROR(VLOOKUP(Table6[[#This Row],[Error Code]],'Basic Data'!$T:$U,2,0),"")</f>
        <v>Grid Voltage Failure</v>
      </c>
      <c r="M1054" s="346" t="s">
        <v>462</v>
      </c>
      <c r="N1054" s="105" t="s">
        <v>1270</v>
      </c>
      <c r="O1054" s="330">
        <v>0.14861111111111111</v>
      </c>
      <c r="P1054" s="330">
        <v>0.14861111111111111</v>
      </c>
      <c r="Q1054" s="330">
        <v>0.99998842592592596</v>
      </c>
      <c r="R1054" s="382">
        <f>IF(Table6[[#This Row],[Work Start TimeStamp]]="","",(Table6[[#This Row],[Work Start TimeStamp]]-Table6[[#This Row],[Fault Start TimeStamp]])*24)</f>
        <v>0</v>
      </c>
      <c r="S1054" s="382">
        <f>(Table6[[#This Row],[Fault Clearance time]]-Table6[[#This Row],[Work Start TimeStamp]])*24</f>
        <v>20.433055555555555</v>
      </c>
      <c r="T1054" s="385">
        <f>(Table6[[#This Row],[Fault Clearance time]]-Table6[[#This Row],[Fault Start TimeStamp]])*24</f>
        <v>20.433055555555555</v>
      </c>
      <c r="U1054" s="346" t="s">
        <v>1404</v>
      </c>
      <c r="V1054" s="346" t="s">
        <v>463</v>
      </c>
      <c r="W1054" s="377">
        <f>Table6[[#This Row],[Breakdown Time]]*(1/39)</f>
        <v>0.52392450142450142</v>
      </c>
      <c r="X1054" s="337" t="s">
        <v>465</v>
      </c>
      <c r="Y1054" s="346" t="s">
        <v>121</v>
      </c>
      <c r="Z1054" s="105">
        <v>27324</v>
      </c>
      <c r="AA1054" s="107">
        <f>IFERROR((Table6[[#This Row],[Paired WTG Generation for loss calculation]]/24)*Table6[[#This Row],[Breakdown Time]],"")</f>
        <v>23263.033749999999</v>
      </c>
      <c r="AB1054" s="107" t="s">
        <v>1406</v>
      </c>
      <c r="AC1054" s="105"/>
      <c r="AD1054" s="105"/>
    </row>
    <row r="1055" spans="1:30">
      <c r="A1055" s="105">
        <f t="shared" si="16"/>
        <v>1054</v>
      </c>
      <c r="B1055" s="371">
        <f>YEAR(Table6[[#This Row],[Date]])+IF(MONTH(Table6[[#This Row],[Date]])&gt;=4,1,0)</f>
        <v>2026</v>
      </c>
      <c r="C1055" s="372">
        <f>YEAR(Table6[[#This Row],[Date]])</f>
        <v>2025</v>
      </c>
      <c r="D1055" s="105" t="s">
        <v>490</v>
      </c>
      <c r="E1055" s="119">
        <f>Table6[[#This Row],[Date]]-DAY(Table6[[#This Row],[Date]])+1</f>
        <v>45839</v>
      </c>
      <c r="F1055" s="373">
        <v>45865</v>
      </c>
      <c r="G1055" s="374" t="s">
        <v>126</v>
      </c>
      <c r="H1055" s="39" t="str">
        <f>_xlfn.XLOOKUP(Table6[[#This Row],[Affected WTG]],'Basic Data'!$A:$A,'Basic Data'!$B:$B)</f>
        <v>PWEGPL</v>
      </c>
      <c r="I1055" s="39" t="str">
        <f>_xlfn.XLOOKUP(Table6[[#This Row],[Affected WTG]],'Basic Data'!$A:$A,'Basic Data'!$C:$C)</f>
        <v>MSEDCL</v>
      </c>
      <c r="J1055" s="381">
        <f>IFERROR(VLOOKUP(Table6[[#This Row],[Affected WTG]],'Basic Data'!$A$3:$E$56,5,0),"")</f>
        <v>2.564102564102564E-2</v>
      </c>
      <c r="K1055" s="105">
        <v>203</v>
      </c>
      <c r="L1055" s="387" t="str">
        <f>IFERROR(VLOOKUP(Table6[[#This Row],[Error Code]],'Basic Data'!$T:$U,2,0),"")</f>
        <v>Low Pressure On Hydraulic Group</v>
      </c>
      <c r="M1055" s="346" t="s">
        <v>462</v>
      </c>
      <c r="N1055" s="105" t="s">
        <v>1270</v>
      </c>
      <c r="O1055" s="330">
        <v>0.71666666666666667</v>
      </c>
      <c r="P1055" s="330">
        <v>0.73263888888888884</v>
      </c>
      <c r="Q1055" s="330">
        <v>0.75694444444444442</v>
      </c>
      <c r="R1055" s="382">
        <f>IF(Table6[[#This Row],[Work Start TimeStamp]]="","",(Table6[[#This Row],[Work Start TimeStamp]]-Table6[[#This Row],[Fault Start TimeStamp]])*24)</f>
        <v>0.38333333333333197</v>
      </c>
      <c r="S1055" s="382">
        <f>(Table6[[#This Row],[Fault Clearance time]]-Table6[[#This Row],[Work Start TimeStamp]])*24</f>
        <v>0.58333333333333393</v>
      </c>
      <c r="T1055" s="385">
        <f>(Table6[[#This Row],[Fault Clearance time]]-Table6[[#This Row],[Fault Start TimeStamp]])*24</f>
        <v>0.9666666666666659</v>
      </c>
      <c r="U1055" s="346" t="s">
        <v>1405</v>
      </c>
      <c r="V1055" s="346" t="s">
        <v>463</v>
      </c>
      <c r="W1055" s="377">
        <f>Table6[[#This Row],[Breakdown Time]]*(1/39)</f>
        <v>2.4786324786324764E-2</v>
      </c>
      <c r="X1055" s="337" t="s">
        <v>465</v>
      </c>
      <c r="Y1055" s="346" t="s">
        <v>127</v>
      </c>
      <c r="Z1055" s="105">
        <v>35452</v>
      </c>
      <c r="AA1055" s="107">
        <f>IFERROR((Table6[[#This Row],[Paired WTG Generation for loss calculation]]/24)*Table6[[#This Row],[Breakdown Time]],"")</f>
        <v>1427.9277777777768</v>
      </c>
      <c r="AB1055" s="107" t="s">
        <v>478</v>
      </c>
      <c r="AC1055" s="105"/>
      <c r="AD1055" s="105"/>
    </row>
    <row r="1056" spans="1:30">
      <c r="A1056" s="105">
        <f t="shared" si="16"/>
        <v>1055</v>
      </c>
      <c r="B1056" s="371">
        <f>YEAR(Table6[[#This Row],[Date]])+IF(MONTH(Table6[[#This Row],[Date]])&gt;=4,1,0)</f>
        <v>2026</v>
      </c>
      <c r="C1056" s="372">
        <f>YEAR(Table6[[#This Row],[Date]])</f>
        <v>2025</v>
      </c>
      <c r="D1056" s="105" t="s">
        <v>490</v>
      </c>
      <c r="E1056" s="119">
        <f>Table6[[#This Row],[Date]]-DAY(Table6[[#This Row],[Date]])+1</f>
        <v>45839</v>
      </c>
      <c r="F1056" s="373">
        <v>45865</v>
      </c>
      <c r="G1056" s="374" t="s">
        <v>134</v>
      </c>
      <c r="H1056" s="39" t="str">
        <f>_xlfn.XLOOKUP(Table6[[#This Row],[Affected WTG]],'Basic Data'!$A:$A,'Basic Data'!$B:$B)</f>
        <v>PWEGPL</v>
      </c>
      <c r="I1056" s="39" t="str">
        <f>_xlfn.XLOOKUP(Table6[[#This Row],[Affected WTG]],'Basic Data'!$A:$A,'Basic Data'!$C:$C)</f>
        <v>MSEDCL</v>
      </c>
      <c r="J1056" s="381">
        <f>IFERROR(VLOOKUP(Table6[[#This Row],[Affected WTG]],'Basic Data'!$A$3:$E$56,5,0),"")</f>
        <v>2.564102564102564E-2</v>
      </c>
      <c r="K1056" s="105">
        <v>211</v>
      </c>
      <c r="L1056" s="387" t="str">
        <f>IFERROR(VLOOKUP(Table6[[#This Row],[Error Code]],'Basic Data'!$T:$U,2,0),"")</f>
        <v>Hydraulic HUB Filter Dirty</v>
      </c>
      <c r="M1056" s="346" t="s">
        <v>462</v>
      </c>
      <c r="N1056" s="105" t="s">
        <v>1270</v>
      </c>
      <c r="O1056" s="330">
        <v>0.47222222222222221</v>
      </c>
      <c r="P1056" s="330">
        <v>0.52430555555555558</v>
      </c>
      <c r="Q1056" s="330">
        <v>0.52569444444444446</v>
      </c>
      <c r="R1056" s="382">
        <f>IF(Table6[[#This Row],[Work Start TimeStamp]]="","",(Table6[[#This Row],[Work Start TimeStamp]]-Table6[[#This Row],[Fault Start TimeStamp]])*24)</f>
        <v>1.2500000000000009</v>
      </c>
      <c r="S1056" s="382">
        <f>(Table6[[#This Row],[Fault Clearance time]]-Table6[[#This Row],[Work Start TimeStamp]])*24</f>
        <v>3.3333333333333215E-2</v>
      </c>
      <c r="T1056" s="385">
        <f>(Table6[[#This Row],[Fault Clearance time]]-Table6[[#This Row],[Fault Start TimeStamp]])*24</f>
        <v>1.2833333333333341</v>
      </c>
      <c r="U1056" s="346" t="s">
        <v>491</v>
      </c>
      <c r="V1056" s="346" t="s">
        <v>463</v>
      </c>
      <c r="W1056" s="377">
        <f>Table6[[#This Row],[Breakdown Time]]*(1/39)</f>
        <v>3.2905982905982928E-2</v>
      </c>
      <c r="X1056" s="337" t="s">
        <v>465</v>
      </c>
      <c r="Y1056" s="346" t="s">
        <v>133</v>
      </c>
      <c r="Z1056" s="105">
        <v>35455</v>
      </c>
      <c r="AA1056" s="107">
        <f>IFERROR((Table6[[#This Row],[Paired WTG Generation for loss calculation]]/24)*Table6[[#This Row],[Breakdown Time]],"")</f>
        <v>1895.8576388888901</v>
      </c>
      <c r="AB1056" s="107" t="s">
        <v>478</v>
      </c>
      <c r="AC1056" s="105"/>
      <c r="AD1056" s="105"/>
    </row>
    <row r="1057" spans="1:30">
      <c r="A1057" s="105">
        <f t="shared" si="16"/>
        <v>1056</v>
      </c>
      <c r="B1057" s="371">
        <f>YEAR(Table6[[#This Row],[Date]])+IF(MONTH(Table6[[#This Row],[Date]])&gt;=4,1,0)</f>
        <v>2026</v>
      </c>
      <c r="C1057" s="372">
        <f>YEAR(Table6[[#This Row],[Date]])</f>
        <v>2025</v>
      </c>
      <c r="D1057" s="105" t="s">
        <v>490</v>
      </c>
      <c r="E1057" s="119">
        <f>Table6[[#This Row],[Date]]-DAY(Table6[[#This Row],[Date]])+1</f>
        <v>45839</v>
      </c>
      <c r="F1057" s="373">
        <v>45865</v>
      </c>
      <c r="G1057" s="374" t="s">
        <v>139</v>
      </c>
      <c r="H1057" s="39" t="str">
        <f>_xlfn.XLOOKUP(Table6[[#This Row],[Affected WTG]],'Basic Data'!$A:$A,'Basic Data'!$B:$B)</f>
        <v>PWEGPL</v>
      </c>
      <c r="I1057" s="39" t="str">
        <f>_xlfn.XLOOKUP(Table6[[#This Row],[Affected WTG]],'Basic Data'!$A:$A,'Basic Data'!$C:$C)</f>
        <v>MSEDCL</v>
      </c>
      <c r="J1057" s="381">
        <f>IFERROR(VLOOKUP(Table6[[#This Row],[Affected WTG]],'Basic Data'!$A$3:$E$56,5,0),"")</f>
        <v>2.564102564102564E-2</v>
      </c>
      <c r="K1057" s="105">
        <v>5216</v>
      </c>
      <c r="L1057" s="387" t="str">
        <f>IFERROR(VLOOKUP(Table6[[#This Row],[Error Code]],'Basic Data'!$T:$U,2,0),"")</f>
        <v>Grid Voltage Failure</v>
      </c>
      <c r="M1057" s="346" t="s">
        <v>462</v>
      </c>
      <c r="N1057" s="105" t="s">
        <v>1270</v>
      </c>
      <c r="O1057" s="330">
        <v>0.65833333333333333</v>
      </c>
      <c r="P1057" s="330">
        <v>0.68055555555555558</v>
      </c>
      <c r="Q1057" s="330">
        <v>0.80625000000000002</v>
      </c>
      <c r="R1057" s="382">
        <f>IF(Table6[[#This Row],[Work Start TimeStamp]]="","",(Table6[[#This Row],[Work Start TimeStamp]]-Table6[[#This Row],[Fault Start TimeStamp]])*24)</f>
        <v>0.5333333333333341</v>
      </c>
      <c r="S1057" s="382">
        <f>(Table6[[#This Row],[Fault Clearance time]]-Table6[[#This Row],[Work Start TimeStamp]])*24</f>
        <v>3.0166666666666666</v>
      </c>
      <c r="T1057" s="385">
        <f>(Table6[[#This Row],[Fault Clearance time]]-Table6[[#This Row],[Fault Start TimeStamp]])*24</f>
        <v>3.5500000000000007</v>
      </c>
      <c r="U1057" s="346" t="s">
        <v>1407</v>
      </c>
      <c r="V1057" s="346" t="s">
        <v>463</v>
      </c>
      <c r="W1057" s="377">
        <f>Table6[[#This Row],[Breakdown Time]]*(1/39)</f>
        <v>9.1025641025641035E-2</v>
      </c>
      <c r="X1057" s="337" t="s">
        <v>465</v>
      </c>
      <c r="Y1057" s="346" t="s">
        <v>145</v>
      </c>
      <c r="Z1057" s="105">
        <v>29150</v>
      </c>
      <c r="AA1057" s="107">
        <f>IFERROR((Table6[[#This Row],[Paired WTG Generation for loss calculation]]/24)*Table6[[#This Row],[Breakdown Time]],"")</f>
        <v>4311.7708333333339</v>
      </c>
      <c r="AB1057" s="107" t="s">
        <v>478</v>
      </c>
      <c r="AC1057" s="105"/>
      <c r="AD1057" s="105"/>
    </row>
    <row r="1058" spans="1:30">
      <c r="A1058" s="105">
        <f t="shared" si="16"/>
        <v>1057</v>
      </c>
      <c r="B1058" s="371">
        <f>YEAR(Table6[[#This Row],[Date]])+IF(MONTH(Table6[[#This Row],[Date]])&gt;=4,1,0)</f>
        <v>2026</v>
      </c>
      <c r="C1058" s="372">
        <f>YEAR(Table6[[#This Row],[Date]])</f>
        <v>2025</v>
      </c>
      <c r="D1058" s="105" t="s">
        <v>490</v>
      </c>
      <c r="E1058" s="119">
        <f>Table6[[#This Row],[Date]]-DAY(Table6[[#This Row],[Date]])+1</f>
        <v>45839</v>
      </c>
      <c r="F1058" s="373">
        <v>45866</v>
      </c>
      <c r="G1058" s="374" t="s">
        <v>142</v>
      </c>
      <c r="H1058" s="39" t="str">
        <f>_xlfn.XLOOKUP(Table6[[#This Row],[Affected WTG]],'Basic Data'!$A:$A,'Basic Data'!$B:$B)</f>
        <v>PWEGPL</v>
      </c>
      <c r="I1058" s="39" t="str">
        <f>_xlfn.XLOOKUP(Table6[[#This Row],[Affected WTG]],'Basic Data'!$A:$A,'Basic Data'!$C:$C)</f>
        <v>MSEDCL</v>
      </c>
      <c r="J1058" s="381">
        <f>IFERROR(VLOOKUP(Table6[[#This Row],[Affected WTG]],'Basic Data'!$A$3:$E$56,5,0),"")</f>
        <v>2.564102564102564E-2</v>
      </c>
      <c r="K1058" s="105">
        <v>700</v>
      </c>
      <c r="L1058" s="387" t="str">
        <f>IFERROR(VLOOKUP(Table6[[#This Row],[Error Code]],'Basic Data'!$T:$U,2,0),"")</f>
        <v>PLC-Converter Communication Error</v>
      </c>
      <c r="M1058" s="346" t="s">
        <v>462</v>
      </c>
      <c r="N1058" s="105" t="s">
        <v>1270</v>
      </c>
      <c r="O1058" s="330">
        <v>0</v>
      </c>
      <c r="P1058" s="330">
        <v>0</v>
      </c>
      <c r="Q1058" s="330">
        <v>0.99998842592592596</v>
      </c>
      <c r="R1058" s="382">
        <f>IF(Table6[[#This Row],[Work Start TimeStamp]]="","",(Table6[[#This Row],[Work Start TimeStamp]]-Table6[[#This Row],[Fault Start TimeStamp]])*24)</f>
        <v>0</v>
      </c>
      <c r="S1058" s="382">
        <f>(Table6[[#This Row],[Fault Clearance time]]-Table6[[#This Row],[Work Start TimeStamp]])*24</f>
        <v>23.999722222222225</v>
      </c>
      <c r="T1058" s="385">
        <f>(Table6[[#This Row],[Fault Clearance time]]-Table6[[#This Row],[Fault Start TimeStamp]])*24</f>
        <v>23.999722222222225</v>
      </c>
      <c r="U1058" s="346" t="s">
        <v>500</v>
      </c>
      <c r="V1058" s="346" t="s">
        <v>473</v>
      </c>
      <c r="W1058" s="377">
        <f>Table6[[#This Row],[Breakdown Time]]*(1/39)</f>
        <v>0.61537749287749288</v>
      </c>
      <c r="X1058" s="337" t="s">
        <v>465</v>
      </c>
      <c r="Y1058" s="346" t="s">
        <v>143</v>
      </c>
      <c r="Z1058" s="105">
        <v>25976</v>
      </c>
      <c r="AA1058" s="107">
        <f>IFERROR((Table6[[#This Row],[Paired WTG Generation for loss calculation]]/24)*Table6[[#This Row],[Breakdown Time]],"")</f>
        <v>25975.699351851854</v>
      </c>
      <c r="AB1058" s="107" t="s">
        <v>1406</v>
      </c>
      <c r="AC1058" s="105"/>
      <c r="AD1058" s="105"/>
    </row>
    <row r="1059" spans="1:30">
      <c r="A1059" s="105">
        <f t="shared" si="16"/>
        <v>1058</v>
      </c>
      <c r="B1059" s="371">
        <f>YEAR(Table6[[#This Row],[Date]])+IF(MONTH(Table6[[#This Row],[Date]])&gt;=4,1,0)</f>
        <v>2026</v>
      </c>
      <c r="C1059" s="372">
        <f>YEAR(Table6[[#This Row],[Date]])</f>
        <v>2025</v>
      </c>
      <c r="D1059" s="105" t="s">
        <v>490</v>
      </c>
      <c r="E1059" s="119">
        <f>Table6[[#This Row],[Date]]-DAY(Table6[[#This Row],[Date]])+1</f>
        <v>45839</v>
      </c>
      <c r="F1059" s="373">
        <v>45866</v>
      </c>
      <c r="G1059" s="374" t="s">
        <v>115</v>
      </c>
      <c r="H1059" s="39" t="str">
        <f>_xlfn.XLOOKUP(Table6[[#This Row],[Affected WTG]],'Basic Data'!$A:$A,'Basic Data'!$B:$B)</f>
        <v>PWEGPL</v>
      </c>
      <c r="I1059" s="39" t="str">
        <f>_xlfn.XLOOKUP(Table6[[#This Row],[Affected WTG]],'Basic Data'!$A:$A,'Basic Data'!$C:$C)</f>
        <v>MSEDCL</v>
      </c>
      <c r="J1059" s="381">
        <f>IFERROR(VLOOKUP(Table6[[#This Row],[Affected WTG]],'Basic Data'!$A$3:$E$56,5,0),"")</f>
        <v>2.564102564102564E-2</v>
      </c>
      <c r="K1059" s="105">
        <v>5216</v>
      </c>
      <c r="L1059" s="387" t="str">
        <f>IFERROR(VLOOKUP(Table6[[#This Row],[Error Code]],'Basic Data'!$T:$U,2,0),"")</f>
        <v>Grid Voltage Failure</v>
      </c>
      <c r="M1059" s="346" t="s">
        <v>462</v>
      </c>
      <c r="N1059" s="105" t="s">
        <v>1270</v>
      </c>
      <c r="O1059" s="330">
        <v>0</v>
      </c>
      <c r="P1059" s="330">
        <v>0</v>
      </c>
      <c r="Q1059" s="330">
        <v>0.70625000000000004</v>
      </c>
      <c r="R1059" s="382">
        <f>IF(Table6[[#This Row],[Work Start TimeStamp]]="","",(Table6[[#This Row],[Work Start TimeStamp]]-Table6[[#This Row],[Fault Start TimeStamp]])*24)</f>
        <v>0</v>
      </c>
      <c r="S1059" s="382">
        <f>(Table6[[#This Row],[Fault Clearance time]]-Table6[[#This Row],[Work Start TimeStamp]])*24</f>
        <v>16.950000000000003</v>
      </c>
      <c r="T1059" s="385">
        <f>(Table6[[#This Row],[Fault Clearance time]]-Table6[[#This Row],[Fault Start TimeStamp]])*24</f>
        <v>16.950000000000003</v>
      </c>
      <c r="U1059" s="346" t="s">
        <v>1410</v>
      </c>
      <c r="V1059" s="346" t="s">
        <v>463</v>
      </c>
      <c r="W1059" s="377">
        <f>Table6[[#This Row],[Breakdown Time]]*(1/39)</f>
        <v>0.43461538461538468</v>
      </c>
      <c r="X1059" s="337" t="s">
        <v>464</v>
      </c>
      <c r="Y1059" s="346" t="s">
        <v>121</v>
      </c>
      <c r="Z1059" s="105">
        <v>30155</v>
      </c>
      <c r="AA1059" s="107">
        <f>IFERROR((Table6[[#This Row],[Paired WTG Generation for loss calculation]]/24)*Table6[[#This Row],[Breakdown Time]],"")</f>
        <v>21296.968750000004</v>
      </c>
      <c r="AB1059" s="107" t="s">
        <v>478</v>
      </c>
      <c r="AC1059" s="105"/>
      <c r="AD1059" s="105"/>
    </row>
    <row r="1060" spans="1:30">
      <c r="A1060" s="105">
        <f t="shared" si="16"/>
        <v>1059</v>
      </c>
      <c r="B1060" s="371">
        <f>YEAR(Table6[[#This Row],[Date]])+IF(MONTH(Table6[[#This Row],[Date]])&gt;=4,1,0)</f>
        <v>2026</v>
      </c>
      <c r="C1060" s="372">
        <f>YEAR(Table6[[#This Row],[Date]])</f>
        <v>2025</v>
      </c>
      <c r="D1060" s="105" t="s">
        <v>490</v>
      </c>
      <c r="E1060" s="119">
        <f>Table6[[#This Row],[Date]]-DAY(Table6[[#This Row],[Date]])+1</f>
        <v>45839</v>
      </c>
      <c r="F1060" s="373">
        <v>45866</v>
      </c>
      <c r="G1060" s="374" t="s">
        <v>126</v>
      </c>
      <c r="H1060" s="39" t="str">
        <f>_xlfn.XLOOKUP(Table6[[#This Row],[Affected WTG]],'Basic Data'!$A:$A,'Basic Data'!$B:$B)</f>
        <v>PWEGPL</v>
      </c>
      <c r="I1060" s="39" t="str">
        <f>_xlfn.XLOOKUP(Table6[[#This Row],[Affected WTG]],'Basic Data'!$A:$A,'Basic Data'!$C:$C)</f>
        <v>MSEDCL</v>
      </c>
      <c r="J1060" s="381">
        <f>IFERROR(VLOOKUP(Table6[[#This Row],[Affected WTG]],'Basic Data'!$A$3:$E$56,5,0),"")</f>
        <v>2.564102564102564E-2</v>
      </c>
      <c r="K1060" s="105">
        <v>203</v>
      </c>
      <c r="L1060" s="387" t="str">
        <f>IFERROR(VLOOKUP(Table6[[#This Row],[Error Code]],'Basic Data'!$T:$U,2,0),"")</f>
        <v>Low Pressure On Hydraulic Group</v>
      </c>
      <c r="M1060" s="346" t="s">
        <v>462</v>
      </c>
      <c r="N1060" s="105" t="s">
        <v>1270</v>
      </c>
      <c r="O1060" s="330">
        <v>0.35069444444444442</v>
      </c>
      <c r="P1060" s="330">
        <v>0.41736111111111113</v>
      </c>
      <c r="Q1060" s="330">
        <v>0.41805555555555557</v>
      </c>
      <c r="R1060" s="382">
        <f>IF(Table6[[#This Row],[Work Start TimeStamp]]="","",(Table6[[#This Row],[Work Start TimeStamp]]-Table6[[#This Row],[Fault Start TimeStamp]])*24)</f>
        <v>1.600000000000001</v>
      </c>
      <c r="S1060" s="382">
        <f>(Table6[[#This Row],[Fault Clearance time]]-Table6[[#This Row],[Work Start TimeStamp]])*24</f>
        <v>1.6666666666666607E-2</v>
      </c>
      <c r="T1060" s="385">
        <f>(Table6[[#This Row],[Fault Clearance time]]-Table6[[#This Row],[Fault Start TimeStamp]])*24</f>
        <v>1.6166666666666676</v>
      </c>
      <c r="U1060" s="346" t="s">
        <v>493</v>
      </c>
      <c r="V1060" s="346" t="s">
        <v>463</v>
      </c>
      <c r="W1060" s="377">
        <f>Table6[[#This Row],[Breakdown Time]]*(1/39)</f>
        <v>4.1452991452991472E-2</v>
      </c>
      <c r="X1060" s="337" t="s">
        <v>464</v>
      </c>
      <c r="Y1060" s="346" t="s">
        <v>127</v>
      </c>
      <c r="Z1060" s="105">
        <v>31554</v>
      </c>
      <c r="AA1060" s="107">
        <f>IFERROR((Table6[[#This Row],[Paired WTG Generation for loss calculation]]/24)*Table6[[#This Row],[Breakdown Time]],"")</f>
        <v>2125.5125000000012</v>
      </c>
      <c r="AB1060" s="107" t="s">
        <v>478</v>
      </c>
      <c r="AC1060" s="105"/>
      <c r="AD1060" s="105"/>
    </row>
    <row r="1061" spans="1:30">
      <c r="A1061" s="105">
        <f t="shared" si="16"/>
        <v>1060</v>
      </c>
      <c r="B1061" s="371">
        <f>YEAR(Table6[[#This Row],[Date]])+IF(MONTH(Table6[[#This Row],[Date]])&gt;=4,1,0)</f>
        <v>2026</v>
      </c>
      <c r="C1061" s="372">
        <f>YEAR(Table6[[#This Row],[Date]])</f>
        <v>2025</v>
      </c>
      <c r="D1061" s="105" t="s">
        <v>490</v>
      </c>
      <c r="E1061" s="119">
        <f>Table6[[#This Row],[Date]]-DAY(Table6[[#This Row],[Date]])+1</f>
        <v>45839</v>
      </c>
      <c r="F1061" s="373">
        <v>45866</v>
      </c>
      <c r="G1061" s="374" t="s">
        <v>129</v>
      </c>
      <c r="H1061" s="39" t="str">
        <f>_xlfn.XLOOKUP(Table6[[#This Row],[Affected WTG]],'Basic Data'!$A:$A,'Basic Data'!$B:$B)</f>
        <v>PWEGPL</v>
      </c>
      <c r="I1061" s="39" t="str">
        <f>_xlfn.XLOOKUP(Table6[[#This Row],[Affected WTG]],'Basic Data'!$A:$A,'Basic Data'!$C:$C)</f>
        <v>MSEDCL</v>
      </c>
      <c r="J1061" s="381">
        <f>IFERROR(VLOOKUP(Table6[[#This Row],[Affected WTG]],'Basic Data'!$A$3:$E$56,5,0),"")</f>
        <v>2.564102564102564E-2</v>
      </c>
      <c r="K1061" s="105">
        <v>2118</v>
      </c>
      <c r="L1061" s="387" t="str">
        <f>IFERROR(VLOOKUP(Table6[[#This Row],[Error Code]],'Basic Data'!$T:$U,2,0),"")</f>
        <v>Bus Error - Interbus Failure</v>
      </c>
      <c r="M1061" s="346" t="s">
        <v>462</v>
      </c>
      <c r="N1061" s="105" t="s">
        <v>1270</v>
      </c>
      <c r="O1061" s="330">
        <v>0.63194444444444442</v>
      </c>
      <c r="P1061" s="330">
        <v>0.65</v>
      </c>
      <c r="Q1061" s="330">
        <v>0.71666666666666667</v>
      </c>
      <c r="R1061" s="382">
        <f>IF(Table6[[#This Row],[Work Start TimeStamp]]="","",(Table6[[#This Row],[Work Start TimeStamp]]-Table6[[#This Row],[Fault Start TimeStamp]])*24)</f>
        <v>0.43333333333333446</v>
      </c>
      <c r="S1061" s="382">
        <f>(Table6[[#This Row],[Fault Clearance time]]-Table6[[#This Row],[Work Start TimeStamp]])*24</f>
        <v>1.5999999999999996</v>
      </c>
      <c r="T1061" s="385">
        <f>(Table6[[#This Row],[Fault Clearance time]]-Table6[[#This Row],[Fault Start TimeStamp]])*24</f>
        <v>2.0333333333333341</v>
      </c>
      <c r="U1061" s="346" t="s">
        <v>1239</v>
      </c>
      <c r="V1061" s="346" t="s">
        <v>463</v>
      </c>
      <c r="W1061" s="377">
        <f>Table6[[#This Row],[Breakdown Time]]*(1/39)</f>
        <v>5.2136752136752153E-2</v>
      </c>
      <c r="X1061" s="337" t="s">
        <v>464</v>
      </c>
      <c r="Y1061" s="346" t="s">
        <v>128</v>
      </c>
      <c r="Z1061" s="105">
        <v>31550</v>
      </c>
      <c r="AA1061" s="107">
        <f>IFERROR((Table6[[#This Row],[Paired WTG Generation for loss calculation]]/24)*Table6[[#This Row],[Breakdown Time]],"")</f>
        <v>2672.9861111111118</v>
      </c>
      <c r="AB1061" s="107" t="s">
        <v>478</v>
      </c>
      <c r="AC1061" s="105"/>
      <c r="AD1061" s="105"/>
    </row>
    <row r="1062" spans="1:30">
      <c r="A1062" s="105">
        <f t="shared" si="16"/>
        <v>1061</v>
      </c>
      <c r="B1062" s="371">
        <f>YEAR(Table6[[#This Row],[Date]])+IF(MONTH(Table6[[#This Row],[Date]])&gt;=4,1,0)</f>
        <v>2026</v>
      </c>
      <c r="C1062" s="372">
        <f>YEAR(Table6[[#This Row],[Date]])</f>
        <v>2025</v>
      </c>
      <c r="D1062" s="105" t="s">
        <v>490</v>
      </c>
      <c r="E1062" s="119">
        <f>Table6[[#This Row],[Date]]-DAY(Table6[[#This Row],[Date]])+1</f>
        <v>45839</v>
      </c>
      <c r="F1062" s="373">
        <v>45866</v>
      </c>
      <c r="G1062" s="374" t="s">
        <v>130</v>
      </c>
      <c r="H1062" s="39" t="str">
        <f>_xlfn.XLOOKUP(Table6[[#This Row],[Affected WTG]],'Basic Data'!$A:$A,'Basic Data'!$B:$B)</f>
        <v>PWEGPL</v>
      </c>
      <c r="I1062" s="39" t="str">
        <f>_xlfn.XLOOKUP(Table6[[#This Row],[Affected WTG]],'Basic Data'!$A:$A,'Basic Data'!$C:$C)</f>
        <v>MSEDCL</v>
      </c>
      <c r="J1062" s="381">
        <f>IFERROR(VLOOKUP(Table6[[#This Row],[Affected WTG]],'Basic Data'!$A$3:$E$56,5,0),"")</f>
        <v>2.564102564102564E-2</v>
      </c>
      <c r="K1062" s="105">
        <v>211</v>
      </c>
      <c r="L1062" s="387" t="str">
        <f>IFERROR(VLOOKUP(Table6[[#This Row],[Error Code]],'Basic Data'!$T:$U,2,0),"")</f>
        <v>Hydraulic HUB Filter Dirty</v>
      </c>
      <c r="M1062" s="346" t="s">
        <v>462</v>
      </c>
      <c r="N1062" s="105" t="s">
        <v>1270</v>
      </c>
      <c r="O1062" s="330">
        <v>0.64513888888888893</v>
      </c>
      <c r="P1062" s="330">
        <v>0.66736111111111107</v>
      </c>
      <c r="Q1062" s="330">
        <v>0.66805555555555551</v>
      </c>
      <c r="R1062" s="382">
        <f>IF(Table6[[#This Row],[Work Start TimeStamp]]="","",(Table6[[#This Row],[Work Start TimeStamp]]-Table6[[#This Row],[Fault Start TimeStamp]])*24)</f>
        <v>0.53333333333333144</v>
      </c>
      <c r="S1062" s="382">
        <f>(Table6[[#This Row],[Fault Clearance time]]-Table6[[#This Row],[Work Start TimeStamp]])*24</f>
        <v>1.6666666666666607E-2</v>
      </c>
      <c r="T1062" s="385">
        <f>(Table6[[#This Row],[Fault Clearance time]]-Table6[[#This Row],[Fault Start TimeStamp]])*24</f>
        <v>0.54999999999999805</v>
      </c>
      <c r="U1062" s="346" t="s">
        <v>493</v>
      </c>
      <c r="V1062" s="346" t="s">
        <v>463</v>
      </c>
      <c r="W1062" s="377">
        <f>Table6[[#This Row],[Breakdown Time]]*(1/39)</f>
        <v>1.4102564102564052E-2</v>
      </c>
      <c r="X1062" s="337" t="s">
        <v>464</v>
      </c>
      <c r="Y1062" s="346" t="s">
        <v>129</v>
      </c>
      <c r="Z1062" s="105">
        <v>29499</v>
      </c>
      <c r="AA1062" s="107">
        <f>IFERROR((Table6[[#This Row],[Paired WTG Generation for loss calculation]]/24)*Table6[[#This Row],[Breakdown Time]],"")</f>
        <v>676.01874999999757</v>
      </c>
      <c r="AB1062" s="107" t="s">
        <v>478</v>
      </c>
      <c r="AC1062" s="105"/>
      <c r="AD1062" s="105"/>
    </row>
    <row r="1063" spans="1:30">
      <c r="A1063" s="105">
        <f t="shared" si="16"/>
        <v>1062</v>
      </c>
      <c r="B1063" s="371">
        <f>YEAR(Table6[[#This Row],[Date]])+IF(MONTH(Table6[[#This Row],[Date]])&gt;=4,1,0)</f>
        <v>2026</v>
      </c>
      <c r="C1063" s="372">
        <f>YEAR(Table6[[#This Row],[Date]])</f>
        <v>2025</v>
      </c>
      <c r="D1063" s="105" t="s">
        <v>490</v>
      </c>
      <c r="E1063" s="119">
        <f>Table6[[#This Row],[Date]]-DAY(Table6[[#This Row],[Date]])+1</f>
        <v>45839</v>
      </c>
      <c r="F1063" s="373">
        <v>45866</v>
      </c>
      <c r="G1063" s="374" t="s">
        <v>135</v>
      </c>
      <c r="H1063" s="39" t="str">
        <f>_xlfn.XLOOKUP(Table6[[#This Row],[Affected WTG]],'Basic Data'!$A:$A,'Basic Data'!$B:$B)</f>
        <v>PWEGPL</v>
      </c>
      <c r="I1063" s="39" t="str">
        <f>_xlfn.XLOOKUP(Table6[[#This Row],[Affected WTG]],'Basic Data'!$A:$A,'Basic Data'!$C:$C)</f>
        <v>MSEDCL</v>
      </c>
      <c r="J1063" s="381">
        <f>IFERROR(VLOOKUP(Table6[[#This Row],[Affected WTG]],'Basic Data'!$A$3:$E$56,5,0),"")</f>
        <v>2.564102564102564E-2</v>
      </c>
      <c r="K1063" s="105">
        <v>800</v>
      </c>
      <c r="L1063" s="387" t="str">
        <f>IFERROR(VLOOKUP(Table6[[#This Row],[Error Code]],'Basic Data'!$T:$U,2,0),"")</f>
        <v>Pitch Drive Error</v>
      </c>
      <c r="M1063" s="346" t="s">
        <v>462</v>
      </c>
      <c r="N1063" s="105" t="s">
        <v>1270</v>
      </c>
      <c r="O1063" s="330">
        <v>0.77430555555555558</v>
      </c>
      <c r="P1063" s="330">
        <v>0.79374999999999996</v>
      </c>
      <c r="Q1063" s="330">
        <v>0.81041666666666667</v>
      </c>
      <c r="R1063" s="382">
        <f>IF(Table6[[#This Row],[Work Start TimeStamp]]="","",(Table6[[#This Row],[Work Start TimeStamp]]-Table6[[#This Row],[Fault Start TimeStamp]])*24)</f>
        <v>0.46666666666666501</v>
      </c>
      <c r="S1063" s="382">
        <f>(Table6[[#This Row],[Fault Clearance time]]-Table6[[#This Row],[Work Start TimeStamp]])*24</f>
        <v>0.40000000000000124</v>
      </c>
      <c r="T1063" s="385">
        <f>(Table6[[#This Row],[Fault Clearance time]]-Table6[[#This Row],[Fault Start TimeStamp]])*24</f>
        <v>0.86666666666666625</v>
      </c>
      <c r="U1063" s="346" t="s">
        <v>1412</v>
      </c>
      <c r="V1063" s="346" t="s">
        <v>463</v>
      </c>
      <c r="W1063" s="377">
        <f>Table6[[#This Row],[Breakdown Time]]*(1/39)</f>
        <v>2.2222222222222209E-2</v>
      </c>
      <c r="X1063" s="337" t="s">
        <v>464</v>
      </c>
      <c r="Y1063" s="346" t="s">
        <v>136</v>
      </c>
      <c r="Z1063" s="105">
        <v>26621</v>
      </c>
      <c r="AA1063" s="107">
        <f>IFERROR((Table6[[#This Row],[Paired WTG Generation for loss calculation]]/24)*Table6[[#This Row],[Breakdown Time]],"")</f>
        <v>961.31388888888841</v>
      </c>
      <c r="AB1063" s="107" t="s">
        <v>478</v>
      </c>
      <c r="AC1063" s="105"/>
      <c r="AD1063" s="105"/>
    </row>
    <row r="1064" spans="1:30">
      <c r="A1064" s="105">
        <f t="shared" si="16"/>
        <v>1063</v>
      </c>
      <c r="B1064" s="371">
        <f>YEAR(Table6[[#This Row],[Date]])+IF(MONTH(Table6[[#This Row],[Date]])&gt;=4,1,0)</f>
        <v>2026</v>
      </c>
      <c r="C1064" s="372">
        <f>YEAR(Table6[[#This Row],[Date]])</f>
        <v>2025</v>
      </c>
      <c r="D1064" s="105" t="s">
        <v>490</v>
      </c>
      <c r="E1064" s="119">
        <f>Table6[[#This Row],[Date]]-DAY(Table6[[#This Row],[Date]])+1</f>
        <v>45839</v>
      </c>
      <c r="F1064" s="373">
        <v>45866</v>
      </c>
      <c r="G1064" s="374" t="s">
        <v>143</v>
      </c>
      <c r="H1064" s="39" t="str">
        <f>_xlfn.XLOOKUP(Table6[[#This Row],[Affected WTG]],'Basic Data'!$A:$A,'Basic Data'!$B:$B)</f>
        <v>PWEGPL</v>
      </c>
      <c r="I1064" s="39" t="str">
        <f>_xlfn.XLOOKUP(Table6[[#This Row],[Affected WTG]],'Basic Data'!$A:$A,'Basic Data'!$C:$C)</f>
        <v>MSEDCL</v>
      </c>
      <c r="J1064" s="381">
        <f>IFERROR(VLOOKUP(Table6[[#This Row],[Affected WTG]],'Basic Data'!$A$3:$E$56,5,0),"")</f>
        <v>2.564102564102564E-2</v>
      </c>
      <c r="K1064" s="105">
        <v>222</v>
      </c>
      <c r="L1064" s="387" t="str">
        <f>IFERROR(VLOOKUP(Table6[[#This Row],[Error Code]],'Basic Data'!$T:$U,2,0),"")</f>
        <v>Very Low Pressure On Hydraulic Unit</v>
      </c>
      <c r="M1064" s="346" t="s">
        <v>462</v>
      </c>
      <c r="N1064" s="105" t="s">
        <v>1270</v>
      </c>
      <c r="O1064" s="330">
        <v>0.60416666666666663</v>
      </c>
      <c r="P1064" s="330">
        <v>0.62847222222222221</v>
      </c>
      <c r="Q1064" s="330">
        <v>0.62986111111111109</v>
      </c>
      <c r="R1064" s="382">
        <f>IF(Table6[[#This Row],[Work Start TimeStamp]]="","",(Table6[[#This Row],[Work Start TimeStamp]]-Table6[[#This Row],[Fault Start TimeStamp]])*24)</f>
        <v>0.58333333333333393</v>
      </c>
      <c r="S1064" s="382">
        <f>(Table6[[#This Row],[Fault Clearance time]]-Table6[[#This Row],[Work Start TimeStamp]])*24</f>
        <v>3.3333333333333215E-2</v>
      </c>
      <c r="T1064" s="385">
        <f>(Table6[[#This Row],[Fault Clearance time]]-Table6[[#This Row],[Fault Start TimeStamp]])*24</f>
        <v>0.61666666666666714</v>
      </c>
      <c r="U1064" s="346" t="s">
        <v>493</v>
      </c>
      <c r="V1064" s="346" t="s">
        <v>463</v>
      </c>
      <c r="W1064" s="377">
        <f>Table6[[#This Row],[Breakdown Time]]*(1/39)</f>
        <v>1.5811965811965825E-2</v>
      </c>
      <c r="X1064" s="337" t="s">
        <v>464</v>
      </c>
      <c r="Y1064" s="346" t="s">
        <v>144</v>
      </c>
      <c r="Z1064" s="105">
        <v>26627</v>
      </c>
      <c r="AA1064" s="107">
        <f>IFERROR((Table6[[#This Row],[Paired WTG Generation for loss calculation]]/24)*Table6[[#This Row],[Breakdown Time]],"")</f>
        <v>684.16597222222265</v>
      </c>
      <c r="AB1064" s="107" t="s">
        <v>478</v>
      </c>
      <c r="AC1064" s="105"/>
      <c r="AD1064" s="105"/>
    </row>
    <row r="1065" spans="1:30">
      <c r="A1065" s="105">
        <f t="shared" si="16"/>
        <v>1064</v>
      </c>
      <c r="B1065" s="371">
        <f>YEAR(Table6[[#This Row],[Date]])+IF(MONTH(Table6[[#This Row],[Date]])&gt;=4,1,0)</f>
        <v>2026</v>
      </c>
      <c r="C1065" s="372">
        <f>YEAR(Table6[[#This Row],[Date]])</f>
        <v>2025</v>
      </c>
      <c r="D1065" s="105" t="s">
        <v>490</v>
      </c>
      <c r="E1065" s="119">
        <f>Table6[[#This Row],[Date]]-DAY(Table6[[#This Row],[Date]])+1</f>
        <v>45839</v>
      </c>
      <c r="F1065" s="373">
        <v>45867</v>
      </c>
      <c r="G1065" s="374" t="s">
        <v>142</v>
      </c>
      <c r="H1065" s="39" t="str">
        <f>_xlfn.XLOOKUP(Table6[[#This Row],[Affected WTG]],'Basic Data'!$A:$A,'Basic Data'!$B:$B)</f>
        <v>PWEGPL</v>
      </c>
      <c r="I1065" s="39" t="str">
        <f>_xlfn.XLOOKUP(Table6[[#This Row],[Affected WTG]],'Basic Data'!$A:$A,'Basic Data'!$C:$C)</f>
        <v>MSEDCL</v>
      </c>
      <c r="J1065" s="381">
        <f>IFERROR(VLOOKUP(Table6[[#This Row],[Affected WTG]],'Basic Data'!$A$3:$E$56,5,0),"")</f>
        <v>2.564102564102564E-2</v>
      </c>
      <c r="K1065" s="105">
        <v>700</v>
      </c>
      <c r="L1065" s="387" t="str">
        <f>IFERROR(VLOOKUP(Table6[[#This Row],[Error Code]],'Basic Data'!$T:$U,2,0),"")</f>
        <v>PLC-Converter Communication Error</v>
      </c>
      <c r="M1065" s="346" t="s">
        <v>462</v>
      </c>
      <c r="N1065" s="105" t="s">
        <v>1270</v>
      </c>
      <c r="O1065" s="330">
        <v>0</v>
      </c>
      <c r="P1065" s="330">
        <v>0</v>
      </c>
      <c r="Q1065" s="330">
        <v>0.99998842592592596</v>
      </c>
      <c r="R1065" s="382">
        <f>IF(Table6[[#This Row],[Work Start TimeStamp]]="","",(Table6[[#This Row],[Work Start TimeStamp]]-Table6[[#This Row],[Fault Start TimeStamp]])*24)</f>
        <v>0</v>
      </c>
      <c r="S1065" s="382">
        <f>(Table6[[#This Row],[Fault Clearance time]]-Table6[[#This Row],[Work Start TimeStamp]])*24</f>
        <v>23.999722222222225</v>
      </c>
      <c r="T1065" s="385">
        <f>(Table6[[#This Row],[Fault Clearance time]]-Table6[[#This Row],[Fault Start TimeStamp]])*24</f>
        <v>23.999722222222225</v>
      </c>
      <c r="U1065" s="346" t="s">
        <v>500</v>
      </c>
      <c r="V1065" s="346" t="s">
        <v>473</v>
      </c>
      <c r="W1065" s="377">
        <f>Table6[[#This Row],[Breakdown Time]]*(1/39)</f>
        <v>0.61537749287749288</v>
      </c>
      <c r="X1065" s="337" t="s">
        <v>465</v>
      </c>
      <c r="Y1065" s="346" t="s">
        <v>143</v>
      </c>
      <c r="Z1065" s="105">
        <v>23428</v>
      </c>
      <c r="AA1065" s="107">
        <f>IFERROR((Table6[[#This Row],[Paired WTG Generation for loss calculation]]/24)*Table6[[#This Row],[Breakdown Time]],"")</f>
        <v>23427.728842592594</v>
      </c>
      <c r="AB1065" s="107" t="s">
        <v>1406</v>
      </c>
      <c r="AC1065" s="105"/>
      <c r="AD1065" s="105"/>
    </row>
    <row r="1066" spans="1:30">
      <c r="A1066" s="105">
        <f t="shared" si="16"/>
        <v>1065</v>
      </c>
      <c r="B1066" s="371">
        <f>YEAR(Table6[[#This Row],[Date]])+IF(MONTH(Table6[[#This Row],[Date]])&gt;=4,1,0)</f>
        <v>2026</v>
      </c>
      <c r="C1066" s="372">
        <f>YEAR(Table6[[#This Row],[Date]])</f>
        <v>2025</v>
      </c>
      <c r="D1066" s="105" t="s">
        <v>490</v>
      </c>
      <c r="E1066" s="119">
        <f>Table6[[#This Row],[Date]]-DAY(Table6[[#This Row],[Date]])+1</f>
        <v>45839</v>
      </c>
      <c r="F1066" s="373">
        <v>45867</v>
      </c>
      <c r="G1066" s="374" t="s">
        <v>126</v>
      </c>
      <c r="H1066" s="39" t="str">
        <f>_xlfn.XLOOKUP(Table6[[#This Row],[Affected WTG]],'Basic Data'!$A:$A,'Basic Data'!$B:$B)</f>
        <v>PWEGPL</v>
      </c>
      <c r="I1066" s="39" t="str">
        <f>_xlfn.XLOOKUP(Table6[[#This Row],[Affected WTG]],'Basic Data'!$A:$A,'Basic Data'!$C:$C)</f>
        <v>MSEDCL</v>
      </c>
      <c r="J1066" s="381">
        <f>IFERROR(VLOOKUP(Table6[[#This Row],[Affected WTG]],'Basic Data'!$A$3:$E$56,5,0),"")</f>
        <v>2.564102564102564E-2</v>
      </c>
      <c r="K1066" s="105">
        <v>203</v>
      </c>
      <c r="L1066" s="387" t="str">
        <f>IFERROR(VLOOKUP(Table6[[#This Row],[Error Code]],'Basic Data'!$T:$U,2,0),"")</f>
        <v>Low Pressure On Hydraulic Group</v>
      </c>
      <c r="M1066" s="346" t="s">
        <v>462</v>
      </c>
      <c r="N1066" s="105" t="s">
        <v>1270</v>
      </c>
      <c r="O1066" s="330">
        <v>0.60416666666666663</v>
      </c>
      <c r="P1066" s="330">
        <v>0.99998842592592596</v>
      </c>
      <c r="Q1066" s="330">
        <v>0.99998842592592596</v>
      </c>
      <c r="R1066" s="382">
        <f>IF(Table6[[#This Row],[Work Start TimeStamp]]="","",(Table6[[#This Row],[Work Start TimeStamp]]-Table6[[#This Row],[Fault Start TimeStamp]])*24)</f>
        <v>9.4997222222222248</v>
      </c>
      <c r="S1066" s="382">
        <f>(Table6[[#This Row],[Fault Clearance time]]-Table6[[#This Row],[Work Start TimeStamp]])*24</f>
        <v>0</v>
      </c>
      <c r="T1066" s="385">
        <f>(Table6[[#This Row],[Fault Clearance time]]-Table6[[#This Row],[Fault Start TimeStamp]])*24</f>
        <v>9.4997222222222248</v>
      </c>
      <c r="U1066" s="346" t="s">
        <v>500</v>
      </c>
      <c r="V1066" s="346" t="s">
        <v>473</v>
      </c>
      <c r="W1066" s="377">
        <f>Table6[[#This Row],[Breakdown Time]]*(1/39)</f>
        <v>0.24358262108262113</v>
      </c>
      <c r="X1066" s="337" t="s">
        <v>465</v>
      </c>
      <c r="Y1066" s="346" t="s">
        <v>127</v>
      </c>
      <c r="Z1066" s="105">
        <v>31613</v>
      </c>
      <c r="AA1066" s="107">
        <f>IFERROR((Table6[[#This Row],[Paired WTG Generation for loss calculation]]/24)*Table6[[#This Row],[Breakdown Time]],"")</f>
        <v>12513.113275462965</v>
      </c>
      <c r="AB1066" s="107" t="s">
        <v>478</v>
      </c>
      <c r="AC1066" s="105"/>
      <c r="AD1066" s="105"/>
    </row>
    <row r="1067" spans="1:30">
      <c r="A1067" s="105">
        <f t="shared" si="16"/>
        <v>1066</v>
      </c>
      <c r="B1067" s="371">
        <f>YEAR(Table6[[#This Row],[Date]])+IF(MONTH(Table6[[#This Row],[Date]])&gt;=4,1,0)</f>
        <v>2026</v>
      </c>
      <c r="C1067" s="372">
        <f>YEAR(Table6[[#This Row],[Date]])</f>
        <v>2025</v>
      </c>
      <c r="D1067" s="105" t="s">
        <v>490</v>
      </c>
      <c r="E1067" s="119">
        <f>Table6[[#This Row],[Date]]-DAY(Table6[[#This Row],[Date]])+1</f>
        <v>45839</v>
      </c>
      <c r="F1067" s="373">
        <v>45867</v>
      </c>
      <c r="G1067" s="374" t="s">
        <v>130</v>
      </c>
      <c r="H1067" s="39" t="str">
        <f>_xlfn.XLOOKUP(Table6[[#This Row],[Affected WTG]],'Basic Data'!$A:$A,'Basic Data'!$B:$B)</f>
        <v>PWEGPL</v>
      </c>
      <c r="I1067" s="39" t="str">
        <f>_xlfn.XLOOKUP(Table6[[#This Row],[Affected WTG]],'Basic Data'!$A:$A,'Basic Data'!$C:$C)</f>
        <v>MSEDCL</v>
      </c>
      <c r="J1067" s="381">
        <f>IFERROR(VLOOKUP(Table6[[#This Row],[Affected WTG]],'Basic Data'!$A$3:$E$56,5,0),"")</f>
        <v>2.564102564102564E-2</v>
      </c>
      <c r="K1067" s="105">
        <v>700</v>
      </c>
      <c r="L1067" s="387" t="str">
        <f>IFERROR(VLOOKUP(Table6[[#This Row],[Error Code]],'Basic Data'!$T:$U,2,0),"")</f>
        <v>PLC-Converter Communication Error</v>
      </c>
      <c r="M1067" s="346" t="s">
        <v>462</v>
      </c>
      <c r="N1067" s="105" t="s">
        <v>1270</v>
      </c>
      <c r="O1067" s="330">
        <v>0.75694444444444442</v>
      </c>
      <c r="P1067" s="330">
        <v>0.77013888888888893</v>
      </c>
      <c r="Q1067" s="330">
        <v>0.77083333333333337</v>
      </c>
      <c r="R1067" s="382">
        <f>IF(Table6[[#This Row],[Work Start TimeStamp]]="","",(Table6[[#This Row],[Work Start TimeStamp]]-Table6[[#This Row],[Fault Start TimeStamp]])*24)</f>
        <v>0.31666666666666821</v>
      </c>
      <c r="S1067" s="382">
        <f>(Table6[[#This Row],[Fault Clearance time]]-Table6[[#This Row],[Work Start TimeStamp]])*24</f>
        <v>1.6666666666666607E-2</v>
      </c>
      <c r="T1067" s="385">
        <f>(Table6[[#This Row],[Fault Clearance time]]-Table6[[#This Row],[Fault Start TimeStamp]])*24</f>
        <v>0.33333333333333481</v>
      </c>
      <c r="U1067" s="346" t="s">
        <v>493</v>
      </c>
      <c r="V1067" s="346" t="s">
        <v>463</v>
      </c>
      <c r="W1067" s="377">
        <f>Table6[[#This Row],[Breakdown Time]]*(1/39)</f>
        <v>8.5470085470085843E-3</v>
      </c>
      <c r="X1067" s="337" t="s">
        <v>465</v>
      </c>
      <c r="Y1067" s="346" t="s">
        <v>131</v>
      </c>
      <c r="Z1067" s="105">
        <v>31619</v>
      </c>
      <c r="AA1067" s="107">
        <f>IFERROR((Table6[[#This Row],[Paired WTG Generation for loss calculation]]/24)*Table6[[#This Row],[Breakdown Time]],"")</f>
        <v>439.1527777777797</v>
      </c>
      <c r="AB1067" s="107" t="s">
        <v>478</v>
      </c>
      <c r="AC1067" s="105"/>
      <c r="AD1067" s="105"/>
    </row>
    <row r="1068" spans="1:30">
      <c r="A1068" s="105">
        <f t="shared" si="16"/>
        <v>1067</v>
      </c>
      <c r="B1068" s="371">
        <f>YEAR(Table6[[#This Row],[Date]])+IF(MONTH(Table6[[#This Row],[Date]])&gt;=4,1,0)</f>
        <v>2026</v>
      </c>
      <c r="C1068" s="372">
        <f>YEAR(Table6[[#This Row],[Date]])</f>
        <v>2025</v>
      </c>
      <c r="D1068" s="105" t="s">
        <v>490</v>
      </c>
      <c r="E1068" s="119">
        <f>Table6[[#This Row],[Date]]-DAY(Table6[[#This Row],[Date]])+1</f>
        <v>45839</v>
      </c>
      <c r="F1068" s="373">
        <v>45867</v>
      </c>
      <c r="G1068" s="374" t="s">
        <v>138</v>
      </c>
      <c r="H1068" s="39" t="str">
        <f>_xlfn.XLOOKUP(Table6[[#This Row],[Affected WTG]],'Basic Data'!$A:$A,'Basic Data'!$B:$B)</f>
        <v>PWEGPL</v>
      </c>
      <c r="I1068" s="39" t="str">
        <f>_xlfn.XLOOKUP(Table6[[#This Row],[Affected WTG]],'Basic Data'!$A:$A,'Basic Data'!$C:$C)</f>
        <v>MSEDCL</v>
      </c>
      <c r="J1068" s="381">
        <f>IFERROR(VLOOKUP(Table6[[#This Row],[Affected WTG]],'Basic Data'!$A$3:$E$56,5,0),"")</f>
        <v>2.564102564102564E-2</v>
      </c>
      <c r="K1068" s="105">
        <v>2118</v>
      </c>
      <c r="L1068" s="387" t="str">
        <f>IFERROR(VLOOKUP(Table6[[#This Row],[Error Code]],'Basic Data'!$T:$U,2,0),"")</f>
        <v>Bus Error - Interbus Failure</v>
      </c>
      <c r="M1068" s="346" t="s">
        <v>462</v>
      </c>
      <c r="N1068" s="105" t="s">
        <v>1270</v>
      </c>
      <c r="O1068" s="330">
        <v>0.29791666666666666</v>
      </c>
      <c r="P1068" s="330">
        <v>0.54097222222222219</v>
      </c>
      <c r="Q1068" s="330">
        <v>0.54166666666666663</v>
      </c>
      <c r="R1068" s="382">
        <f>IF(Table6[[#This Row],[Work Start TimeStamp]]="","",(Table6[[#This Row],[Work Start TimeStamp]]-Table6[[#This Row],[Fault Start TimeStamp]])*24)</f>
        <v>5.8333333333333321</v>
      </c>
      <c r="S1068" s="382">
        <f>(Table6[[#This Row],[Fault Clearance time]]-Table6[[#This Row],[Work Start TimeStamp]])*24</f>
        <v>1.6666666666666607E-2</v>
      </c>
      <c r="T1068" s="385">
        <f>(Table6[[#This Row],[Fault Clearance time]]-Table6[[#This Row],[Fault Start TimeStamp]])*24</f>
        <v>5.85</v>
      </c>
      <c r="U1068" s="346" t="s">
        <v>493</v>
      </c>
      <c r="V1068" s="346" t="s">
        <v>463</v>
      </c>
      <c r="W1068" s="377">
        <f>Table6[[#This Row],[Breakdown Time]]*(1/39)</f>
        <v>0.15</v>
      </c>
      <c r="X1068" s="337" t="s">
        <v>465</v>
      </c>
      <c r="Y1068" s="346" t="s">
        <v>140</v>
      </c>
      <c r="Z1068" s="105">
        <v>23405</v>
      </c>
      <c r="AA1068" s="107">
        <f>IFERROR((Table6[[#This Row],[Paired WTG Generation for loss calculation]]/24)*Table6[[#This Row],[Breakdown Time]],"")</f>
        <v>5704.96875</v>
      </c>
      <c r="AB1068" s="107" t="s">
        <v>478</v>
      </c>
      <c r="AC1068" s="105"/>
      <c r="AD1068" s="105"/>
    </row>
    <row r="1069" spans="1:30">
      <c r="A1069" s="408">
        <f t="shared" si="16"/>
        <v>1068</v>
      </c>
      <c r="B1069" s="388">
        <f>YEAR(Table6[[#This Row],[Date]])+IF(MONTH(Table6[[#This Row],[Date]])&gt;=4,1,0)</f>
        <v>2026</v>
      </c>
      <c r="C1069" s="389">
        <f>YEAR(Table6[[#This Row],[Date]])</f>
        <v>2025</v>
      </c>
      <c r="D1069" s="389" t="s">
        <v>490</v>
      </c>
      <c r="E1069" s="391">
        <f>Table6[[#This Row],[Date]]-DAY(Table6[[#This Row],[Date]])+1</f>
        <v>45839</v>
      </c>
      <c r="F1069" s="392">
        <v>45868</v>
      </c>
      <c r="G1069" s="374" t="s">
        <v>142</v>
      </c>
      <c r="H1069" s="409" t="str">
        <f>_xlfn.XLOOKUP(Table6[[#This Row],[Affected WTG]],'Basic Data'!$A:$A,'Basic Data'!$B:$B)</f>
        <v>PWEGPL</v>
      </c>
      <c r="I1069" s="409" t="str">
        <f>_xlfn.XLOOKUP(Table6[[#This Row],[Affected WTG]],'Basic Data'!$A:$A,'Basic Data'!$C:$C)</f>
        <v>MSEDCL</v>
      </c>
      <c r="J1069" s="393">
        <f>IFERROR(VLOOKUP(Table6[[#This Row],[Affected WTG]],'Basic Data'!$A$3:$E$56,5,0),"")</f>
        <v>2.564102564102564E-2</v>
      </c>
      <c r="K1069" s="390">
        <v>700</v>
      </c>
      <c r="L1069" s="387" t="str">
        <f>IFERROR(VLOOKUP(Table6[[#This Row],[Error Code]],'Basic Data'!$T:$U,2,0),"")</f>
        <v>PLC-Converter Communication Error</v>
      </c>
      <c r="M1069" s="394" t="s">
        <v>462</v>
      </c>
      <c r="N1069" s="390" t="s">
        <v>1270</v>
      </c>
      <c r="O1069" s="395">
        <v>0</v>
      </c>
      <c r="P1069" s="395">
        <v>0</v>
      </c>
      <c r="Q1069" s="395">
        <v>0.99998842592592596</v>
      </c>
      <c r="R1069" s="396">
        <f>IF(Table6[[#This Row],[Work Start TimeStamp]]="","",(Table6[[#This Row],[Work Start TimeStamp]]-Table6[[#This Row],[Fault Start TimeStamp]])*24)</f>
        <v>0</v>
      </c>
      <c r="S1069" s="396">
        <f>(Table6[[#This Row],[Fault Clearance time]]-Table6[[#This Row],[Work Start TimeStamp]])*24</f>
        <v>23.999722222222225</v>
      </c>
      <c r="T1069" s="397">
        <f>(Table6[[#This Row],[Fault Clearance time]]-Table6[[#This Row],[Fault Start TimeStamp]])*24</f>
        <v>23.999722222222225</v>
      </c>
      <c r="U1069" s="394" t="s">
        <v>500</v>
      </c>
      <c r="V1069" s="394" t="s">
        <v>473</v>
      </c>
      <c r="W1069" s="398">
        <f>Table6[[#This Row],[Breakdown Time]]*(1/39)</f>
        <v>0.61537749287749288</v>
      </c>
      <c r="X1069" s="399" t="s">
        <v>465</v>
      </c>
      <c r="Y1069" s="394" t="s">
        <v>143</v>
      </c>
      <c r="Z1069" s="390">
        <v>12547</v>
      </c>
      <c r="AA1069" s="107">
        <f>IFERROR((Table6[[#This Row],[Paired WTG Generation for loss calculation]]/24)*Table6[[#This Row],[Breakdown Time]],"")</f>
        <v>12546.854780092594</v>
      </c>
      <c r="AB1069" s="400" t="s">
        <v>1406</v>
      </c>
      <c r="AC1069" s="390"/>
      <c r="AD1069" s="401"/>
    </row>
    <row r="1070" spans="1:30">
      <c r="A1070" s="408">
        <f t="shared" si="16"/>
        <v>1069</v>
      </c>
      <c r="B1070" s="388">
        <f>YEAR(Table6[[#This Row],[Date]])+IF(MONTH(Table6[[#This Row],[Date]])&gt;=4,1,0)</f>
        <v>2026</v>
      </c>
      <c r="C1070" s="389">
        <f>YEAR(Table6[[#This Row],[Date]])</f>
        <v>2025</v>
      </c>
      <c r="D1070" s="389" t="s">
        <v>490</v>
      </c>
      <c r="E1070" s="402">
        <f>Table6[[#This Row],[Date]]-DAY(Table6[[#This Row],[Date]])+1</f>
        <v>45839</v>
      </c>
      <c r="F1070" s="392">
        <v>45868</v>
      </c>
      <c r="G1070" s="374" t="s">
        <v>116</v>
      </c>
      <c r="H1070" s="409" t="str">
        <f>_xlfn.XLOOKUP(Table6[[#This Row],[Affected WTG]],'Basic Data'!$A:$A,'Basic Data'!$B:$B)</f>
        <v>PWEGPL</v>
      </c>
      <c r="I1070" s="409" t="str">
        <f>_xlfn.XLOOKUP(Table6[[#This Row],[Affected WTG]],'Basic Data'!$A:$A,'Basic Data'!$C:$C)</f>
        <v>MSEDCL</v>
      </c>
      <c r="J1070" s="393">
        <f>IFERROR(VLOOKUP(Table6[[#This Row],[Affected WTG]],'Basic Data'!$A$3:$E$56,5,0),"")</f>
        <v>2.564102564102564E-2</v>
      </c>
      <c r="K1070" s="389">
        <v>211</v>
      </c>
      <c r="L1070" s="387" t="str">
        <f>IFERROR(VLOOKUP(Table6[[#This Row],[Error Code]],'Basic Data'!$T:$U,2,0),"")</f>
        <v>Hydraulic HUB Filter Dirty</v>
      </c>
      <c r="M1070" s="403" t="s">
        <v>462</v>
      </c>
      <c r="N1070" s="389" t="s">
        <v>1270</v>
      </c>
      <c r="O1070" s="404">
        <v>0.27083333333333331</v>
      </c>
      <c r="P1070" s="404">
        <v>0.53125</v>
      </c>
      <c r="Q1070" s="404">
        <v>0.53125</v>
      </c>
      <c r="R1070" s="396">
        <f>IF(Table6[[#This Row],[Work Start TimeStamp]]="","",(Table6[[#This Row],[Work Start TimeStamp]]-Table6[[#This Row],[Fault Start TimeStamp]])*24)</f>
        <v>6.25</v>
      </c>
      <c r="S1070" s="396">
        <f>(Table6[[#This Row],[Fault Clearance time]]-Table6[[#This Row],[Work Start TimeStamp]])*24</f>
        <v>0</v>
      </c>
      <c r="T1070" s="397">
        <f>(Table6[[#This Row],[Fault Clearance time]]-Table6[[#This Row],[Fault Start TimeStamp]])*24</f>
        <v>6.25</v>
      </c>
      <c r="U1070" s="403" t="s">
        <v>493</v>
      </c>
      <c r="V1070" s="403" t="s">
        <v>463</v>
      </c>
      <c r="W1070" s="405">
        <f>Table6[[#This Row],[Breakdown Time]]*(1/39)</f>
        <v>0.16025641025641024</v>
      </c>
      <c r="X1070" s="406" t="s">
        <v>465</v>
      </c>
      <c r="Y1070" s="403" t="s">
        <v>118</v>
      </c>
      <c r="Z1070" s="389">
        <v>18449</v>
      </c>
      <c r="AA1070" s="107">
        <f>IFERROR((Table6[[#This Row],[Paired WTG Generation for loss calculation]]/24)*Table6[[#This Row],[Breakdown Time]],"")</f>
        <v>4804.4270833333339</v>
      </c>
      <c r="AB1070" s="388" t="s">
        <v>478</v>
      </c>
      <c r="AC1070" s="389"/>
      <c r="AD1070" s="407"/>
    </row>
    <row r="1071" spans="1:30">
      <c r="A1071" s="408">
        <f t="shared" si="16"/>
        <v>1070</v>
      </c>
      <c r="B1071" s="388">
        <f>YEAR(Table6[[#This Row],[Date]])+IF(MONTH(Table6[[#This Row],[Date]])&gt;=4,1,0)</f>
        <v>2026</v>
      </c>
      <c r="C1071" s="389">
        <f>YEAR(Table6[[#This Row],[Date]])</f>
        <v>2025</v>
      </c>
      <c r="D1071" s="389" t="s">
        <v>490</v>
      </c>
      <c r="E1071" s="391">
        <f>Table6[[#This Row],[Date]]-DAY(Table6[[#This Row],[Date]])+1</f>
        <v>45839</v>
      </c>
      <c r="F1071" s="392">
        <v>45868</v>
      </c>
      <c r="G1071" s="374" t="s">
        <v>124</v>
      </c>
      <c r="H1071" s="409" t="str">
        <f>_xlfn.XLOOKUP(Table6[[#This Row],[Affected WTG]],'Basic Data'!$A:$A,'Basic Data'!$B:$B)</f>
        <v>PWEGPL</v>
      </c>
      <c r="I1071" s="409" t="str">
        <f>_xlfn.XLOOKUP(Table6[[#This Row],[Affected WTG]],'Basic Data'!$A:$A,'Basic Data'!$C:$C)</f>
        <v>MSEDCL</v>
      </c>
      <c r="J1071" s="393">
        <f>IFERROR(VLOOKUP(Table6[[#This Row],[Affected WTG]],'Basic Data'!$A$3:$E$56,5,0),"")</f>
        <v>2.564102564102564E-2</v>
      </c>
      <c r="K1071" s="390">
        <v>211</v>
      </c>
      <c r="L1071" s="387" t="str">
        <f>IFERROR(VLOOKUP(Table6[[#This Row],[Error Code]],'Basic Data'!$T:$U,2,0),"")</f>
        <v>Hydraulic HUB Filter Dirty</v>
      </c>
      <c r="M1071" s="394" t="s">
        <v>462</v>
      </c>
      <c r="N1071" s="390" t="s">
        <v>1270</v>
      </c>
      <c r="O1071" s="395">
        <v>0.25</v>
      </c>
      <c r="P1071" s="395">
        <v>0.52083333333333337</v>
      </c>
      <c r="Q1071" s="395">
        <v>0.52083333333333337</v>
      </c>
      <c r="R1071" s="396">
        <f>IF(Table6[[#This Row],[Work Start TimeStamp]]="","",(Table6[[#This Row],[Work Start TimeStamp]]-Table6[[#This Row],[Fault Start TimeStamp]])*24)</f>
        <v>6.5000000000000009</v>
      </c>
      <c r="S1071" s="396">
        <f>(Table6[[#This Row],[Fault Clearance time]]-Table6[[#This Row],[Work Start TimeStamp]])*24</f>
        <v>0</v>
      </c>
      <c r="T1071" s="397">
        <f>(Table6[[#This Row],[Fault Clearance time]]-Table6[[#This Row],[Fault Start TimeStamp]])*24</f>
        <v>6.5000000000000009</v>
      </c>
      <c r="U1071" s="394" t="s">
        <v>493</v>
      </c>
      <c r="V1071" s="394" t="s">
        <v>463</v>
      </c>
      <c r="W1071" s="398">
        <f>Table6[[#This Row],[Breakdown Time]]*(1/39)</f>
        <v>0.16666666666666669</v>
      </c>
      <c r="X1071" s="399" t="s">
        <v>465</v>
      </c>
      <c r="Y1071" s="394" t="s">
        <v>125</v>
      </c>
      <c r="Z1071" s="390">
        <v>18458</v>
      </c>
      <c r="AA1071" s="107">
        <f>IFERROR((Table6[[#This Row],[Paired WTG Generation for loss calculation]]/24)*Table6[[#This Row],[Breakdown Time]],"")</f>
        <v>4999.0416666666679</v>
      </c>
      <c r="AB1071" s="400" t="s">
        <v>478</v>
      </c>
      <c r="AC1071" s="390"/>
      <c r="AD1071" s="401"/>
    </row>
    <row r="1072" spans="1:30">
      <c r="A1072" s="408">
        <f t="shared" si="16"/>
        <v>1071</v>
      </c>
      <c r="B1072" s="388">
        <f>YEAR(Table6[[#This Row],[Date]])+IF(MONTH(Table6[[#This Row],[Date]])&gt;=4,1,0)</f>
        <v>2026</v>
      </c>
      <c r="C1072" s="389">
        <f>YEAR(Table6[[#This Row],[Date]])</f>
        <v>2025</v>
      </c>
      <c r="D1072" s="389" t="s">
        <v>490</v>
      </c>
      <c r="E1072" s="402">
        <f>Table6[[#This Row],[Date]]-DAY(Table6[[#This Row],[Date]])+1</f>
        <v>45839</v>
      </c>
      <c r="F1072" s="392">
        <v>45868</v>
      </c>
      <c r="G1072" s="374" t="s">
        <v>126</v>
      </c>
      <c r="H1072" s="409" t="str">
        <f>_xlfn.XLOOKUP(Table6[[#This Row],[Affected WTG]],'Basic Data'!$A:$A,'Basic Data'!$B:$B)</f>
        <v>PWEGPL</v>
      </c>
      <c r="I1072" s="409" t="str">
        <f>_xlfn.XLOOKUP(Table6[[#This Row],[Affected WTG]],'Basic Data'!$A:$A,'Basic Data'!$C:$C)</f>
        <v>MSEDCL</v>
      </c>
      <c r="J1072" s="393">
        <f>IFERROR(VLOOKUP(Table6[[#This Row],[Affected WTG]],'Basic Data'!$A$3:$E$56,5,0),"")</f>
        <v>2.564102564102564E-2</v>
      </c>
      <c r="K1072" s="389">
        <v>203</v>
      </c>
      <c r="L1072" s="387" t="str">
        <f>IFERROR(VLOOKUP(Table6[[#This Row],[Error Code]],'Basic Data'!$T:$U,2,0),"")</f>
        <v>Low Pressure On Hydraulic Group</v>
      </c>
      <c r="M1072" s="403" t="s">
        <v>462</v>
      </c>
      <c r="N1072" s="389" t="s">
        <v>1270</v>
      </c>
      <c r="O1072" s="404">
        <v>0</v>
      </c>
      <c r="P1072" s="404">
        <v>0.47222222222222221</v>
      </c>
      <c r="Q1072" s="404">
        <v>0.47222222222222221</v>
      </c>
      <c r="R1072" s="396">
        <f>IF(Table6[[#This Row],[Work Start TimeStamp]]="","",(Table6[[#This Row],[Work Start TimeStamp]]-Table6[[#This Row],[Fault Start TimeStamp]])*24)</f>
        <v>11.333333333333332</v>
      </c>
      <c r="S1072" s="396">
        <f>(Table6[[#This Row],[Fault Clearance time]]-Table6[[#This Row],[Work Start TimeStamp]])*24</f>
        <v>0</v>
      </c>
      <c r="T1072" s="397">
        <f>(Table6[[#This Row],[Fault Clearance time]]-Table6[[#This Row],[Fault Start TimeStamp]])*24</f>
        <v>11.333333333333332</v>
      </c>
      <c r="U1072" s="403" t="s">
        <v>493</v>
      </c>
      <c r="V1072" s="403" t="s">
        <v>463</v>
      </c>
      <c r="W1072" s="405">
        <f>Table6[[#This Row],[Breakdown Time]]*(1/39)</f>
        <v>0.29059829059829057</v>
      </c>
      <c r="X1072" s="406" t="s">
        <v>465</v>
      </c>
      <c r="Y1072" s="403" t="s">
        <v>127</v>
      </c>
      <c r="Z1072" s="389">
        <v>20476</v>
      </c>
      <c r="AA1072" s="107">
        <f>IFERROR((Table6[[#This Row],[Paired WTG Generation for loss calculation]]/24)*Table6[[#This Row],[Breakdown Time]],"")</f>
        <v>9669.2222222222208</v>
      </c>
      <c r="AB1072" s="388" t="s">
        <v>478</v>
      </c>
      <c r="AC1072" s="389"/>
      <c r="AD1072" s="407"/>
    </row>
    <row r="1073" spans="1:30">
      <c r="A1073" s="408">
        <f t="shared" si="16"/>
        <v>1072</v>
      </c>
      <c r="B1073" s="388">
        <f>YEAR(Table6[[#This Row],[Date]])+IF(MONTH(Table6[[#This Row],[Date]])&gt;=4,1,0)</f>
        <v>2026</v>
      </c>
      <c r="C1073" s="389">
        <f>YEAR(Table6[[#This Row],[Date]])</f>
        <v>2025</v>
      </c>
      <c r="D1073" s="389" t="s">
        <v>490</v>
      </c>
      <c r="E1073" s="391">
        <f>Table6[[#This Row],[Date]]-DAY(Table6[[#This Row],[Date]])+1</f>
        <v>45839</v>
      </c>
      <c r="F1073" s="392">
        <v>45868</v>
      </c>
      <c r="G1073" s="374" t="s">
        <v>134</v>
      </c>
      <c r="H1073" s="409" t="str">
        <f>_xlfn.XLOOKUP(Table6[[#This Row],[Affected WTG]],'Basic Data'!$A:$A,'Basic Data'!$B:$B)</f>
        <v>PWEGPL</v>
      </c>
      <c r="I1073" s="409" t="str">
        <f>_xlfn.XLOOKUP(Table6[[#This Row],[Affected WTG]],'Basic Data'!$A:$A,'Basic Data'!$C:$C)</f>
        <v>MSEDCL</v>
      </c>
      <c r="J1073" s="393">
        <f>IFERROR(VLOOKUP(Table6[[#This Row],[Affected WTG]],'Basic Data'!$A$3:$E$56,5,0),"")</f>
        <v>2.564102564102564E-2</v>
      </c>
      <c r="K1073" s="390">
        <v>211</v>
      </c>
      <c r="L1073" s="387" t="str">
        <f>IFERROR(VLOOKUP(Table6[[#This Row],[Error Code]],'Basic Data'!$T:$U,2,0),"")</f>
        <v>Hydraulic HUB Filter Dirty</v>
      </c>
      <c r="M1073" s="394" t="s">
        <v>462</v>
      </c>
      <c r="N1073" s="390" t="s">
        <v>1270</v>
      </c>
      <c r="O1073" s="395">
        <v>0.51388888888888884</v>
      </c>
      <c r="P1073" s="395">
        <v>0.54513888888888884</v>
      </c>
      <c r="Q1073" s="395">
        <v>0.54583333333333328</v>
      </c>
      <c r="R1073" s="396">
        <f>IF(Table6[[#This Row],[Work Start TimeStamp]]="","",(Table6[[#This Row],[Work Start TimeStamp]]-Table6[[#This Row],[Fault Start TimeStamp]])*24)</f>
        <v>0.75</v>
      </c>
      <c r="S1073" s="396">
        <f>(Table6[[#This Row],[Fault Clearance time]]-Table6[[#This Row],[Work Start TimeStamp]])*24</f>
        <v>1.6666666666666607E-2</v>
      </c>
      <c r="T1073" s="397">
        <f>(Table6[[#This Row],[Fault Clearance time]]-Table6[[#This Row],[Fault Start TimeStamp]])*24</f>
        <v>0.76666666666666661</v>
      </c>
      <c r="U1073" s="394" t="s">
        <v>493</v>
      </c>
      <c r="V1073" s="394" t="s">
        <v>463</v>
      </c>
      <c r="W1073" s="398">
        <f>Table6[[#This Row],[Breakdown Time]]*(1/39)</f>
        <v>1.9658119658119654E-2</v>
      </c>
      <c r="X1073" s="399" t="s">
        <v>465</v>
      </c>
      <c r="Y1073" s="394" t="s">
        <v>133</v>
      </c>
      <c r="Z1073" s="390">
        <v>20478</v>
      </c>
      <c r="AA1073" s="107">
        <f>IFERROR((Table6[[#This Row],[Paired WTG Generation for loss calculation]]/24)*Table6[[#This Row],[Breakdown Time]],"")</f>
        <v>654.1583333333333</v>
      </c>
      <c r="AB1073" s="400" t="s">
        <v>478</v>
      </c>
      <c r="AC1073" s="390"/>
      <c r="AD1073" s="401"/>
    </row>
    <row r="1074" spans="1:30">
      <c r="A1074" s="408">
        <f t="shared" si="16"/>
        <v>1073</v>
      </c>
      <c r="B1074" s="388">
        <f>YEAR(Table6[[#This Row],[Date]])+IF(MONTH(Table6[[#This Row],[Date]])&gt;=4,1,0)</f>
        <v>2026</v>
      </c>
      <c r="C1074" s="389">
        <f>YEAR(Table6[[#This Row],[Date]])</f>
        <v>2025</v>
      </c>
      <c r="D1074" s="389" t="s">
        <v>490</v>
      </c>
      <c r="E1074" s="402">
        <f>Table6[[#This Row],[Date]]-DAY(Table6[[#This Row],[Date]])+1</f>
        <v>45839</v>
      </c>
      <c r="F1074" s="392">
        <v>45868</v>
      </c>
      <c r="G1074" s="374" t="s">
        <v>143</v>
      </c>
      <c r="H1074" s="409" t="str">
        <f>_xlfn.XLOOKUP(Table6[[#This Row],[Affected WTG]],'Basic Data'!$A:$A,'Basic Data'!$B:$B)</f>
        <v>PWEGPL</v>
      </c>
      <c r="I1074" s="409" t="str">
        <f>_xlfn.XLOOKUP(Table6[[#This Row],[Affected WTG]],'Basic Data'!$A:$A,'Basic Data'!$C:$C)</f>
        <v>MSEDCL</v>
      </c>
      <c r="J1074" s="393">
        <f>IFERROR(VLOOKUP(Table6[[#This Row],[Affected WTG]],'Basic Data'!$A$3:$E$56,5,0),"")</f>
        <v>2.564102564102564E-2</v>
      </c>
      <c r="K1074" s="389" t="s">
        <v>492</v>
      </c>
      <c r="L1074" s="387" t="str">
        <f>IFERROR(VLOOKUP(Table6[[#This Row],[Error Code]],'Basic Data'!$T:$U,2,0),"")</f>
        <v>Manual Stop - Safety Related</v>
      </c>
      <c r="M1074" s="403" t="s">
        <v>462</v>
      </c>
      <c r="N1074" s="389" t="s">
        <v>1270</v>
      </c>
      <c r="O1074" s="404">
        <v>0.64027777777777772</v>
      </c>
      <c r="P1074" s="404">
        <v>0.64027777777777772</v>
      </c>
      <c r="Q1074" s="404">
        <v>0.74305555555555558</v>
      </c>
      <c r="R1074" s="396">
        <f>IF(Table6[[#This Row],[Work Start TimeStamp]]="","",(Table6[[#This Row],[Work Start TimeStamp]]-Table6[[#This Row],[Fault Start TimeStamp]])*24)</f>
        <v>0</v>
      </c>
      <c r="S1074" s="396">
        <f>(Table6[[#This Row],[Fault Clearance time]]-Table6[[#This Row],[Work Start TimeStamp]])*24</f>
        <v>2.4666666666666686</v>
      </c>
      <c r="T1074" s="397">
        <f>(Table6[[#This Row],[Fault Clearance time]]-Table6[[#This Row],[Fault Start TimeStamp]])*24</f>
        <v>2.4666666666666686</v>
      </c>
      <c r="U1074" s="403" t="s">
        <v>1413</v>
      </c>
      <c r="V1074" s="403" t="s">
        <v>463</v>
      </c>
      <c r="W1074" s="405">
        <f>Table6[[#This Row],[Breakdown Time]]*(1/39)</f>
        <v>6.3247863247863301E-2</v>
      </c>
      <c r="X1074" s="406" t="s">
        <v>465</v>
      </c>
      <c r="Y1074" s="403" t="s">
        <v>144</v>
      </c>
      <c r="Z1074" s="389">
        <v>12785</v>
      </c>
      <c r="AA1074" s="107">
        <f>IFERROR((Table6[[#This Row],[Paired WTG Generation for loss calculation]]/24)*Table6[[#This Row],[Breakdown Time]],"")</f>
        <v>1314.0138888888901</v>
      </c>
      <c r="AB1074" s="388" t="s">
        <v>478</v>
      </c>
      <c r="AC1074" s="389"/>
      <c r="AD1074" s="407"/>
    </row>
    <row r="1075" spans="1:30">
      <c r="A1075" s="408">
        <f t="shared" si="16"/>
        <v>1074</v>
      </c>
      <c r="B1075" s="388">
        <f>YEAR(Table6[[#This Row],[Date]])+IF(MONTH(Table6[[#This Row],[Date]])&gt;=4,1,0)</f>
        <v>2026</v>
      </c>
      <c r="C1075" s="389">
        <f>YEAR(Table6[[#This Row],[Date]])</f>
        <v>2025</v>
      </c>
      <c r="D1075" s="389" t="s">
        <v>490</v>
      </c>
      <c r="E1075" s="391">
        <f>Table6[[#This Row],[Date]]-DAY(Table6[[#This Row],[Date]])+1</f>
        <v>45839</v>
      </c>
      <c r="F1075" s="392">
        <v>45868</v>
      </c>
      <c r="G1075" s="374" t="s">
        <v>144</v>
      </c>
      <c r="H1075" s="409" t="str">
        <f>_xlfn.XLOOKUP(Table6[[#This Row],[Affected WTG]],'Basic Data'!$A:$A,'Basic Data'!$B:$B)</f>
        <v>PWEGPL</v>
      </c>
      <c r="I1075" s="409" t="str">
        <f>_xlfn.XLOOKUP(Table6[[#This Row],[Affected WTG]],'Basic Data'!$A:$A,'Basic Data'!$C:$C)</f>
        <v>MSEDCL</v>
      </c>
      <c r="J1075" s="393">
        <f>IFERROR(VLOOKUP(Table6[[#This Row],[Affected WTG]],'Basic Data'!$A$3:$E$56,5,0),"")</f>
        <v>2.564102564102564E-2</v>
      </c>
      <c r="K1075" s="390">
        <v>5205</v>
      </c>
      <c r="L1075" s="387" t="str">
        <f>IFERROR(VLOOKUP(Table6[[#This Row],[Error Code]],'Basic Data'!$T:$U,2,0),"")</f>
        <v>Magnetothermic Of The Stator Protection Failure Or Door Open</v>
      </c>
      <c r="M1075" s="394" t="s">
        <v>462</v>
      </c>
      <c r="N1075" s="390" t="s">
        <v>1270</v>
      </c>
      <c r="O1075" s="395">
        <v>0.67708333333333337</v>
      </c>
      <c r="P1075" s="395">
        <v>0.73402777777777772</v>
      </c>
      <c r="Q1075" s="395">
        <v>0.76458333333333328</v>
      </c>
      <c r="R1075" s="396">
        <f>IF(Table6[[#This Row],[Work Start TimeStamp]]="","",(Table6[[#This Row],[Work Start TimeStamp]]-Table6[[#This Row],[Fault Start TimeStamp]])*24)</f>
        <v>1.3666666666666645</v>
      </c>
      <c r="S1075" s="396">
        <f>(Table6[[#This Row],[Fault Clearance time]]-Table6[[#This Row],[Work Start TimeStamp]])*24</f>
        <v>0.73333333333333339</v>
      </c>
      <c r="T1075" s="397">
        <f>(Table6[[#This Row],[Fault Clearance time]]-Table6[[#This Row],[Fault Start TimeStamp]])*24</f>
        <v>2.0999999999999979</v>
      </c>
      <c r="U1075" s="394" t="s">
        <v>1414</v>
      </c>
      <c r="V1075" s="394" t="s">
        <v>463</v>
      </c>
      <c r="W1075" s="398">
        <f>Table6[[#This Row],[Breakdown Time]]*(1/39)</f>
        <v>5.3846153846153787E-2</v>
      </c>
      <c r="X1075" s="399" t="s">
        <v>465</v>
      </c>
      <c r="Y1075" s="394" t="s">
        <v>143</v>
      </c>
      <c r="Z1075" s="390">
        <v>12547</v>
      </c>
      <c r="AA1075" s="107">
        <f>IFERROR((Table6[[#This Row],[Paired WTG Generation for loss calculation]]/24)*Table6[[#This Row],[Breakdown Time]],"")</f>
        <v>1097.8624999999988</v>
      </c>
      <c r="AB1075" s="400" t="s">
        <v>478</v>
      </c>
      <c r="AC1075" s="390"/>
      <c r="AD1075" s="401"/>
    </row>
    <row r="1076" spans="1:30">
      <c r="A1076" s="410">
        <f t="shared" si="16"/>
        <v>1075</v>
      </c>
      <c r="B1076" s="411">
        <f>YEAR(Table6[[#This Row],[Date]])+IF(MONTH(Table6[[#This Row],[Date]])&gt;=4,1,0)</f>
        <v>2026</v>
      </c>
      <c r="C1076" s="412">
        <f>YEAR(Table6[[#This Row],[Date]])</f>
        <v>2025</v>
      </c>
      <c r="D1076" s="412" t="s">
        <v>490</v>
      </c>
      <c r="E1076" s="413">
        <f>Table6[[#This Row],[Date]]-DAY(Table6[[#This Row],[Date]])+1</f>
        <v>45839</v>
      </c>
      <c r="F1076" s="414">
        <v>45868</v>
      </c>
      <c r="G1076" s="374" t="s">
        <v>145</v>
      </c>
      <c r="H1076" s="415" t="str">
        <f>_xlfn.XLOOKUP(Table6[[#This Row],[Affected WTG]],'Basic Data'!$A:$A,'Basic Data'!$B:$B)</f>
        <v>PWEGPL</v>
      </c>
      <c r="I1076" s="415" t="str">
        <f>_xlfn.XLOOKUP(Table6[[#This Row],[Affected WTG]],'Basic Data'!$A:$A,'Basic Data'!$C:$C)</f>
        <v>MSEDCL</v>
      </c>
      <c r="J1076" s="416">
        <f>IFERROR(VLOOKUP(Table6[[#This Row],[Affected WTG]],'Basic Data'!$A$3:$E$56,5,0),"")</f>
        <v>2.564102564102564E-2</v>
      </c>
      <c r="K1076" s="412">
        <v>211</v>
      </c>
      <c r="L1076" s="387" t="str">
        <f>IFERROR(VLOOKUP(Table6[[#This Row],[Error Code]],'Basic Data'!$T:$U,2,0),"")</f>
        <v>Hydraulic HUB Filter Dirty</v>
      </c>
      <c r="M1076" s="417" t="s">
        <v>462</v>
      </c>
      <c r="N1076" s="412" t="s">
        <v>1270</v>
      </c>
      <c r="O1076" s="418">
        <v>0</v>
      </c>
      <c r="P1076" s="418">
        <v>0.56805555555555554</v>
      </c>
      <c r="Q1076" s="418">
        <v>0.56805555555555554</v>
      </c>
      <c r="R1076" s="419">
        <f>IF(Table6[[#This Row],[Work Start TimeStamp]]="","",(Table6[[#This Row],[Work Start TimeStamp]]-Table6[[#This Row],[Fault Start TimeStamp]])*24)</f>
        <v>13.633333333333333</v>
      </c>
      <c r="S1076" s="419">
        <f>(Table6[[#This Row],[Fault Clearance time]]-Table6[[#This Row],[Work Start TimeStamp]])*24</f>
        <v>0</v>
      </c>
      <c r="T1076" s="420">
        <f>(Table6[[#This Row],[Fault Clearance time]]-Table6[[#This Row],[Fault Start TimeStamp]])*24</f>
        <v>13.633333333333333</v>
      </c>
      <c r="U1076" s="417" t="s">
        <v>493</v>
      </c>
      <c r="V1076" s="417" t="s">
        <v>463</v>
      </c>
      <c r="W1076" s="421">
        <f>Table6[[#This Row],[Breakdown Time]]*(1/39)</f>
        <v>0.34957264957264955</v>
      </c>
      <c r="X1076" s="422" t="s">
        <v>465</v>
      </c>
      <c r="Y1076" s="417" t="s">
        <v>139</v>
      </c>
      <c r="Z1076" s="412">
        <v>13452</v>
      </c>
      <c r="AA1076" s="107">
        <f>IFERROR((Table6[[#This Row],[Paired WTG Generation for loss calculation]]/24)*Table6[[#This Row],[Breakdown Time]],"")</f>
        <v>7641.4833333333327</v>
      </c>
      <c r="AB1076" s="411" t="s">
        <v>478</v>
      </c>
      <c r="AC1076" s="412"/>
      <c r="AD1076" s="423"/>
    </row>
  </sheetData>
  <phoneticPr fontId="9" type="noConversion"/>
  <conditionalFormatting sqref="L1:L1048576">
    <cfRule type="containsText" dxfId="2" priority="2" operator="containsText" text="Incorrect Error Code">
      <formula>NOT(ISERROR(SEARCH("Incorrect Error Code",L1)))</formula>
    </cfRule>
  </conditionalFormatting>
  <conditionalFormatting sqref="L1069:L1076">
    <cfRule type="containsText" dxfId="1" priority="1" operator="containsText" text="Incorrect Error Code">
      <formula>NOT(ISERROR(SEARCH("Incorrect Error Code",L1069)))</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N2:N1076</xm:sqref>
        </x14:dataValidation>
        <x14:dataValidation type="list" allowBlank="1" showInputMessage="1" showErrorMessage="1" xr:uid="{9F985FD0-A7AB-4577-A56E-E34E947D4F80}">
          <x14:formula1>
            <xm:f>'Basic Data'!$W$2:$W$14</xm:f>
          </x14:formula1>
          <xm:sqref>X2:X1076</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5"/>
  <sheetViews>
    <sheetView workbookViewId="0">
      <pane xSplit="6" ySplit="1" topLeftCell="G48" activePane="bottomRight" state="frozen"/>
      <selection pane="topRight" activeCell="G1" sqref="G1"/>
      <selection pane="bottomLeft" activeCell="A2" sqref="A2"/>
      <selection pane="bottomRight" activeCell="V64" sqref="V64"/>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5"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86">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86">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86">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86">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86">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row r="64" spans="1:23">
      <c r="A64" s="105">
        <f t="shared" si="0"/>
        <v>63</v>
      </c>
      <c r="B64">
        <f>YEAR(Table8[[#This Row],[Date]])+IF(MONTH(Table8[[#This Row],[Date]])&gt;=4,1,0)</f>
        <v>2026</v>
      </c>
      <c r="C64" s="105">
        <f>YEAR(Table6[[#This Row],[Date]])</f>
        <v>2025</v>
      </c>
      <c r="D64" s="105" t="s">
        <v>461</v>
      </c>
      <c r="E64" s="119">
        <f>Table8[[#This Row],[Date]]-DAY(Table8[[#This Row],[Date]])+1</f>
        <v>45839</v>
      </c>
      <c r="F64" s="118">
        <v>45868</v>
      </c>
      <c r="G64" t="s">
        <v>617</v>
      </c>
      <c r="H64" t="s">
        <v>484</v>
      </c>
      <c r="I64" t="s">
        <v>485</v>
      </c>
      <c r="J64" s="386">
        <f>IFERROR(_xlfn.XLOOKUP(Table8[[#This Row],[Affected Feeder ]],'Basic Data'!$A:$A,'Basic Data'!$E:$E),"")</f>
        <v>0.25641025641025639</v>
      </c>
      <c r="K64" t="s">
        <v>634</v>
      </c>
      <c r="L64" s="330">
        <v>0.65902777777777777</v>
      </c>
      <c r="M64" s="330">
        <v>0.65902777777777777</v>
      </c>
      <c r="N64" s="330">
        <v>0.67708333333333337</v>
      </c>
      <c r="O64" s="97">
        <f>(Table8[[#This Row],[Work Start TimeStamp]]-Table8[[#This Row],[Fault Start TimeStamp]])*24</f>
        <v>0</v>
      </c>
      <c r="P64" s="97">
        <f>IF(Table8[[#This Row],[Work Start TimeStamp]]="","",(Table8[[#This Row],[Fault Clearance time]]-Table8[[#This Row],[Work Start TimeStamp]])*24)</f>
        <v>0.43333333333333446</v>
      </c>
      <c r="Q64" s="97">
        <f>(Table8[[#This Row],[Fault Clearance time]]-Table8[[#This Row],[Fault Start TimeStamp]])*24</f>
        <v>0.43333333333333446</v>
      </c>
      <c r="R64" t="s">
        <v>1415</v>
      </c>
      <c r="S64" t="s">
        <v>463</v>
      </c>
      <c r="T64" s="130">
        <f>IFERROR(Table8[[#This Row],[Breakdown Time]]*Table8[[#This Row],[Plant Equivalent Weightage]],"")</f>
        <v>0.1111111111111114</v>
      </c>
      <c r="U64" t="s">
        <v>470</v>
      </c>
      <c r="V64" s="107">
        <v>2318</v>
      </c>
      <c r="W64" t="s">
        <v>621</v>
      </c>
    </row>
    <row r="65" spans="1:23">
      <c r="A65" s="105">
        <f t="shared" si="0"/>
        <v>64</v>
      </c>
      <c r="B65">
        <f>YEAR(Table8[[#This Row],[Date]])+IF(MONTH(Table8[[#This Row],[Date]])&gt;=4,1,0)</f>
        <v>2026</v>
      </c>
      <c r="C65" s="105">
        <f>YEAR(Table6[[#This Row],[Date]])</f>
        <v>2025</v>
      </c>
      <c r="D65" s="105" t="s">
        <v>461</v>
      </c>
      <c r="E65" s="119">
        <f>Table8[[#This Row],[Date]]-DAY(Table8[[#This Row],[Date]])+1</f>
        <v>45839</v>
      </c>
      <c r="F65" s="118">
        <v>45868</v>
      </c>
      <c r="G65" t="s">
        <v>620</v>
      </c>
      <c r="H65" t="s">
        <v>484</v>
      </c>
      <c r="I65" t="s">
        <v>485</v>
      </c>
      <c r="J65" s="386">
        <f>IFERROR(_xlfn.XLOOKUP(Table8[[#This Row],[Affected Feeder ]],'Basic Data'!$A:$A,'Basic Data'!$E:$E),"")</f>
        <v>0.25641025641025639</v>
      </c>
      <c r="K65" t="s">
        <v>632</v>
      </c>
      <c r="L65" s="330">
        <v>0.65902777777777777</v>
      </c>
      <c r="M65" s="330">
        <v>0.65902777777777777</v>
      </c>
      <c r="N65" s="330">
        <v>0.67708333333333337</v>
      </c>
      <c r="O65" s="97">
        <f>(Table8[[#This Row],[Work Start TimeStamp]]-Table8[[#This Row],[Fault Start TimeStamp]])*24</f>
        <v>0</v>
      </c>
      <c r="P65" s="97">
        <f>IF(Table8[[#This Row],[Work Start TimeStamp]]="","",(Table8[[#This Row],[Fault Clearance time]]-Table8[[#This Row],[Work Start TimeStamp]])*24)</f>
        <v>0.43333333333333446</v>
      </c>
      <c r="Q65" s="97">
        <f>(Table8[[#This Row],[Fault Clearance time]]-Table8[[#This Row],[Fault Start TimeStamp]])*24</f>
        <v>0.43333333333333446</v>
      </c>
      <c r="R65" t="s">
        <v>1415</v>
      </c>
      <c r="S65" t="s">
        <v>463</v>
      </c>
      <c r="T65" s="130">
        <f>IFERROR(Table8[[#This Row],[Breakdown Time]]*Table8[[#This Row],[Plant Equivalent Weightage]],"")</f>
        <v>0.1111111111111114</v>
      </c>
      <c r="U65" t="s">
        <v>470</v>
      </c>
      <c r="V65" s="107">
        <v>2318</v>
      </c>
      <c r="W65"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435" t="s">
        <v>458</v>
      </c>
      <c r="X1" s="436"/>
      <c r="Y1" s="436"/>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AJ113" activePane="bottomRight" state="frozen"/>
      <selection activeCell="AS104" sqref="AS104"/>
      <selection pane="topRight" activeCell="AS104" sqref="AS104"/>
      <selection pane="bottomLeft" activeCell="AS104" sqref="AS104"/>
      <selection pane="bottomRight" activeCell="D126" sqref="D126"/>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614</v>
      </c>
    </row>
    <row r="126" spans="1:45">
      <c r="A126" s="144">
        <f t="shared" si="8"/>
        <v>45868</v>
      </c>
      <c r="B126" s="141">
        <f>YEAR(Table7[[#This Row],[Date]])+IF(MONTH(Table7[[#This Row],[Date]])&gt;=4,1,0)</f>
        <v>2026</v>
      </c>
      <c r="C126" s="141">
        <f>YEAR(Table7[[#This Row],[Date]])</f>
        <v>2025</v>
      </c>
      <c r="D126" s="143">
        <f t="shared" si="7"/>
        <v>45839</v>
      </c>
      <c r="E126" s="141">
        <v>0</v>
      </c>
      <c r="F126" s="141">
        <v>0</v>
      </c>
      <c r="G126" s="141">
        <v>0</v>
      </c>
      <c r="H126" s="141">
        <v>0</v>
      </c>
      <c r="I126" s="141">
        <v>0</v>
      </c>
      <c r="J126" s="141">
        <v>0</v>
      </c>
      <c r="K126" s="141">
        <v>0</v>
      </c>
      <c r="L126" s="141">
        <v>0</v>
      </c>
      <c r="M126" s="141">
        <v>0</v>
      </c>
      <c r="N126" s="141">
        <v>0</v>
      </c>
      <c r="O126" s="141">
        <v>0</v>
      </c>
      <c r="P126" s="141">
        <v>0</v>
      </c>
      <c r="Q126" s="141">
        <v>0</v>
      </c>
      <c r="R126" s="141">
        <v>0</v>
      </c>
      <c r="S126" s="141">
        <v>0</v>
      </c>
      <c r="T126" s="141">
        <v>0</v>
      </c>
      <c r="U126" s="141">
        <v>0</v>
      </c>
      <c r="V126" s="141">
        <v>0</v>
      </c>
      <c r="W126" s="141">
        <v>0</v>
      </c>
      <c r="X126" s="141">
        <v>0</v>
      </c>
      <c r="Y126" s="141">
        <v>0</v>
      </c>
      <c r="Z126" s="141">
        <v>0</v>
      </c>
      <c r="AA126" s="141">
        <v>0</v>
      </c>
      <c r="AB126" s="141">
        <v>0</v>
      </c>
      <c r="AC126" s="141">
        <v>0</v>
      </c>
      <c r="AD126" s="141">
        <v>0</v>
      </c>
      <c r="AE126" s="141">
        <v>0</v>
      </c>
      <c r="AF126" s="141">
        <v>0</v>
      </c>
      <c r="AG126" s="141">
        <v>0</v>
      </c>
      <c r="AH126" s="141">
        <v>0</v>
      </c>
      <c r="AI126" s="141">
        <v>0</v>
      </c>
      <c r="AJ126" s="141">
        <v>0</v>
      </c>
      <c r="AK126" s="141">
        <v>0</v>
      </c>
      <c r="AL126" s="141">
        <v>0</v>
      </c>
      <c r="AM126" s="141">
        <v>0</v>
      </c>
      <c r="AN126" s="141">
        <v>0</v>
      </c>
      <c r="AO126" s="141">
        <v>0</v>
      </c>
      <c r="AP126" s="141">
        <v>0</v>
      </c>
      <c r="AQ126" s="141">
        <v>0</v>
      </c>
      <c r="AR126" s="141">
        <f t="shared" si="6"/>
        <v>0</v>
      </c>
      <c r="AS126" s="169" t="s">
        <v>614</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37" t="s">
        <v>1013</v>
      </c>
      <c r="B1" s="438"/>
      <c r="C1" s="438"/>
      <c r="D1" s="438"/>
      <c r="E1" s="438"/>
      <c r="F1" s="438"/>
      <c r="G1" s="438"/>
      <c r="H1" s="438"/>
      <c r="I1" s="438"/>
      <c r="J1" s="438"/>
      <c r="K1" s="438"/>
      <c r="L1" s="438"/>
      <c r="M1" s="438"/>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9"/>
      <c r="AW1" s="174"/>
      <c r="AX1" s="174"/>
      <c r="AY1" s="174"/>
      <c r="AZ1" s="174"/>
      <c r="BA1" s="174"/>
      <c r="BB1" s="174"/>
      <c r="BC1" s="174"/>
      <c r="BE1" s="175"/>
    </row>
    <row r="2" spans="1:61" ht="15" customHeight="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T2" s="441"/>
      <c r="AU2" s="441"/>
      <c r="AV2" s="442"/>
      <c r="AW2" s="176"/>
      <c r="AX2" s="176"/>
      <c r="AY2" s="176"/>
      <c r="AZ2" s="176"/>
      <c r="BA2" s="176"/>
      <c r="BB2" s="176"/>
      <c r="BC2" s="176"/>
      <c r="BE2" s="175"/>
    </row>
    <row r="3" spans="1:61" ht="15" customHeight="1" thickBot="1">
      <c r="A3" s="440"/>
      <c r="B3" s="441"/>
      <c r="C3" s="441"/>
      <c r="D3" s="441"/>
      <c r="E3" s="441"/>
      <c r="F3" s="441"/>
      <c r="G3" s="441"/>
      <c r="H3" s="441"/>
      <c r="I3" s="441"/>
      <c r="J3" s="441"/>
      <c r="K3" s="441"/>
      <c r="L3" s="441"/>
      <c r="M3" s="441"/>
      <c r="N3" s="441"/>
      <c r="O3" s="441"/>
      <c r="P3" s="441"/>
      <c r="Q3" s="441"/>
      <c r="R3" s="441"/>
      <c r="S3" s="441"/>
      <c r="T3" s="441"/>
      <c r="U3" s="441"/>
      <c r="V3" s="441"/>
      <c r="W3" s="441"/>
      <c r="X3" s="441"/>
      <c r="Y3" s="441"/>
      <c r="Z3" s="441"/>
      <c r="AA3" s="441"/>
      <c r="AB3" s="441"/>
      <c r="AC3" s="441"/>
      <c r="AD3" s="441"/>
      <c r="AE3" s="441"/>
      <c r="AF3" s="441"/>
      <c r="AG3" s="441"/>
      <c r="AH3" s="441"/>
      <c r="AI3" s="441"/>
      <c r="AJ3" s="441"/>
      <c r="AK3" s="441"/>
      <c r="AL3" s="441"/>
      <c r="AM3" s="441"/>
      <c r="AN3" s="441"/>
      <c r="AO3" s="441"/>
      <c r="AP3" s="441"/>
      <c r="AQ3" s="441"/>
      <c r="AR3" s="441"/>
      <c r="AS3" s="441"/>
      <c r="AT3" s="441"/>
      <c r="AU3" s="441"/>
      <c r="AV3" s="442"/>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6"/>
  <sheetViews>
    <sheetView workbookViewId="0">
      <pane xSplit="2" ySplit="2" topLeftCell="C180" activePane="bottomRight" state="frozen"/>
      <selection pane="topRight" activeCell="C1" sqref="C1"/>
      <selection pane="bottomLeft" activeCell="A3" sqref="A3"/>
      <selection pane="bottomRight" activeCell="A197" sqref="A197"/>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row r="196" spans="1:6">
      <c r="A196" s="1">
        <v>194</v>
      </c>
      <c r="B196" s="106">
        <v>45868</v>
      </c>
      <c r="C196" t="s">
        <v>144</v>
      </c>
      <c r="D196" t="s">
        <v>667</v>
      </c>
      <c r="E196">
        <v>1</v>
      </c>
      <c r="F196"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2.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2025-07-31T03:10:42Z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